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inhuonn/Desktop/data_projects/Public Tranportation in NSW/"/>
    </mc:Choice>
  </mc:AlternateContent>
  <xr:revisionPtr revIDLastSave="0" documentId="13_ncr:1_{6741E475-BC9E-AC49-AFA5-03A861C3151E}" xr6:coauthVersionLast="47" xr6:coauthVersionMax="47" xr10:uidLastSave="{00000000-0000-0000-0000-000000000000}"/>
  <bookViews>
    <workbookView xWindow="10900" yWindow="500" windowWidth="29400" windowHeight="16620" activeTab="4" xr2:uid="{81DB9FB5-59E2-2747-858B-E592A9CFBA87}"/>
  </bookViews>
  <sheets>
    <sheet name="Assumption" sheetId="8" r:id="rId1"/>
    <sheet name="MA_trips" sheetId="14" r:id="rId2"/>
    <sheet name="Cus_CSI" sheetId="1" r:id="rId3"/>
    <sheet name="MA_CSI" sheetId="15" r:id="rId4"/>
    <sheet name="Affordability" sheetId="7" r:id="rId5"/>
    <sheet name="Hourly opal Trips" sheetId="11" r:id="rId6"/>
    <sheet name="LGA  Method of travel to work" sheetId="10" r:id="rId7"/>
    <sheet name="LGA Household travel mode " sheetId="12" r:id="rId8"/>
    <sheet name="On-time performance %" sheetId="13" r:id="rId9"/>
  </sheets>
  <definedNames>
    <definedName name="_xlnm._FilterDatabase" localSheetId="2" hidden="1">Cus_CSI!$A$2:$F$177</definedName>
    <definedName name="_xlnm._FilterDatabase" localSheetId="7" hidden="1">'LGA Household travel mode '!$A$1:$K$532</definedName>
    <definedName name="_xlnm._FilterDatabase" localSheetId="1" hidden="1">MA_trips!$A$1:$D$6283</definedName>
  </definedNames>
  <calcPr calcId="191029"/>
  <pivotCaches>
    <pivotCache cacheId="7" r:id="rId10"/>
    <pivotCache cacheId="1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06" i="14" l="1"/>
  <c r="D6283" i="14"/>
  <c r="D6282" i="14"/>
  <c r="G1" i="11" a="1"/>
  <c r="G1" i="11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<sst xmlns="http://schemas.openxmlformats.org/spreadsheetml/2006/main" count="14692" uniqueCount="269">
  <si>
    <t>Travel Mode</t>
  </si>
  <si>
    <t>Year</t>
  </si>
  <si>
    <t>Train</t>
  </si>
  <si>
    <t>Customer Satisfaction</t>
  </si>
  <si>
    <t>Bus</t>
  </si>
  <si>
    <t xml:space="preserve">Ferry </t>
  </si>
  <si>
    <t xml:space="preserve">Light Rail </t>
  </si>
  <si>
    <t xml:space="preserve">Metro </t>
  </si>
  <si>
    <t>Ferry</t>
  </si>
  <si>
    <t>CPI</t>
  </si>
  <si>
    <t xml:space="preserve">Year_Month </t>
  </si>
  <si>
    <t xml:space="preserve">Card Type </t>
  </si>
  <si>
    <t xml:space="preserve">Travel Mode </t>
  </si>
  <si>
    <t>Distance Band</t>
  </si>
  <si>
    <t>Fare_nominal (Peak time)</t>
  </si>
  <si>
    <t>weekday-cap</t>
  </si>
  <si>
    <t>weekly-cap</t>
  </si>
  <si>
    <t xml:space="preserve">Adult </t>
  </si>
  <si>
    <t>0-10km</t>
  </si>
  <si>
    <t>10-20km</t>
  </si>
  <si>
    <t>20-35km</t>
  </si>
  <si>
    <t>35-65km</t>
  </si>
  <si>
    <t>65km+</t>
  </si>
  <si>
    <t>0-3km</t>
  </si>
  <si>
    <t>3-8km</t>
  </si>
  <si>
    <t>8km+</t>
  </si>
  <si>
    <t>Light Rail</t>
  </si>
  <si>
    <t>0-9km</t>
  </si>
  <si>
    <t>9km+</t>
  </si>
  <si>
    <t>1. All group CPI Sydney,  CPI take every second month each year</t>
  </si>
  <si>
    <t>2. Choose base year for all index is on 2016</t>
  </si>
  <si>
    <t xml:space="preserve">Data source: </t>
  </si>
  <si>
    <t>Census 2011: Basic Community Profiles for SA2 and above &gt; Transport</t>
  </si>
  <si>
    <t>Central Coast</t>
  </si>
  <si>
    <t>Distance from Sydney CBD (km)</t>
  </si>
  <si>
    <t>Blacktown</t>
  </si>
  <si>
    <t>Burwood</t>
  </si>
  <si>
    <t>Camden</t>
  </si>
  <si>
    <t>Campbelltown</t>
  </si>
  <si>
    <t>Canada Bay</t>
  </si>
  <si>
    <t>Canterbury-Bankstown</t>
  </si>
  <si>
    <t>Fairfield</t>
  </si>
  <si>
    <t>Hornsby</t>
  </si>
  <si>
    <t>Hunters Hill</t>
  </si>
  <si>
    <t>Inner West</t>
  </si>
  <si>
    <t>Lane Cove</t>
  </si>
  <si>
    <t>Liverpool</t>
  </si>
  <si>
    <t>Mosman</t>
  </si>
  <si>
    <t>North Sydney</t>
  </si>
  <si>
    <t>Parramatta</t>
  </si>
  <si>
    <t>Penrith</t>
  </si>
  <si>
    <t>Randwick</t>
  </si>
  <si>
    <t>Ryde</t>
  </si>
  <si>
    <t>Strathfield</t>
  </si>
  <si>
    <t>Sutherland</t>
  </si>
  <si>
    <t>Sydney</t>
  </si>
  <si>
    <t>Waverley</t>
  </si>
  <si>
    <t>Willoughby</t>
  </si>
  <si>
    <t>Woollahra</t>
  </si>
  <si>
    <t>Worked at home (%)</t>
  </si>
  <si>
    <t>Public transport use (%)</t>
  </si>
  <si>
    <t xml:space="preserve">3.  2021 Census: method of travel to work, Unit of measure: count of persons, calculate from appendix </t>
  </si>
  <si>
    <t>Hourly opal trip: Data browser from TfNSW, Opal Patronage, accessed November 2023</t>
  </si>
  <si>
    <t>LGAs</t>
  </si>
  <si>
    <t>HH_LGA_ID</t>
  </si>
  <si>
    <t>HH_LGA_NAME</t>
  </si>
  <si>
    <t>TRAVEL_MODE</t>
  </si>
  <si>
    <t>TRIPS_BY_MODE</t>
  </si>
  <si>
    <t>PCT_OF_TOTAL_TRIPS</t>
  </si>
  <si>
    <t>MODE_SHARE</t>
  </si>
  <si>
    <t>DISTANCE_BY_MODE</t>
  </si>
  <si>
    <t>PCT_OF_TOTAL_DISTANCE</t>
  </si>
  <si>
    <t>Bayside</t>
  </si>
  <si>
    <t>other*</t>
  </si>
  <si>
    <t>public transport</t>
  </si>
  <si>
    <t>vehicle driver</t>
  </si>
  <si>
    <t>vehicle passenger</t>
  </si>
  <si>
    <t>walk linked</t>
  </si>
  <si>
    <t>walk only</t>
  </si>
  <si>
    <t>Blue Mountains</t>
  </si>
  <si>
    <t>other**</t>
  </si>
  <si>
    <t>public transport*</t>
  </si>
  <si>
    <t>vehicle driver*</t>
  </si>
  <si>
    <t>vehicle passenger*</t>
  </si>
  <si>
    <t>walk linked*</t>
  </si>
  <si>
    <t>walk only*</t>
  </si>
  <si>
    <t>Cessnock</t>
  </si>
  <si>
    <t>public transport**</t>
  </si>
  <si>
    <t>walk linked**</t>
  </si>
  <si>
    <t>Cumberland</t>
  </si>
  <si>
    <t>Dungog</t>
  </si>
  <si>
    <t>walk only**</t>
  </si>
  <si>
    <t>Georges River</t>
  </si>
  <si>
    <t>Hawkesbury</t>
  </si>
  <si>
    <t>other</t>
  </si>
  <si>
    <t>Kiama</t>
  </si>
  <si>
    <t>Ku-ring-gai</t>
  </si>
  <si>
    <t>Lake Macquarie</t>
  </si>
  <si>
    <t>Maitland</t>
  </si>
  <si>
    <t>Newcastle</t>
  </si>
  <si>
    <t>Northern Beaches</t>
  </si>
  <si>
    <t>Port Stephens</t>
  </si>
  <si>
    <t>Shellharbour</t>
  </si>
  <si>
    <t>Shoalhaven</t>
  </si>
  <si>
    <t>Sutherland Shire</t>
  </si>
  <si>
    <t>The Hills Shire</t>
  </si>
  <si>
    <t>Wingecarribee</t>
  </si>
  <si>
    <t>Wollondilly</t>
  </si>
  <si>
    <t>Wollongong</t>
  </si>
  <si>
    <t>Household travel mode is only for post covid data</t>
  </si>
  <si>
    <t>Travel Time</t>
  </si>
  <si>
    <t>TRIP_AVG_DISTANCE (km)</t>
  </si>
  <si>
    <t>TRIP_AVG_TIME (mins)</t>
  </si>
  <si>
    <t>Year_Month</t>
  </si>
  <si>
    <t>Card_type</t>
  </si>
  <si>
    <t>Travel_Mode</t>
  </si>
  <si>
    <t>Trip</t>
  </si>
  <si>
    <t>Adult</t>
  </si>
  <si>
    <t>Child/Youth</t>
  </si>
  <si>
    <t>Concession</t>
  </si>
  <si>
    <t>Employee</t>
  </si>
  <si>
    <t>Free Travel</t>
  </si>
  <si>
    <t>School Student</t>
  </si>
  <si>
    <t>Senior/Pensioner</t>
  </si>
  <si>
    <t>Sgl Trip Ferry Adult</t>
  </si>
  <si>
    <t>Sgl Trip Ferry Child/Youth</t>
  </si>
  <si>
    <t>LR-MST</t>
  </si>
  <si>
    <t>Sgl Trip LR Adult</t>
  </si>
  <si>
    <t>Sgl Trip LR Child/Youth</t>
  </si>
  <si>
    <t>Sgl Trip Rail Adult</t>
  </si>
  <si>
    <t>Sgl Trip Rail Child/Youth</t>
  </si>
  <si>
    <t>Adult Single Bus Trip 1</t>
  </si>
  <si>
    <t>Adult Single Bus Trip 2</t>
  </si>
  <si>
    <t>Adult Single Bus Trip 3</t>
  </si>
  <si>
    <t>Child/Youth Single Bus Trip 1</t>
  </si>
  <si>
    <t>Child/Youth Single Bus Trip 2</t>
  </si>
  <si>
    <t>Child/Youth Single Bus Trip 3</t>
  </si>
  <si>
    <t>CTP</t>
  </si>
  <si>
    <t>Day Pass Child/Youth w/o SAF</t>
  </si>
  <si>
    <t>Day Pass without SAF</t>
  </si>
  <si>
    <t>On Demand</t>
  </si>
  <si>
    <t>Other</t>
  </si>
  <si>
    <t>Metro</t>
  </si>
  <si>
    <t>unallocated</t>
  </si>
  <si>
    <t>UNKNOWN</t>
  </si>
  <si>
    <t>Operator</t>
  </si>
  <si>
    <t>Busways R1</t>
  </si>
  <si>
    <t>Transit Systems NSW SW</t>
  </si>
  <si>
    <t>Transit Systems NSW</t>
  </si>
  <si>
    <t>CDC NSW R4</t>
  </si>
  <si>
    <t>Transit Systems West</t>
  </si>
  <si>
    <t>Busways North West</t>
  </si>
  <si>
    <t>Keolis Downer Northern Beaches</t>
  </si>
  <si>
    <t>Transdev John Holland Buses</t>
  </si>
  <si>
    <t>U-Go Mobility</t>
  </si>
  <si>
    <t>CDC NSW R14</t>
  </si>
  <si>
    <t>year</t>
  </si>
  <si>
    <t>Mode</t>
  </si>
  <si>
    <t>Services_attribute</t>
  </si>
  <si>
    <t>Metric</t>
  </si>
  <si>
    <t>Service-driver</t>
  </si>
  <si>
    <t>Overall</t>
  </si>
  <si>
    <t>Timeliness</t>
  </si>
  <si>
    <t>Safety &amp; Security</t>
  </si>
  <si>
    <t>Ticketing</t>
  </si>
  <si>
    <t>Convenience</t>
  </si>
  <si>
    <t>Accessibility</t>
  </si>
  <si>
    <t>Comfort</t>
  </si>
  <si>
    <t>Cleanliness</t>
  </si>
  <si>
    <t>Information</t>
  </si>
  <si>
    <t>Customer Service</t>
  </si>
  <si>
    <t>CSI (average)</t>
  </si>
  <si>
    <t>How satisfied are you with this service</t>
  </si>
  <si>
    <t>This ferry turning up on time</t>
  </si>
  <si>
    <t>Frequency of this ferry service</t>
  </si>
  <si>
    <t>Journey time given the distance travelled</t>
  </si>
  <si>
    <t>Time to connect to other transport services</t>
  </si>
  <si>
    <t>Feeling safe at the ferry wharf</t>
  </si>
  <si>
    <t>Feeling safe while on this ferry</t>
  </si>
  <si>
    <t>This ferry being driven safely</t>
  </si>
  <si>
    <t>Ease of purchasing my ticket</t>
  </si>
  <si>
    <t>Ease of using my Opal card</t>
  </si>
  <si>
    <t>Ease of getting to the ferry wharf</t>
  </si>
  <si>
    <t>Ease of connection with other modes of transport</t>
  </si>
  <si>
    <t>Ease of accessing the ferry wharf</t>
  </si>
  <si>
    <t>Ease of getting on and off the ferry</t>
  </si>
  <si>
    <t>Usefulness of signs to help you find your way</t>
  </si>
  <si>
    <t>Comfort at the ferry wharf (shelter &amp; seating)</t>
  </si>
  <si>
    <t>Seat availability on this ferry</t>
  </si>
  <si>
    <t>Seat comfort on this ferry</t>
  </si>
  <si>
    <t>Temperature on this ferry</t>
  </si>
  <si>
    <t>Personal space on this ferry</t>
  </si>
  <si>
    <t>Smoothness of this ferry trip</t>
  </si>
  <si>
    <t>Cleanliness of the ferry wharf</t>
  </si>
  <si>
    <t>Cleanliness of this ferry</t>
  </si>
  <si>
    <t>Availability of arrival information for this ferry</t>
  </si>
  <si>
    <t>Availability of next stop information on this ferry</t>
  </si>
  <si>
    <t>Availability of information about service delays</t>
  </si>
  <si>
    <t>Ease of finding info (routes, stops, timetables)</t>
  </si>
  <si>
    <t>Willingness of ferry staff to help</t>
  </si>
  <si>
    <t>Knowledge of ferry staff</t>
  </si>
  <si>
    <t>Presentation of ferry staff</t>
  </si>
  <si>
    <t>% satisfied</t>
  </si>
  <si>
    <t>% dissatisfied</t>
  </si>
  <si>
    <t>This train turning up on time</t>
  </si>
  <si>
    <t>Frequency of this train service</t>
  </si>
  <si>
    <t>Feeling safe at the train station</t>
  </si>
  <si>
    <t>Feeling safe while on this train</t>
  </si>
  <si>
    <t>Ease of getting to the station</t>
  </si>
  <si>
    <t>Ease of accessing the train station</t>
  </si>
  <si>
    <t>Ease of getting on and off the train</t>
  </si>
  <si>
    <t>Comfort at the train station (shelter &amp; seating)</t>
  </si>
  <si>
    <t>Seat availability on this train</t>
  </si>
  <si>
    <t>Seat comfort on this train</t>
  </si>
  <si>
    <t>Temperature on this train</t>
  </si>
  <si>
    <t>Personal space on this train</t>
  </si>
  <si>
    <t>Cleanliness of the train station</t>
  </si>
  <si>
    <t>Cleanliness of this train</t>
  </si>
  <si>
    <t>Availability of arrival information for this train</t>
  </si>
  <si>
    <t>Availability of next stop information on this train</t>
  </si>
  <si>
    <t>Willingness of rail staff to help</t>
  </si>
  <si>
    <t>Knowledge of rail staff</t>
  </si>
  <si>
    <t>Presentation of rail staff</t>
  </si>
  <si>
    <t>This bus turning up on time</t>
  </si>
  <si>
    <t>Frequency of this bus service</t>
  </si>
  <si>
    <t>Feeling safe at the bus stop</t>
  </si>
  <si>
    <t>Feeling safe while on this bus</t>
  </si>
  <si>
    <t>This bus being driven safely</t>
  </si>
  <si>
    <t>Ease of getting to the bus stop</t>
  </si>
  <si>
    <t>Ease of accessing the bus stop</t>
  </si>
  <si>
    <t>Ease of getting on and off this bus</t>
  </si>
  <si>
    <t>Comfort at the bus stop (shelter &amp; seating)</t>
  </si>
  <si>
    <t>Seat availability on this bus</t>
  </si>
  <si>
    <t>Seat comfort on this bus</t>
  </si>
  <si>
    <t>Temperature on this bus</t>
  </si>
  <si>
    <t>Personal space on this bus</t>
  </si>
  <si>
    <t>Smoothness of this bus trip</t>
  </si>
  <si>
    <t>Cleanliness of the bus stop</t>
  </si>
  <si>
    <t>Cleanliness of this bus</t>
  </si>
  <si>
    <t>Availability of arrival information for this bus</t>
  </si>
  <si>
    <t>Availability of next stop information on this bus</t>
  </si>
  <si>
    <t>Willingness of bus staff to help</t>
  </si>
  <si>
    <t>Knowledge of bus staff</t>
  </si>
  <si>
    <t>Presentation of bus staff</t>
  </si>
  <si>
    <t xml:space="preserve">Fare_real (Peaktime) </t>
  </si>
  <si>
    <t>4. Notice that the year 2021  was when COVID-19 seriously impacted Australia</t>
  </si>
  <si>
    <t>\</t>
  </si>
  <si>
    <t>5. Most of estimated travel mode mentioned about unlinked trip (take for another tranportation granted).</t>
  </si>
  <si>
    <t>Row Labels</t>
  </si>
  <si>
    <t>(blank)</t>
  </si>
  <si>
    <t>Grand Total</t>
  </si>
  <si>
    <t>&lt;01/07/2016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</si>
  <si>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</si>
  <si>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</si>
  <si>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</si>
  <si>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</si>
  <si>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</si>
  <si>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</si>
  <si>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</si>
  <si>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</si>
  <si>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</si>
  <si>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</si>
  <si>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(All)</t>
  </si>
  <si>
    <t>Quarters (Year_Month)</t>
  </si>
  <si>
    <t>Months (Year_Month)</t>
  </si>
  <si>
    <t>Column Labels</t>
  </si>
  <si>
    <t>Average of Trip</t>
  </si>
  <si>
    <t>Average of Fare_nominal (Peak time)</t>
  </si>
  <si>
    <t xml:space="preserve">Average of Fare_real (Peaktime)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</si>
</sst>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$&quot;#,##0.00;[Red]\-&quot;$&quot;#,##0.00"/>
    <numFmt numFmtId="165" formatCode="\$#,##0.00;\-\$#,##0.00"/>
    <numFmt numFmtId="166" formatCode="0.0;\-0.0;0.0;@"/>
    <numFmt numFmtId="167" formatCode="0.0%"/>
    <numFmt numFmtId="168" formatCode="h\ AM/PM"/>
    <numFmt numFmtId="169" formatCode="_-* #,##0_-;\-* #,##0_-;_-* &quot;-&quot;??_-;_-@_-"/>
    <numFmt numFmtId="170" formatCode="0.0"/>
  </numFmts>
  <fonts count="2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rgb="FF1F497D"/>
      <name val="Aptos Display"/>
      <family val="2"/>
      <scheme val="major"/>
    </font>
    <font>
      <b/>
      <sz val="18"/>
      <color theme="3"/>
      <name val="Aptos Display"/>
      <family val="2"/>
      <scheme val="major"/>
    </font>
    <font>
      <sz val="12"/>
      <color rgb="FF000000"/>
      <name val="Arial"/>
      <family val="2"/>
    </font>
    <font>
      <b/>
      <sz val="9"/>
      <color theme="1"/>
      <name val="Aptos Narrow"/>
      <family val="2"/>
      <scheme val="minor"/>
    </font>
    <font>
      <sz val="9"/>
      <name val="Arial"/>
      <family val="2"/>
    </font>
    <font>
      <sz val="9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indexed="9"/>
      <name val="Arial"/>
      <family val="2"/>
    </font>
    <font>
      <sz val="9"/>
      <color rgb="FF000000"/>
      <name val="Helvetica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" fontId="10" fillId="2" borderId="0" applyBorder="0" applyAlignment="0">
      <alignment horizontal="right"/>
      <protection locked="0"/>
    </xf>
    <xf numFmtId="167" fontId="10" fillId="2" borderId="0" applyBorder="0" applyAlignment="0">
      <alignment horizontal="right"/>
      <protection locked="0"/>
    </xf>
    <xf numFmtId="0" fontId="20" fillId="0" borderId="0"/>
  </cellStyleXfs>
  <cellXfs count="55">
    <xf numFmtId="0" fontId="0" fillId="0" borderId="0" xfId="0"/>
    <xf numFmtId="0" fontId="1" fillId="0" borderId="0" xfId="0" applyFont="1"/>
    <xf numFmtId="9" fontId="0" fillId="0" borderId="0" xfId="0" applyNumberFormat="1"/>
    <xf numFmtId="166" fontId="8" fillId="0" borderId="0" xfId="0" applyNumberFormat="1" applyFont="1"/>
    <xf numFmtId="164" fontId="0" fillId="0" borderId="0" xfId="0" applyNumberFormat="1"/>
    <xf numFmtId="0" fontId="9" fillId="0" borderId="1" xfId="0" applyFont="1" applyBorder="1"/>
    <xf numFmtId="0" fontId="12" fillId="0" borderId="0" xfId="0" applyFont="1" applyAlignment="1">
      <alignment wrapText="1"/>
    </xf>
    <xf numFmtId="0" fontId="13" fillId="0" borderId="1" xfId="0" applyFont="1" applyBorder="1"/>
    <xf numFmtId="0" fontId="13" fillId="0" borderId="3" xfId="0" applyFont="1" applyBorder="1" applyAlignment="1">
      <alignment horizontal="right" wrapText="1"/>
    </xf>
    <xf numFmtId="0" fontId="13" fillId="0" borderId="4" xfId="0" applyFont="1" applyBorder="1" applyAlignment="1">
      <alignment horizontal="right" wrapText="1"/>
    </xf>
    <xf numFmtId="3" fontId="14" fillId="2" borderId="0" xfId="5" applyNumberFormat="1" applyFont="1" applyBorder="1" applyAlignment="1">
      <protection locked="0"/>
    </xf>
    <xf numFmtId="9" fontId="14" fillId="2" borderId="5" xfId="6" applyNumberFormat="1" applyFont="1" applyBorder="1" applyAlignment="1">
      <protection locked="0"/>
    </xf>
    <xf numFmtId="0" fontId="13" fillId="0" borderId="4" xfId="0" applyFont="1" applyBorder="1"/>
    <xf numFmtId="0" fontId="12" fillId="0" borderId="5" xfId="0" applyFont="1" applyBorder="1"/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8" fontId="4" fillId="0" borderId="2" xfId="0" applyNumberFormat="1" applyFont="1" applyBorder="1" applyAlignment="1">
      <alignment horizontal="left"/>
    </xf>
    <xf numFmtId="169" fontId="11" fillId="2" borderId="0" xfId="1" applyNumberFormat="1" applyFont="1" applyFill="1" applyBorder="1" applyAlignment="1" applyProtection="1">
      <protection locked="0"/>
    </xf>
    <xf numFmtId="169" fontId="11" fillId="2" borderId="5" xfId="1" applyNumberFormat="1" applyFont="1" applyFill="1" applyBorder="1" applyAlignment="1" applyProtection="1">
      <protection locked="0"/>
    </xf>
    <xf numFmtId="168" fontId="4" fillId="0" borderId="6" xfId="0" applyNumberFormat="1" applyFont="1" applyBorder="1" applyAlignment="1">
      <alignment horizontal="left"/>
    </xf>
    <xf numFmtId="169" fontId="11" fillId="2" borderId="7" xfId="1" applyNumberFormat="1" applyFont="1" applyFill="1" applyBorder="1" applyAlignment="1" applyProtection="1">
      <protection locked="0"/>
    </xf>
    <xf numFmtId="169" fontId="11" fillId="2" borderId="8" xfId="1" applyNumberFormat="1" applyFont="1" applyFill="1" applyBorder="1" applyAlignment="1" applyProtection="1">
      <protection locked="0"/>
    </xf>
    <xf numFmtId="17" fontId="0" fillId="0" borderId="0" xfId="0" applyNumberFormat="1"/>
    <xf numFmtId="0" fontId="16" fillId="0" borderId="0" xfId="0" applyFont="1"/>
    <xf numFmtId="17" fontId="16" fillId="0" borderId="0" xfId="0" applyNumberFormat="1" applyFont="1"/>
    <xf numFmtId="0" fontId="15" fillId="0" borderId="0" xfId="0" applyFont="1"/>
    <xf numFmtId="0" fontId="17" fillId="3" borderId="9" xfId="0" applyFont="1" applyFill="1" applyBorder="1" applyAlignment="1">
      <alignment horizontal="center" vertical="center"/>
    </xf>
    <xf numFmtId="0" fontId="18" fillId="0" borderId="1" xfId="0" applyFont="1" applyBorder="1"/>
    <xf numFmtId="17" fontId="17" fillId="3" borderId="9" xfId="0" applyNumberFormat="1" applyFont="1" applyFill="1" applyBorder="1" applyAlignment="1">
      <alignment horizontal="center" vertical="center"/>
    </xf>
    <xf numFmtId="167" fontId="19" fillId="0" borderId="6" xfId="0" applyNumberFormat="1" applyFont="1" applyBorder="1" applyAlignment="1">
      <alignment horizontal="center" vertical="center"/>
    </xf>
    <xf numFmtId="167" fontId="19" fillId="0" borderId="2" xfId="0" applyNumberFormat="1" applyFont="1" applyBorder="1" applyAlignment="1">
      <alignment horizontal="center" vertical="center"/>
    </xf>
    <xf numFmtId="0" fontId="12" fillId="0" borderId="1" xfId="0" applyFont="1" applyBorder="1"/>
    <xf numFmtId="0" fontId="21" fillId="4" borderId="1" xfId="7" applyFont="1" applyFill="1" applyBorder="1" applyAlignment="1">
      <alignment horizontal="left" vertical="center" wrapText="1"/>
    </xf>
    <xf numFmtId="0" fontId="21" fillId="4" borderId="1" xfId="7" applyFont="1" applyFill="1" applyBorder="1" applyAlignment="1">
      <alignment horizontal="left" vertical="center"/>
    </xf>
    <xf numFmtId="0" fontId="21" fillId="4" borderId="1" xfId="7" applyFont="1" applyFill="1" applyBorder="1" applyAlignment="1">
      <alignment vertical="center" wrapText="1"/>
    </xf>
    <xf numFmtId="0" fontId="14" fillId="4" borderId="1" xfId="7" applyFont="1" applyFill="1" applyBorder="1" applyAlignment="1">
      <alignment horizontal="left" vertical="center"/>
    </xf>
    <xf numFmtId="0" fontId="21" fillId="4" borderId="1" xfId="7" applyFont="1" applyFill="1" applyBorder="1" applyAlignment="1">
      <alignment vertical="center"/>
    </xf>
    <xf numFmtId="9" fontId="12" fillId="0" borderId="1" xfId="2" applyFont="1" applyBorder="1"/>
    <xf numFmtId="9" fontId="12" fillId="0" borderId="1" xfId="2" applyFont="1" applyBorder="1" applyAlignment="1">
      <alignment wrapText="1"/>
    </xf>
    <xf numFmtId="9" fontId="12" fillId="0" borderId="1" xfId="2" applyFont="1" applyBorder="1" applyAlignment="1">
      <alignment horizontal="right"/>
    </xf>
    <xf numFmtId="15" fontId="0" fillId="0" borderId="0" xfId="0" applyNumberFormat="1"/>
    <xf numFmtId="0" fontId="5" fillId="0" borderId="0" xfId="0" quotePrefix="1" applyFont="1"/>
    <xf numFmtId="164" fontId="5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center"/>
    </xf>
    <xf numFmtId="165" fontId="5" fillId="0" borderId="0" xfId="3" applyNumberFormat="1" applyFont="1" applyFill="1" applyBorder="1"/>
    <xf numFmtId="0" fontId="5" fillId="0" borderId="0" xfId="0" applyFont="1"/>
    <xf numFmtId="16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5" fontId="0" fillId="0" borderId="0" xfId="4" applyNumberFormat="1" applyFont="1" applyFill="1" applyBorder="1"/>
    <xf numFmtId="0" fontId="0" fillId="0" borderId="0" xfId="0" quotePrefix="1"/>
    <xf numFmtId="0" fontId="3" fillId="0" borderId="0" xfId="0" applyFont="1"/>
    <xf numFmtId="1" fontId="15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8">
    <cellStyle name="Comma" xfId="1" builtinId="3"/>
    <cellStyle name="Input #" xfId="5" xr:uid="{DC46B6CC-5867-F146-B26C-66EECCF975C2}"/>
    <cellStyle name="Input %" xfId="6" xr:uid="{475ED228-91DA-3E45-9651-DC778DACB689}"/>
    <cellStyle name="Normal" xfId="0" builtinId="0"/>
    <cellStyle name="Normal_Sheet1" xfId="7" xr:uid="{AF30EED0-4B28-C24D-9BC4-D2BB927CC149}"/>
    <cellStyle name="Per cent" xfId="2" builtinId="5"/>
    <cellStyle name="Title 2" xfId="4" xr:uid="{9BDE4AE8-702B-BC4A-B20E-896F9DC17162}"/>
    <cellStyle name="Title 6" xfId="3" xr:uid="{67306CB6-E12A-884A-AE2A-B0A4B400287A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3" formatCode="0%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3" formatCode="0%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[Mix_dataset.xlsx]Affordability!PivotTable2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483870967741972E-2"/>
              <c:y val="-0.119402985074626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0322580645161289E-2"/>
              <c:y val="-0.123667377398720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258064516129031E-2"/>
              <c:y val="-5.5437100213219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2096774193548387E-2"/>
              <c:y val="-6.82302771855010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0161290322580645E-3"/>
              <c:y val="9.80810234541577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0483870967741934E-3"/>
              <c:y val="8.95522388059700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Affordability!$N$1</c:f>
              <c:strCache>
                <c:ptCount val="1"/>
                <c:pt idx="0">
                  <c:v>Average of Fare_nominal (Peak time)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0483870967741972E-2"/>
                  <c:y val="-0.119402985074626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97-7D49-A333-F6093A06F6B0}"/>
                </c:ext>
              </c:extLst>
            </c:dLbl>
            <c:dLbl>
              <c:idx val="2"/>
              <c:layout>
                <c:manualLayout>
                  <c:x val="-4.0322580645161289E-2"/>
                  <c:y val="-0.123667377398720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97-7D49-A333-F6093A06F6B0}"/>
                </c:ext>
              </c:extLst>
            </c:dLbl>
            <c:dLbl>
              <c:idx val="3"/>
              <c:layout>
                <c:manualLayout>
                  <c:x val="-3.2258064516129031E-2"/>
                  <c:y val="-5.54371002132196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97-7D49-A333-F6093A06F6B0}"/>
                </c:ext>
              </c:extLst>
            </c:dLbl>
            <c:dLbl>
              <c:idx val="4"/>
              <c:layout>
                <c:manualLayout>
                  <c:x val="-1.2096774193548387E-2"/>
                  <c:y val="-6.8230277185501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97-7D49-A333-F6093A06F6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Affordability!$M$2:$M$7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Affordability!$N$2:$N$7</c:f>
              <c:numCache>
                <c:formatCode>"$"#,##0.00;[Red]\-"$"#,##0.00</c:formatCode>
                <c:ptCount val="5"/>
                <c:pt idx="0">
                  <c:v>5.1623076923076923</c:v>
                </c:pt>
                <c:pt idx="1">
                  <c:v>4.3856250000000001</c:v>
                </c:pt>
                <c:pt idx="2">
                  <c:v>5.6015384615384614</c:v>
                </c:pt>
                <c:pt idx="3">
                  <c:v>5.8584615384615395</c:v>
                </c:pt>
                <c:pt idx="4">
                  <c:v>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7-7D49-A333-F6093A06F6B0}"/>
            </c:ext>
          </c:extLst>
        </c:ser>
        <c:ser>
          <c:idx val="1"/>
          <c:order val="1"/>
          <c:tx>
            <c:strRef>
              <c:f>Affordability!$O$1</c:f>
              <c:strCache>
                <c:ptCount val="1"/>
                <c:pt idx="0">
                  <c:v>Average of Fare_real (Peaktime)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6.0483870967741934E-3"/>
                  <c:y val="8.9552238805970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97-7D49-A333-F6093A06F6B0}"/>
                </c:ext>
              </c:extLst>
            </c:dLbl>
            <c:dLbl>
              <c:idx val="3"/>
              <c:layout>
                <c:manualLayout>
                  <c:x val="2.0161290322580645E-3"/>
                  <c:y val="9.8081023454157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97-7D49-A333-F6093A06F6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Affordability!$M$2:$M$7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Affordability!$O$2:$O$7</c:f>
              <c:numCache>
                <c:formatCode>"$"#,##0.00;[Red]\-"$"#,##0.00</c:formatCode>
                <c:ptCount val="5"/>
                <c:pt idx="0">
                  <c:v>5.1623076923076923</c:v>
                </c:pt>
                <c:pt idx="1">
                  <c:v>4.2012656628940981</c:v>
                </c:pt>
                <c:pt idx="2">
                  <c:v>5.0021274129036009</c:v>
                </c:pt>
                <c:pt idx="3">
                  <c:v>5.041595441595442</c:v>
                </c:pt>
                <c:pt idx="4">
                  <c:v>5.0797728885734568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97-7D49-A333-F6093A06F6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9931184"/>
        <c:axId val="2039601408"/>
      </c:lineChart>
      <c:catAx>
        <c:axId val="204993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39601408"/>
        <c:crosses val="autoZero"/>
        <c:auto val="1"/>
        <c:lblAlgn val="ctr"/>
        <c:lblOffset val="100"/>
        <c:noMultiLvlLbl val="0"/>
      </c:catAx>
      <c:valAx>
        <c:axId val="2039601408"/>
        <c:scaling>
          <c:orientation val="minMax"/>
          <c:min val="4"/>
        </c:scaling>
        <c:delete val="1"/>
        <c:axPos val="l"/>
        <c:numFmt formatCode="&quot;$&quot;#,##0.00;[Red]\-&quot;$&quot;#,##0.00" sourceLinked="1"/>
        <c:majorTickMark val="none"/>
        <c:minorTickMark val="none"/>
        <c:tickLblPos val="nextTo"/>
        <c:crossAx val="20499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11</xdr:row>
      <xdr:rowOff>133350</xdr:rowOff>
    </xdr:from>
    <xdr:to>
      <xdr:col>16</xdr:col>
      <xdr:colOff>711200</xdr:colOff>
      <xdr:row>29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56E88-C3F0-308A-E97B-350558DEF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 Quỳnh Hương" refreshedDate="45970.912086226854" createdVersion="8" refreshedVersion="8" minRefreshableVersion="3" recordCount="6282" xr:uid="{28226BF7-C753-D645-8EA1-E9E42C56DD6E}">
  <cacheSource type="worksheet">
    <worksheetSource ref="A1:D6283" sheet="MA_trips"/>
  </cacheSource>
  <cacheFields count="7">
    <cacheField name="Year_Month" numFmtId="0">
      <sharedItems containsNonDate="0" containsDate="1" containsString="0" containsBlank="1" minDate="2016-07-01T00:00:00" maxDate="2025-08-02T00:00:00" count="111"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4-01T00:00:00"/>
        <d v="2025-04-01T00:00:00"/>
        <d v="2024-08-01T00:00:00"/>
        <d v="2025-08-01T00:00:00"/>
        <d v="2024-12-01T00:00:00"/>
        <d v="2024-02-01T00:00:00"/>
        <d v="2025-02-01T00:00:00"/>
        <d v="2024-01-01T00:00:00"/>
        <d v="2025-01-01T00:00:00"/>
        <d v="2024-07-01T00:00:00"/>
        <d v="2025-07-01T00:00:00"/>
        <d v="2024-06-01T00:00:00"/>
        <d v="2025-06-01T00:00:00"/>
        <d v="2024-03-01T00:00:00"/>
        <d v="2025-03-01T00:00:00"/>
        <d v="2024-05-01T00:00:00"/>
        <d v="2025-05-01T00:00:00"/>
        <d v="2024-11-01T00:00:00"/>
        <d v="2024-10-01T00:00:00"/>
        <d v="2024-09-01T00:00:00"/>
        <m/>
      </sharedItems>
      <fieldGroup par="6"/>
    </cacheField>
    <cacheField name="Card_type" numFmtId="0">
      <sharedItems containsBlank="1"/>
    </cacheField>
    <cacheField name="Travel_Mode" numFmtId="0">
      <sharedItems containsBlank="1" count="7">
        <s v="Bus"/>
        <s v="Ferry"/>
        <s v="Light Rail"/>
        <s v="Train"/>
        <s v="Metro"/>
        <s v="unallocated"/>
        <m/>
      </sharedItems>
    </cacheField>
    <cacheField name="Trip" numFmtId="1">
      <sharedItems containsSemiMixedTypes="0" containsString="0" containsNumber="1" minValue="0" maxValue="5351626106.2099953"/>
    </cacheField>
    <cacheField name="Months (Year_Month)" numFmtId="0" databaseField="0">
      <fieldGroup base="0">
        <rangePr groupBy="months" startDate="2016-07-01T00:00:00" endDate="2025-08-02T00:00:00"/>
        <groupItems count="14">
          <s v="&lt;01/07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8/2025"/>
        </groupItems>
      </fieldGroup>
    </cacheField>
    <cacheField name="Quarters (Year_Month)" numFmtId="0" databaseField="0">
      <fieldGroup base="0">
        <rangePr groupBy="quarters" startDate="2016-07-01T00:00:00" endDate="2025-08-02T00:00:00"/>
        <groupItems count="6">
          <s v="&lt;01/07/2016"/>
          <s v="Qtr1"/>
          <s v="Qtr2"/>
          <s v="Qtr3"/>
          <s v="Qtr4"/>
          <s v="&gt;02/08/2025"/>
        </groupItems>
      </fieldGroup>
    </cacheField>
    <cacheField name="Years (Year_Month)" numFmtId="0" databaseField="0">
      <fieldGroup base="0">
        <rangePr groupBy="years" startDate="2016-07-01T00:00:00" endDate="2025-08-02T00:00:00"/>
        <groupItems count="12">
          <s v="&lt;01/07/2016"/>
          <s v="2016"/>
          <s v="2017"/>
          <s v="2018"/>
          <s v="2019"/>
          <s v="2020"/>
          <s v="2021"/>
          <s v="2022"/>
          <s v="2023"/>
          <s v="2024"/>
          <s v="2025"/>
          <s v="&gt;02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 Quỳnh Hương" refreshedDate="45970.991407175927" createdVersion="8" refreshedVersion="8" minRefreshableVersion="3" recordCount="68" xr:uid="{8EC1E582-B7E9-204A-AE40-8E7EEC6C6C7F}">
  <cacheSource type="worksheet">
    <worksheetSource ref="A1:I69" sheet="Affordability"/>
  </cacheSource>
  <cacheFields count="9">
    <cacheField name="Year_Month 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Card Type " numFmtId="15">
      <sharedItems/>
    </cacheField>
    <cacheField name="Travel Mode " numFmtId="0">
      <sharedItems/>
    </cacheField>
    <cacheField name="Distance Band" numFmtId="0">
      <sharedItems/>
    </cacheField>
    <cacheField name="Fare_nominal (Peak time)" numFmtId="164">
      <sharedItems containsSemiMixedTypes="0" containsString="0" containsNumber="1" minValue="2.2400000000000002" maxValue="10.66"/>
    </cacheField>
    <cacheField name="CPI" numFmtId="170">
      <sharedItems containsSemiMixedTypes="0" containsString="0" containsNumber="1" minValue="118.5" maxValue="140.9"/>
    </cacheField>
    <cacheField name="Fare_real (Peaktime) " numFmtId="164">
      <sharedItems containsSemiMixedTypes="0" containsString="0" containsNumber="1" minValue="2.1458367016976556" maxValue="8.99"/>
    </cacheField>
    <cacheField name="weekday-cap" numFmtId="165">
      <sharedItems containsSemiMixedTypes="0" containsString="0" containsNumber="1" minValue="16.3" maxValue="19.3"/>
    </cacheField>
    <cacheField name="weekly-cap" numFmtId="164">
      <sharedItems containsSemiMixedTypes="0" containsString="0" containsNumber="1" containsInteger="1" minValue="5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2">
  <r>
    <x v="0"/>
    <s v="Adult"/>
    <x v="0"/>
    <n v="13146432"/>
  </r>
  <r>
    <x v="0"/>
    <s v="Child/Youth"/>
    <x v="0"/>
    <n v="1079640"/>
  </r>
  <r>
    <x v="0"/>
    <s v="Concession"/>
    <x v="0"/>
    <n v="1845322"/>
  </r>
  <r>
    <x v="0"/>
    <s v="Employee"/>
    <x v="0"/>
    <n v="64989"/>
  </r>
  <r>
    <x v="0"/>
    <s v="Free Travel"/>
    <x v="0"/>
    <n v="25228"/>
  </r>
  <r>
    <x v="0"/>
    <s v="School Student"/>
    <x v="0"/>
    <n v="1297240"/>
  </r>
  <r>
    <x v="0"/>
    <s v="Senior/Pensioner"/>
    <x v="0"/>
    <n v="3739658"/>
  </r>
  <r>
    <x v="0"/>
    <s v="Adult"/>
    <x v="1"/>
    <n v="861272"/>
  </r>
  <r>
    <x v="0"/>
    <s v="Child/Youth"/>
    <x v="1"/>
    <n v="108450"/>
  </r>
  <r>
    <x v="0"/>
    <s v="Concession"/>
    <x v="1"/>
    <n v="71362"/>
  </r>
  <r>
    <x v="0"/>
    <s v="Employee"/>
    <x v="1"/>
    <n v="5251"/>
  </r>
  <r>
    <x v="0"/>
    <s v="Free Travel"/>
    <x v="1"/>
    <n v="1317"/>
  </r>
  <r>
    <x v="0"/>
    <s v="School Student"/>
    <x v="1"/>
    <n v="1295"/>
  </r>
  <r>
    <x v="0"/>
    <s v="Senior/Pensioner"/>
    <x v="1"/>
    <n v="152188"/>
  </r>
  <r>
    <x v="0"/>
    <s v="Sgl Trip Ferry Adult"/>
    <x v="1"/>
    <n v="10030"/>
  </r>
  <r>
    <x v="0"/>
    <s v="Sgl Trip Ferry Child/Youth"/>
    <x v="1"/>
    <n v="2547"/>
  </r>
  <r>
    <x v="0"/>
    <s v="Adult"/>
    <x v="2"/>
    <n v="595732"/>
  </r>
  <r>
    <x v="0"/>
    <s v="Child/Youth"/>
    <x v="2"/>
    <n v="48667"/>
  </r>
  <r>
    <x v="0"/>
    <s v="Concession"/>
    <x v="2"/>
    <n v="27107"/>
  </r>
  <r>
    <x v="0"/>
    <s v="Employee"/>
    <x v="2"/>
    <n v="2"/>
  </r>
  <r>
    <x v="0"/>
    <s v="Free Travel"/>
    <x v="2"/>
    <n v="693"/>
  </r>
  <r>
    <x v="0"/>
    <s v="LR-MST"/>
    <x v="2"/>
    <n v="24913"/>
  </r>
  <r>
    <x v="0"/>
    <s v="School Student"/>
    <x v="2"/>
    <n v="994"/>
  </r>
  <r>
    <x v="0"/>
    <s v="Senior/Pensioner"/>
    <x v="2"/>
    <n v="128228"/>
  </r>
  <r>
    <x v="0"/>
    <s v="Sgl Trip LR Adult"/>
    <x v="2"/>
    <n v="1094"/>
  </r>
  <r>
    <x v="0"/>
    <s v="Sgl Trip LR Child/Youth"/>
    <x v="2"/>
    <n v="302"/>
  </r>
  <r>
    <x v="0"/>
    <s v="Adult"/>
    <x v="3"/>
    <n v="22145198"/>
  </r>
  <r>
    <x v="0"/>
    <s v="Child/Youth"/>
    <x v="3"/>
    <n v="1107160"/>
  </r>
  <r>
    <x v="0"/>
    <s v="Concession"/>
    <x v="3"/>
    <n v="2105013"/>
  </r>
  <r>
    <x v="0"/>
    <s v="Employee"/>
    <x v="3"/>
    <n v="264074"/>
  </r>
  <r>
    <x v="0"/>
    <s v="Free Travel"/>
    <x v="3"/>
    <n v="24395"/>
  </r>
  <r>
    <x v="0"/>
    <s v="School Student"/>
    <x v="3"/>
    <n v="511309"/>
  </r>
  <r>
    <x v="0"/>
    <s v="Senior/Pensioner"/>
    <x v="3"/>
    <n v="2567262"/>
  </r>
  <r>
    <x v="0"/>
    <s v="Sgl Trip Rail Adult"/>
    <x v="3"/>
    <n v="75274"/>
  </r>
  <r>
    <x v="0"/>
    <s v="Sgl Trip Rail Child/Youth"/>
    <x v="3"/>
    <n v="19564"/>
  </r>
  <r>
    <x v="1"/>
    <s v="Adult"/>
    <x v="0"/>
    <n v="14080864"/>
  </r>
  <r>
    <x v="1"/>
    <s v="Adult Single Bus Trip 1"/>
    <x v="0"/>
    <n v="213548"/>
  </r>
  <r>
    <x v="1"/>
    <s v="Adult Single Bus Trip 2"/>
    <x v="0"/>
    <n v="149890"/>
  </r>
  <r>
    <x v="1"/>
    <s v="Adult Single Bus Trip 3"/>
    <x v="0"/>
    <n v="60625"/>
  </r>
  <r>
    <x v="1"/>
    <s v="Child/Youth"/>
    <x v="0"/>
    <n v="1034488"/>
  </r>
  <r>
    <x v="1"/>
    <s v="Child/Youth Single Bus Trip 1"/>
    <x v="0"/>
    <n v="85540"/>
  </r>
  <r>
    <x v="1"/>
    <s v="Child/Youth Single Bus Trip 2"/>
    <x v="0"/>
    <n v="52781"/>
  </r>
  <r>
    <x v="1"/>
    <s v="Child/Youth Single Bus Trip 3"/>
    <x v="0"/>
    <n v="15864"/>
  </r>
  <r>
    <x v="1"/>
    <s v="Concession"/>
    <x v="0"/>
    <n v="2168046"/>
  </r>
  <r>
    <x v="1"/>
    <s v="Employee"/>
    <x v="0"/>
    <n v="73112"/>
  </r>
  <r>
    <x v="1"/>
    <s v="Free Travel"/>
    <x v="0"/>
    <n v="32202"/>
  </r>
  <r>
    <x v="1"/>
    <s v="School Student"/>
    <x v="0"/>
    <n v="3135595"/>
  </r>
  <r>
    <x v="1"/>
    <s v="Senior/Pensioner"/>
    <x v="0"/>
    <n v="4108217"/>
  </r>
  <r>
    <x v="1"/>
    <s v="Adult"/>
    <x v="1"/>
    <n v="773097"/>
  </r>
  <r>
    <x v="1"/>
    <s v="Child/Youth"/>
    <x v="1"/>
    <n v="81256"/>
  </r>
  <r>
    <x v="1"/>
    <s v="Concession"/>
    <x v="1"/>
    <n v="25177"/>
  </r>
  <r>
    <x v="1"/>
    <s v="Employee"/>
    <x v="1"/>
    <n v="4780"/>
  </r>
  <r>
    <x v="1"/>
    <s v="Free Travel"/>
    <x v="1"/>
    <n v="1728"/>
  </r>
  <r>
    <x v="1"/>
    <s v="School Student"/>
    <x v="1"/>
    <n v="2701"/>
  </r>
  <r>
    <x v="1"/>
    <s v="Senior/Pensioner"/>
    <x v="1"/>
    <n v="158521"/>
  </r>
  <r>
    <x v="1"/>
    <s v="Sgl Trip Ferry Adult"/>
    <x v="1"/>
    <n v="39692"/>
  </r>
  <r>
    <x v="1"/>
    <s v="Sgl Trip Ferry Child/Youth"/>
    <x v="1"/>
    <n v="8103"/>
  </r>
  <r>
    <x v="1"/>
    <s v="Adult"/>
    <x v="2"/>
    <n v="626133"/>
  </r>
  <r>
    <x v="1"/>
    <s v="Child/Youth"/>
    <x v="2"/>
    <n v="40298"/>
  </r>
  <r>
    <x v="1"/>
    <s v="Concession"/>
    <x v="2"/>
    <n v="31569"/>
  </r>
  <r>
    <x v="1"/>
    <s v="Free Travel"/>
    <x v="2"/>
    <n v="888"/>
  </r>
  <r>
    <x v="1"/>
    <s v="School Student"/>
    <x v="2"/>
    <n v="4940"/>
  </r>
  <r>
    <x v="1"/>
    <s v="Senior/Pensioner"/>
    <x v="2"/>
    <n v="134404"/>
  </r>
  <r>
    <x v="1"/>
    <s v="Sgl Trip LR Adult"/>
    <x v="2"/>
    <n v="2068"/>
  </r>
  <r>
    <x v="1"/>
    <s v="Sgl Trip LR Child/Youth"/>
    <x v="2"/>
    <n v="500"/>
  </r>
  <r>
    <x v="1"/>
    <s v="Adult"/>
    <x v="3"/>
    <n v="24129963"/>
  </r>
  <r>
    <x v="1"/>
    <s v="Child/Youth"/>
    <x v="3"/>
    <n v="946988"/>
  </r>
  <r>
    <x v="1"/>
    <s v="Concession"/>
    <x v="3"/>
    <n v="2656456"/>
  </r>
  <r>
    <x v="1"/>
    <s v="Employee"/>
    <x v="3"/>
    <n v="304666"/>
  </r>
  <r>
    <x v="1"/>
    <s v="Free Travel"/>
    <x v="3"/>
    <n v="30830"/>
  </r>
  <r>
    <x v="1"/>
    <s v="School Student"/>
    <x v="3"/>
    <n v="1125676"/>
  </r>
  <r>
    <x v="1"/>
    <s v="Senior/Pensioner"/>
    <x v="3"/>
    <n v="2849358"/>
  </r>
  <r>
    <x v="1"/>
    <s v="Sgl Trip Rail Adult"/>
    <x v="3"/>
    <n v="296696"/>
  </r>
  <r>
    <x v="1"/>
    <s v="Sgl Trip Rail Child/Youth"/>
    <x v="3"/>
    <n v="53347"/>
  </r>
  <r>
    <x v="2"/>
    <s v="Adult"/>
    <x v="0"/>
    <n v="13283356"/>
  </r>
  <r>
    <x v="2"/>
    <s v="Adult Single Bus Trip 1"/>
    <x v="0"/>
    <n v="185031"/>
  </r>
  <r>
    <x v="2"/>
    <s v="Adult Single Bus Trip 2"/>
    <x v="0"/>
    <n v="122355"/>
  </r>
  <r>
    <x v="2"/>
    <s v="Adult Single Bus Trip 3"/>
    <x v="0"/>
    <n v="50083"/>
  </r>
  <r>
    <x v="2"/>
    <s v="Child/Youth"/>
    <x v="0"/>
    <n v="1130778"/>
  </r>
  <r>
    <x v="2"/>
    <s v="Child/Youth Single Bus Trip 1"/>
    <x v="0"/>
    <n v="71536"/>
  </r>
  <r>
    <x v="2"/>
    <s v="Child/Youth Single Bus Trip 2"/>
    <x v="0"/>
    <n v="47969"/>
  </r>
  <r>
    <x v="2"/>
    <s v="Child/Youth Single Bus Trip 3"/>
    <x v="0"/>
    <n v="14739"/>
  </r>
  <r>
    <x v="2"/>
    <s v="Concession"/>
    <x v="0"/>
    <n v="1736089"/>
  </r>
  <r>
    <x v="2"/>
    <s v="Employee"/>
    <x v="0"/>
    <n v="71783"/>
  </r>
  <r>
    <x v="2"/>
    <s v="Free Travel"/>
    <x v="0"/>
    <n v="32715"/>
  </r>
  <r>
    <x v="2"/>
    <s v="School Student"/>
    <x v="0"/>
    <n v="2244235"/>
  </r>
  <r>
    <x v="2"/>
    <s v="Senior/Pensioner"/>
    <x v="0"/>
    <n v="4020871"/>
  </r>
  <r>
    <x v="2"/>
    <s v="Adult"/>
    <x v="1"/>
    <n v="783747"/>
  </r>
  <r>
    <x v="2"/>
    <s v="Child/Youth"/>
    <x v="1"/>
    <n v="103302"/>
  </r>
  <r>
    <x v="2"/>
    <s v="Concession"/>
    <x v="1"/>
    <n v="25070"/>
  </r>
  <r>
    <x v="2"/>
    <s v="Employee"/>
    <x v="1"/>
    <n v="4975"/>
  </r>
  <r>
    <x v="2"/>
    <s v="Free Travel"/>
    <x v="1"/>
    <n v="1920"/>
  </r>
  <r>
    <x v="2"/>
    <s v="School Student"/>
    <x v="1"/>
    <n v="1830"/>
  </r>
  <r>
    <x v="2"/>
    <s v="Senior/Pensioner"/>
    <x v="1"/>
    <n v="165216"/>
  </r>
  <r>
    <x v="2"/>
    <s v="Sgl Trip Ferry Adult"/>
    <x v="1"/>
    <n v="46928"/>
  </r>
  <r>
    <x v="2"/>
    <s v="Sgl Trip Ferry Child/Youth"/>
    <x v="1"/>
    <n v="10730"/>
  </r>
  <r>
    <x v="2"/>
    <s v="Adult"/>
    <x v="2"/>
    <n v="545779"/>
  </r>
  <r>
    <x v="2"/>
    <s v="Child/Youth"/>
    <x v="2"/>
    <n v="41089"/>
  </r>
  <r>
    <x v="2"/>
    <s v="Concession"/>
    <x v="2"/>
    <n v="26988"/>
  </r>
  <r>
    <x v="2"/>
    <s v="Free Travel"/>
    <x v="2"/>
    <n v="844"/>
  </r>
  <r>
    <x v="2"/>
    <s v="School Student"/>
    <x v="2"/>
    <n v="4389"/>
  </r>
  <r>
    <x v="2"/>
    <s v="Senior/Pensioner"/>
    <x v="2"/>
    <n v="135478"/>
  </r>
  <r>
    <x v="2"/>
    <s v="Sgl Trip LR Adult"/>
    <x v="2"/>
    <n v="2773"/>
  </r>
  <r>
    <x v="2"/>
    <s v="Sgl Trip LR Child/Youth"/>
    <x v="2"/>
    <n v="733"/>
  </r>
  <r>
    <x v="2"/>
    <s v="Adult"/>
    <x v="3"/>
    <n v="23062165"/>
  </r>
  <r>
    <x v="2"/>
    <s v="Child/Youth"/>
    <x v="3"/>
    <n v="1094712"/>
  </r>
  <r>
    <x v="2"/>
    <s v="Concession"/>
    <x v="3"/>
    <n v="2131790"/>
  </r>
  <r>
    <x v="2"/>
    <s v="Employee"/>
    <x v="3"/>
    <n v="302130"/>
  </r>
  <r>
    <x v="2"/>
    <s v="Free Travel"/>
    <x v="3"/>
    <n v="30292"/>
  </r>
  <r>
    <x v="2"/>
    <s v="School Student"/>
    <x v="3"/>
    <n v="833102"/>
  </r>
  <r>
    <x v="2"/>
    <s v="Senior/Pensioner"/>
    <x v="3"/>
    <n v="2816602"/>
  </r>
  <r>
    <x v="2"/>
    <s v="Sgl Trip Rail Adult"/>
    <x v="3"/>
    <n v="311066"/>
  </r>
  <r>
    <x v="2"/>
    <s v="Sgl Trip Rail Child/Youth"/>
    <x v="3"/>
    <n v="66493"/>
  </r>
  <r>
    <x v="3"/>
    <s v="Adult"/>
    <x v="0"/>
    <n v="13399297"/>
  </r>
  <r>
    <x v="3"/>
    <s v="Adult Single Bus Trip 1"/>
    <x v="0"/>
    <n v="183834"/>
  </r>
  <r>
    <x v="3"/>
    <s v="Adult Single Bus Trip 2"/>
    <x v="0"/>
    <n v="120313"/>
  </r>
  <r>
    <x v="3"/>
    <s v="Adult Single Bus Trip 3"/>
    <x v="0"/>
    <n v="49327"/>
  </r>
  <r>
    <x v="3"/>
    <s v="Child/Youth"/>
    <x v="0"/>
    <n v="1180998"/>
  </r>
  <r>
    <x v="3"/>
    <s v="Child/Youth Single Bus Trip 1"/>
    <x v="0"/>
    <n v="65256"/>
  </r>
  <r>
    <x v="3"/>
    <s v="Child/Youth Single Bus Trip 2"/>
    <x v="0"/>
    <n v="44063"/>
  </r>
  <r>
    <x v="3"/>
    <s v="Child/Youth Single Bus Trip 3"/>
    <x v="0"/>
    <n v="13664"/>
  </r>
  <r>
    <x v="3"/>
    <s v="Concession"/>
    <x v="0"/>
    <n v="1722565"/>
  </r>
  <r>
    <x v="3"/>
    <s v="Employee"/>
    <x v="0"/>
    <n v="71428"/>
  </r>
  <r>
    <x v="3"/>
    <s v="Free Travel"/>
    <x v="0"/>
    <n v="33031"/>
  </r>
  <r>
    <x v="3"/>
    <s v="School Student"/>
    <x v="0"/>
    <n v="2115831"/>
  </r>
  <r>
    <x v="3"/>
    <s v="Senior/Pensioner"/>
    <x v="0"/>
    <n v="4095695"/>
  </r>
  <r>
    <x v="3"/>
    <s v="Adult"/>
    <x v="1"/>
    <n v="879150"/>
  </r>
  <r>
    <x v="3"/>
    <s v="Child/Youth"/>
    <x v="1"/>
    <n v="119399"/>
  </r>
  <r>
    <x v="3"/>
    <s v="Concession"/>
    <x v="1"/>
    <n v="24094"/>
  </r>
  <r>
    <x v="3"/>
    <s v="Employee"/>
    <x v="1"/>
    <n v="5435"/>
  </r>
  <r>
    <x v="3"/>
    <s v="Free Travel"/>
    <x v="1"/>
    <n v="2081"/>
  </r>
  <r>
    <x v="3"/>
    <s v="School Student"/>
    <x v="1"/>
    <n v="1594"/>
  </r>
  <r>
    <x v="3"/>
    <s v="Senior/Pensioner"/>
    <x v="1"/>
    <n v="187265"/>
  </r>
  <r>
    <x v="3"/>
    <s v="Sgl Trip Ferry Adult"/>
    <x v="1"/>
    <n v="52692"/>
  </r>
  <r>
    <x v="3"/>
    <s v="Sgl Trip Ferry Child/Youth"/>
    <x v="1"/>
    <n v="9442"/>
  </r>
  <r>
    <x v="3"/>
    <s v="Adult"/>
    <x v="2"/>
    <n v="554854"/>
  </r>
  <r>
    <x v="3"/>
    <s v="Child/Youth"/>
    <x v="2"/>
    <n v="39224"/>
  </r>
  <r>
    <x v="3"/>
    <s v="Concession"/>
    <x v="2"/>
    <n v="26874"/>
  </r>
  <r>
    <x v="3"/>
    <s v="Employee"/>
    <x v="2"/>
    <n v="1"/>
  </r>
  <r>
    <x v="3"/>
    <s v="Free Travel"/>
    <x v="2"/>
    <n v="899"/>
  </r>
  <r>
    <x v="3"/>
    <s v="School Student"/>
    <x v="2"/>
    <n v="4304"/>
  </r>
  <r>
    <x v="3"/>
    <s v="Senior/Pensioner"/>
    <x v="2"/>
    <n v="147173"/>
  </r>
  <r>
    <x v="3"/>
    <s v="Sgl Trip LR Adult"/>
    <x v="2"/>
    <n v="2916"/>
  </r>
  <r>
    <x v="3"/>
    <s v="Sgl Trip LR Child/Youth"/>
    <x v="2"/>
    <n v="715"/>
  </r>
  <r>
    <x v="3"/>
    <s v="Adult"/>
    <x v="3"/>
    <n v="22608261"/>
  </r>
  <r>
    <x v="3"/>
    <s v="Child/Youth"/>
    <x v="3"/>
    <n v="1120560"/>
  </r>
  <r>
    <x v="3"/>
    <s v="Concession"/>
    <x v="3"/>
    <n v="2065326"/>
  </r>
  <r>
    <x v="3"/>
    <s v="Employee"/>
    <x v="3"/>
    <n v="289301"/>
  </r>
  <r>
    <x v="3"/>
    <s v="Free Travel"/>
    <x v="3"/>
    <n v="30205"/>
  </r>
  <r>
    <x v="3"/>
    <s v="School Student"/>
    <x v="3"/>
    <n v="759479"/>
  </r>
  <r>
    <x v="3"/>
    <s v="Senior/Pensioner"/>
    <x v="3"/>
    <n v="2859632"/>
  </r>
  <r>
    <x v="3"/>
    <s v="Sgl Trip Rail Adult"/>
    <x v="3"/>
    <n v="311836"/>
  </r>
  <r>
    <x v="3"/>
    <s v="Sgl Trip Rail Child/Youth"/>
    <x v="3"/>
    <n v="62233"/>
  </r>
  <r>
    <x v="4"/>
    <s v="Adult"/>
    <x v="0"/>
    <n v="14203977"/>
  </r>
  <r>
    <x v="4"/>
    <s v="Adult Single Bus Trip 1"/>
    <x v="0"/>
    <n v="190359"/>
  </r>
  <r>
    <x v="4"/>
    <s v="Adult Single Bus Trip 2"/>
    <x v="0"/>
    <n v="122653"/>
  </r>
  <r>
    <x v="4"/>
    <s v="Adult Single Bus Trip 3"/>
    <x v="0"/>
    <n v="48268"/>
  </r>
  <r>
    <x v="4"/>
    <s v="Child/Youth"/>
    <x v="0"/>
    <n v="1142170"/>
  </r>
  <r>
    <x v="4"/>
    <s v="Child/Youth Single Bus Trip 1"/>
    <x v="0"/>
    <n v="57618"/>
  </r>
  <r>
    <x v="4"/>
    <s v="Child/Youth Single Bus Trip 2"/>
    <x v="0"/>
    <n v="33400"/>
  </r>
  <r>
    <x v="4"/>
    <s v="Child/Youth Single Bus Trip 3"/>
    <x v="0"/>
    <n v="9669"/>
  </r>
  <r>
    <x v="4"/>
    <s v="Concession"/>
    <x v="0"/>
    <n v="1391898"/>
  </r>
  <r>
    <x v="4"/>
    <s v="Employee"/>
    <x v="0"/>
    <n v="76755"/>
  </r>
  <r>
    <x v="4"/>
    <s v="Free Travel"/>
    <x v="0"/>
    <n v="36217"/>
  </r>
  <r>
    <x v="4"/>
    <s v="School Student"/>
    <x v="0"/>
    <n v="2792634"/>
  </r>
  <r>
    <x v="4"/>
    <s v="Senior/Pensioner"/>
    <x v="0"/>
    <n v="4316765"/>
  </r>
  <r>
    <x v="4"/>
    <s v="Adult"/>
    <x v="1"/>
    <n v="929645"/>
  </r>
  <r>
    <x v="4"/>
    <s v="Child/Youth"/>
    <x v="1"/>
    <n v="76663"/>
  </r>
  <r>
    <x v="4"/>
    <s v="Concession"/>
    <x v="1"/>
    <n v="25891"/>
  </r>
  <r>
    <x v="4"/>
    <s v="Employee"/>
    <x v="1"/>
    <n v="5914"/>
  </r>
  <r>
    <x v="4"/>
    <s v="Free Travel"/>
    <x v="1"/>
    <n v="2271"/>
  </r>
  <r>
    <x v="4"/>
    <s v="School Student"/>
    <x v="1"/>
    <n v="2150"/>
  </r>
  <r>
    <x v="4"/>
    <s v="Senior/Pensioner"/>
    <x v="1"/>
    <n v="195969"/>
  </r>
  <r>
    <x v="4"/>
    <s v="Sgl Trip Ferry Adult"/>
    <x v="1"/>
    <n v="57975"/>
  </r>
  <r>
    <x v="4"/>
    <s v="Sgl Trip Ferry Child/Youth"/>
    <x v="1"/>
    <n v="6023"/>
  </r>
  <r>
    <x v="4"/>
    <s v="Adult"/>
    <x v="2"/>
    <n v="511961"/>
  </r>
  <r>
    <x v="4"/>
    <s v="Child/Youth"/>
    <x v="2"/>
    <n v="28564"/>
  </r>
  <r>
    <x v="4"/>
    <s v="Concession"/>
    <x v="2"/>
    <n v="25699"/>
  </r>
  <r>
    <x v="4"/>
    <s v="Free Travel"/>
    <x v="2"/>
    <n v="776"/>
  </r>
  <r>
    <x v="4"/>
    <s v="School Student"/>
    <x v="2"/>
    <n v="5599"/>
  </r>
  <r>
    <x v="4"/>
    <s v="Senior/Pensioner"/>
    <x v="2"/>
    <n v="130118"/>
  </r>
  <r>
    <x v="4"/>
    <s v="Sgl Trip LR Adult"/>
    <x v="2"/>
    <n v="2204"/>
  </r>
  <r>
    <x v="4"/>
    <s v="Sgl Trip LR Child/Youth"/>
    <x v="2"/>
    <n v="344"/>
  </r>
  <r>
    <x v="4"/>
    <s v="Adult"/>
    <x v="3"/>
    <n v="23867512"/>
  </r>
  <r>
    <x v="4"/>
    <s v="Child/Youth"/>
    <x v="3"/>
    <n v="1036526"/>
  </r>
  <r>
    <x v="4"/>
    <s v="Concession"/>
    <x v="3"/>
    <n v="1707681"/>
  </r>
  <r>
    <x v="4"/>
    <s v="Employee"/>
    <x v="3"/>
    <n v="318627"/>
  </r>
  <r>
    <x v="4"/>
    <s v="Free Travel"/>
    <x v="3"/>
    <n v="33096"/>
  </r>
  <r>
    <x v="4"/>
    <s v="School Student"/>
    <x v="3"/>
    <n v="1013962"/>
  </r>
  <r>
    <x v="4"/>
    <s v="Senior/Pensioner"/>
    <x v="3"/>
    <n v="2969184"/>
  </r>
  <r>
    <x v="4"/>
    <s v="Sgl Trip Rail Adult"/>
    <x v="3"/>
    <n v="320085"/>
  </r>
  <r>
    <x v="4"/>
    <s v="Sgl Trip Rail Child/Youth"/>
    <x v="3"/>
    <n v="51606"/>
  </r>
  <r>
    <x v="5"/>
    <s v="Adult"/>
    <x v="0"/>
    <n v="12839969"/>
  </r>
  <r>
    <x v="5"/>
    <s v="Adult Single Bus Trip 1"/>
    <x v="0"/>
    <n v="190339"/>
  </r>
  <r>
    <x v="5"/>
    <s v="Adult Single Bus Trip 2"/>
    <x v="0"/>
    <n v="124517"/>
  </r>
  <r>
    <x v="5"/>
    <s v="Adult Single Bus Trip 3"/>
    <x v="0"/>
    <n v="51178"/>
  </r>
  <r>
    <x v="5"/>
    <s v="Child/Youth"/>
    <x v="0"/>
    <n v="1311601"/>
  </r>
  <r>
    <x v="5"/>
    <s v="Child/Youth Single Bus Trip 1"/>
    <x v="0"/>
    <n v="65006"/>
  </r>
  <r>
    <x v="5"/>
    <s v="Child/Youth Single Bus Trip 2"/>
    <x v="0"/>
    <n v="48328"/>
  </r>
  <r>
    <x v="5"/>
    <s v="Child/Youth Single Bus Trip 3"/>
    <x v="0"/>
    <n v="15754"/>
  </r>
  <r>
    <x v="5"/>
    <s v="Concession"/>
    <x v="0"/>
    <n v="1038399"/>
  </r>
  <r>
    <x v="5"/>
    <s v="Employee"/>
    <x v="0"/>
    <n v="71339"/>
  </r>
  <r>
    <x v="5"/>
    <s v="Free Travel"/>
    <x v="0"/>
    <n v="34095"/>
  </r>
  <r>
    <x v="5"/>
    <s v="School Student"/>
    <x v="0"/>
    <n v="1067910"/>
  </r>
  <r>
    <x v="5"/>
    <s v="Senior/Pensioner"/>
    <x v="0"/>
    <n v="4022430"/>
  </r>
  <r>
    <x v="5"/>
    <s v="Adult"/>
    <x v="1"/>
    <n v="1050663"/>
  </r>
  <r>
    <x v="5"/>
    <s v="Child/Youth"/>
    <x v="1"/>
    <n v="144692"/>
  </r>
  <r>
    <x v="5"/>
    <s v="Concession"/>
    <x v="1"/>
    <n v="27905"/>
  </r>
  <r>
    <x v="5"/>
    <s v="Employee"/>
    <x v="1"/>
    <n v="5970"/>
  </r>
  <r>
    <x v="5"/>
    <s v="Free Travel"/>
    <x v="1"/>
    <n v="2219"/>
  </r>
  <r>
    <x v="5"/>
    <s v="School Student"/>
    <x v="1"/>
    <n v="796"/>
  </r>
  <r>
    <x v="5"/>
    <s v="Senior/Pensioner"/>
    <x v="1"/>
    <n v="187261"/>
  </r>
  <r>
    <x v="5"/>
    <s v="Sgl Trip Ferry Adult"/>
    <x v="1"/>
    <n v="70707"/>
  </r>
  <r>
    <x v="5"/>
    <s v="Sgl Trip Ferry Child/Youth"/>
    <x v="1"/>
    <n v="16773"/>
  </r>
  <r>
    <x v="5"/>
    <s v="Adult"/>
    <x v="2"/>
    <n v="533991"/>
  </r>
  <r>
    <x v="5"/>
    <s v="Child/Youth"/>
    <x v="2"/>
    <n v="39398"/>
  </r>
  <r>
    <x v="5"/>
    <s v="Concession"/>
    <x v="2"/>
    <n v="24597"/>
  </r>
  <r>
    <x v="5"/>
    <s v="Free Travel"/>
    <x v="2"/>
    <n v="752"/>
  </r>
  <r>
    <x v="5"/>
    <s v="School Student"/>
    <x v="2"/>
    <n v="2109"/>
  </r>
  <r>
    <x v="5"/>
    <s v="Senior/Pensioner"/>
    <x v="2"/>
    <n v="122012"/>
  </r>
  <r>
    <x v="5"/>
    <s v="Sgl Trip LR Adult"/>
    <x v="2"/>
    <n v="2875"/>
  </r>
  <r>
    <x v="5"/>
    <s v="Sgl Trip LR Child/Youth"/>
    <x v="2"/>
    <n v="787"/>
  </r>
  <r>
    <x v="5"/>
    <s v="Adult"/>
    <x v="3"/>
    <n v="21532401"/>
  </r>
  <r>
    <x v="5"/>
    <s v="Child/Youth"/>
    <x v="3"/>
    <n v="1353758"/>
  </r>
  <r>
    <x v="5"/>
    <s v="Concession"/>
    <x v="3"/>
    <n v="1361789"/>
  </r>
  <r>
    <x v="5"/>
    <s v="Employee"/>
    <x v="3"/>
    <n v="285847"/>
  </r>
  <r>
    <x v="5"/>
    <s v="Free Travel"/>
    <x v="3"/>
    <n v="29099"/>
  </r>
  <r>
    <x v="5"/>
    <s v="School Student"/>
    <x v="3"/>
    <n v="404194"/>
  </r>
  <r>
    <x v="5"/>
    <s v="Senior/Pensioner"/>
    <x v="3"/>
    <n v="2773808"/>
  </r>
  <r>
    <x v="5"/>
    <s v="Sgl Trip Rail Adult"/>
    <x v="3"/>
    <n v="362922"/>
  </r>
  <r>
    <x v="5"/>
    <s v="Sgl Trip Rail Child/Youth"/>
    <x v="3"/>
    <n v="85766"/>
  </r>
  <r>
    <x v="6"/>
    <s v="Adult"/>
    <x v="0"/>
    <n v="12658936"/>
  </r>
  <r>
    <x v="6"/>
    <s v="Adult Single Bus Trip 1"/>
    <x v="0"/>
    <n v="182210"/>
  </r>
  <r>
    <x v="6"/>
    <s v="Adult Single Bus Trip 2"/>
    <x v="0"/>
    <n v="116130"/>
  </r>
  <r>
    <x v="6"/>
    <s v="Adult Single Bus Trip 3"/>
    <x v="0"/>
    <n v="46161"/>
  </r>
  <r>
    <x v="6"/>
    <s v="Child/Youth"/>
    <x v="0"/>
    <n v="1405219"/>
  </r>
  <r>
    <x v="6"/>
    <s v="Child/Youth Single Bus Trip 1"/>
    <x v="0"/>
    <n v="66323"/>
  </r>
  <r>
    <x v="6"/>
    <s v="Child/Youth Single Bus Trip 2"/>
    <x v="0"/>
    <n v="53334"/>
  </r>
  <r>
    <x v="6"/>
    <s v="Child/Youth Single Bus Trip 3"/>
    <x v="0"/>
    <n v="18050"/>
  </r>
  <r>
    <x v="6"/>
    <s v="Concession"/>
    <x v="0"/>
    <n v="985862"/>
  </r>
  <r>
    <x v="6"/>
    <s v="Employee"/>
    <x v="0"/>
    <n v="66458"/>
  </r>
  <r>
    <x v="6"/>
    <s v="Free Travel"/>
    <x v="0"/>
    <n v="31281"/>
  </r>
  <r>
    <x v="6"/>
    <s v="School Student"/>
    <x v="0"/>
    <n v="168257"/>
  </r>
  <r>
    <x v="6"/>
    <s v="Senior/Pensioner"/>
    <x v="0"/>
    <n v="3752674"/>
  </r>
  <r>
    <x v="6"/>
    <s v="Adult"/>
    <x v="1"/>
    <n v="1164945"/>
  </r>
  <r>
    <x v="6"/>
    <s v="Child/Youth"/>
    <x v="1"/>
    <n v="217918"/>
  </r>
  <r>
    <x v="6"/>
    <s v="Concession"/>
    <x v="1"/>
    <n v="28552"/>
  </r>
  <r>
    <x v="6"/>
    <s v="Employee"/>
    <x v="1"/>
    <n v="5959"/>
  </r>
  <r>
    <x v="6"/>
    <s v="Free Travel"/>
    <x v="1"/>
    <n v="2234"/>
  </r>
  <r>
    <x v="6"/>
    <s v="School Student"/>
    <x v="1"/>
    <n v="139"/>
  </r>
  <r>
    <x v="6"/>
    <s v="Senior/Pensioner"/>
    <x v="1"/>
    <n v="220534"/>
  </r>
  <r>
    <x v="6"/>
    <s v="Sgl Trip Ferry Adult"/>
    <x v="1"/>
    <n v="76631"/>
  </r>
  <r>
    <x v="6"/>
    <s v="Sgl Trip Ferry Child/Youth"/>
    <x v="1"/>
    <n v="21171"/>
  </r>
  <r>
    <x v="6"/>
    <s v="Adult"/>
    <x v="2"/>
    <n v="313530"/>
  </r>
  <r>
    <x v="6"/>
    <s v="Child/Youth"/>
    <x v="2"/>
    <n v="33524"/>
  </r>
  <r>
    <x v="6"/>
    <s v="Concession"/>
    <x v="2"/>
    <n v="14678"/>
  </r>
  <r>
    <x v="6"/>
    <s v="Free Travel"/>
    <x v="2"/>
    <n v="394"/>
  </r>
  <r>
    <x v="6"/>
    <s v="School Student"/>
    <x v="2"/>
    <n v="323"/>
  </r>
  <r>
    <x v="6"/>
    <s v="Senior/Pensioner"/>
    <x v="2"/>
    <n v="63828"/>
  </r>
  <r>
    <x v="6"/>
    <s v="Sgl Trip LR Adult"/>
    <x v="2"/>
    <n v="1986"/>
  </r>
  <r>
    <x v="6"/>
    <s v="Sgl Trip LR Child/Youth"/>
    <x v="2"/>
    <n v="735"/>
  </r>
  <r>
    <x v="6"/>
    <s v="Adult"/>
    <x v="3"/>
    <n v="20689527"/>
  </r>
  <r>
    <x v="6"/>
    <s v="Child/Youth"/>
    <x v="3"/>
    <n v="1485300"/>
  </r>
  <r>
    <x v="6"/>
    <s v="Concession"/>
    <x v="3"/>
    <n v="1255327"/>
  </r>
  <r>
    <x v="6"/>
    <s v="Employee"/>
    <x v="3"/>
    <n v="259349"/>
  </r>
  <r>
    <x v="6"/>
    <s v="Free Travel"/>
    <x v="3"/>
    <n v="26745"/>
  </r>
  <r>
    <x v="6"/>
    <s v="School Student"/>
    <x v="3"/>
    <n v="67891"/>
  </r>
  <r>
    <x v="6"/>
    <s v="Senior/Pensioner"/>
    <x v="3"/>
    <n v="2566223"/>
  </r>
  <r>
    <x v="6"/>
    <s v="Sgl Trip Rail Adult"/>
    <x v="3"/>
    <n v="299852"/>
  </r>
  <r>
    <x v="6"/>
    <s v="Sgl Trip Rail Child/Youth"/>
    <x v="3"/>
    <n v="85208"/>
  </r>
  <r>
    <x v="7"/>
    <s v="Adult"/>
    <x v="0"/>
    <n v="13182869"/>
  </r>
  <r>
    <x v="7"/>
    <s v="Adult Single Bus Trip 1"/>
    <x v="0"/>
    <n v="167293"/>
  </r>
  <r>
    <x v="7"/>
    <s v="Adult Single Bus Trip 2"/>
    <x v="0"/>
    <n v="104008"/>
  </r>
  <r>
    <x v="7"/>
    <s v="Adult Single Bus Trip 3"/>
    <x v="0"/>
    <n v="39559"/>
  </r>
  <r>
    <x v="7"/>
    <s v="Child/Youth"/>
    <x v="0"/>
    <n v="1166175"/>
  </r>
  <r>
    <x v="7"/>
    <s v="Child/Youth Single Bus Trip 1"/>
    <x v="0"/>
    <n v="39460"/>
  </r>
  <r>
    <x v="7"/>
    <s v="Child/Youth Single Bus Trip 2"/>
    <x v="0"/>
    <n v="26163"/>
  </r>
  <r>
    <x v="7"/>
    <s v="Child/Youth Single Bus Trip 3"/>
    <x v="0"/>
    <n v="7942"/>
  </r>
  <r>
    <x v="7"/>
    <s v="Concession"/>
    <x v="0"/>
    <n v="1240006"/>
  </r>
  <r>
    <x v="7"/>
    <s v="Employee"/>
    <x v="0"/>
    <n v="69228"/>
  </r>
  <r>
    <x v="7"/>
    <s v="Free Travel"/>
    <x v="0"/>
    <n v="33326"/>
  </r>
  <r>
    <x v="7"/>
    <s v="School Student"/>
    <x v="0"/>
    <n v="2600682"/>
  </r>
  <r>
    <x v="7"/>
    <s v="Senior/Pensioner"/>
    <x v="0"/>
    <n v="3857972"/>
  </r>
  <r>
    <x v="7"/>
    <s v="Adult"/>
    <x v="1"/>
    <n v="865014"/>
  </r>
  <r>
    <x v="7"/>
    <s v="Child/Youth"/>
    <x v="1"/>
    <n v="57121"/>
  </r>
  <r>
    <x v="7"/>
    <s v="Concession"/>
    <x v="1"/>
    <n v="23803"/>
  </r>
  <r>
    <x v="7"/>
    <s v="Employee"/>
    <x v="1"/>
    <n v="4826"/>
  </r>
  <r>
    <x v="7"/>
    <s v="Free Travel"/>
    <x v="1"/>
    <n v="1897"/>
  </r>
  <r>
    <x v="7"/>
    <s v="School Student"/>
    <x v="1"/>
    <n v="1914"/>
  </r>
  <r>
    <x v="7"/>
    <s v="Senior/Pensioner"/>
    <x v="1"/>
    <n v="169864"/>
  </r>
  <r>
    <x v="7"/>
    <s v="Sgl Trip Ferry Adult"/>
    <x v="1"/>
    <n v="56176"/>
  </r>
  <r>
    <x v="7"/>
    <s v="Sgl Trip Ferry Child/Youth"/>
    <x v="1"/>
    <n v="5700"/>
  </r>
  <r>
    <x v="7"/>
    <s v="Adult"/>
    <x v="2"/>
    <n v="545607"/>
  </r>
  <r>
    <x v="7"/>
    <s v="Child/Youth"/>
    <x v="2"/>
    <n v="32626"/>
  </r>
  <r>
    <x v="7"/>
    <s v="Concession"/>
    <x v="2"/>
    <n v="28344"/>
  </r>
  <r>
    <x v="7"/>
    <s v="Free Travel"/>
    <x v="2"/>
    <n v="697"/>
  </r>
  <r>
    <x v="7"/>
    <s v="School Student"/>
    <x v="2"/>
    <n v="6101"/>
  </r>
  <r>
    <x v="7"/>
    <s v="Senior/Pensioner"/>
    <x v="2"/>
    <n v="124005"/>
  </r>
  <r>
    <x v="7"/>
    <s v="Sgl Trip LR Adult"/>
    <x v="2"/>
    <n v="2500"/>
  </r>
  <r>
    <x v="7"/>
    <s v="Sgl Trip LR Child/Youth"/>
    <x v="2"/>
    <n v="428"/>
  </r>
  <r>
    <x v="7"/>
    <s v="Adult"/>
    <x v="3"/>
    <n v="21960594"/>
  </r>
  <r>
    <x v="7"/>
    <s v="Child/Youth"/>
    <x v="3"/>
    <n v="977309"/>
  </r>
  <r>
    <x v="7"/>
    <s v="Concession"/>
    <x v="3"/>
    <n v="1527275"/>
  </r>
  <r>
    <x v="7"/>
    <s v="Employee"/>
    <x v="3"/>
    <n v="287362"/>
  </r>
  <r>
    <x v="7"/>
    <s v="Free Travel"/>
    <x v="3"/>
    <n v="30092"/>
  </r>
  <r>
    <x v="7"/>
    <s v="School Student"/>
    <x v="3"/>
    <n v="1028738"/>
  </r>
  <r>
    <x v="7"/>
    <s v="Senior/Pensioner"/>
    <x v="3"/>
    <n v="2620981"/>
  </r>
  <r>
    <x v="7"/>
    <s v="Sgl Trip Rail Adult"/>
    <x v="3"/>
    <n v="288914"/>
  </r>
  <r>
    <x v="7"/>
    <s v="Sgl Trip Rail Child/Youth"/>
    <x v="3"/>
    <n v="45771"/>
  </r>
  <r>
    <x v="8"/>
    <s v="Adult"/>
    <x v="0"/>
    <n v="15239178"/>
  </r>
  <r>
    <x v="8"/>
    <s v="Adult Single Bus Trip 1"/>
    <x v="0"/>
    <n v="177223"/>
  </r>
  <r>
    <x v="8"/>
    <s v="Adult Single Bus Trip 2"/>
    <x v="0"/>
    <n v="109926"/>
  </r>
  <r>
    <x v="8"/>
    <s v="Adult Single Bus Trip 3"/>
    <x v="0"/>
    <n v="42288"/>
  </r>
  <r>
    <x v="8"/>
    <s v="Child/Youth"/>
    <x v="0"/>
    <n v="1229286"/>
  </r>
  <r>
    <x v="8"/>
    <s v="Child/Youth Single Bus Trip 1"/>
    <x v="0"/>
    <n v="43347"/>
  </r>
  <r>
    <x v="8"/>
    <s v="Child/Youth Single Bus Trip 2"/>
    <x v="0"/>
    <n v="26923"/>
  </r>
  <r>
    <x v="8"/>
    <s v="Child/Youth Single Bus Trip 3"/>
    <x v="0"/>
    <n v="8514"/>
  </r>
  <r>
    <x v="8"/>
    <s v="Concession"/>
    <x v="0"/>
    <n v="2375998"/>
  </r>
  <r>
    <x v="8"/>
    <s v="Employee"/>
    <x v="0"/>
    <n v="78376"/>
  </r>
  <r>
    <x v="8"/>
    <s v="Free Travel"/>
    <x v="0"/>
    <n v="38557"/>
  </r>
  <r>
    <x v="8"/>
    <s v="School Student"/>
    <x v="0"/>
    <n v="3137115"/>
  </r>
  <r>
    <x v="8"/>
    <s v="Senior/Pensioner"/>
    <x v="0"/>
    <n v="4304384"/>
  </r>
  <r>
    <x v="8"/>
    <s v="Adult"/>
    <x v="1"/>
    <n v="882559"/>
  </r>
  <r>
    <x v="8"/>
    <s v="Child/Youth"/>
    <x v="1"/>
    <n v="63608"/>
  </r>
  <r>
    <x v="8"/>
    <s v="Concession"/>
    <x v="1"/>
    <n v="29447"/>
  </r>
  <r>
    <x v="8"/>
    <s v="Employee"/>
    <x v="1"/>
    <n v="4894"/>
  </r>
  <r>
    <x v="8"/>
    <s v="Free Travel"/>
    <x v="1"/>
    <n v="1857"/>
  </r>
  <r>
    <x v="8"/>
    <s v="School Student"/>
    <x v="1"/>
    <n v="2069"/>
  </r>
  <r>
    <x v="8"/>
    <s v="Senior/Pensioner"/>
    <x v="1"/>
    <n v="169605"/>
  </r>
  <r>
    <x v="8"/>
    <s v="Sgl Trip Ferry Adult"/>
    <x v="1"/>
    <n v="55429"/>
  </r>
  <r>
    <x v="8"/>
    <s v="Sgl Trip Ferry Child/Youth"/>
    <x v="1"/>
    <n v="6774"/>
  </r>
  <r>
    <x v="8"/>
    <s v="Adult"/>
    <x v="2"/>
    <n v="639505"/>
  </r>
  <r>
    <x v="8"/>
    <s v="Child/Youth"/>
    <x v="2"/>
    <n v="35233"/>
  </r>
  <r>
    <x v="8"/>
    <s v="Concession"/>
    <x v="2"/>
    <n v="36897"/>
  </r>
  <r>
    <x v="8"/>
    <s v="Free Travel"/>
    <x v="2"/>
    <n v="906"/>
  </r>
  <r>
    <x v="8"/>
    <s v="School Student"/>
    <x v="2"/>
    <n v="7282"/>
  </r>
  <r>
    <x v="8"/>
    <s v="Senior/Pensioner"/>
    <x v="2"/>
    <n v="151966"/>
  </r>
  <r>
    <x v="8"/>
    <s v="Sgl Trip LR Adult"/>
    <x v="2"/>
    <n v="2833"/>
  </r>
  <r>
    <x v="8"/>
    <s v="Sgl Trip LR Child/Youth"/>
    <x v="2"/>
    <n v="440"/>
  </r>
  <r>
    <x v="8"/>
    <s v="Adult"/>
    <x v="3"/>
    <n v="25670277"/>
  </r>
  <r>
    <x v="8"/>
    <s v="Child/Youth"/>
    <x v="3"/>
    <n v="1061092"/>
  </r>
  <r>
    <x v="8"/>
    <s v="Concession"/>
    <x v="3"/>
    <n v="2874972"/>
  </r>
  <r>
    <x v="8"/>
    <s v="Employee"/>
    <x v="3"/>
    <n v="331728"/>
  </r>
  <r>
    <x v="8"/>
    <s v="Free Travel"/>
    <x v="3"/>
    <n v="34502"/>
  </r>
  <r>
    <x v="8"/>
    <s v="School Student"/>
    <x v="3"/>
    <n v="1236042"/>
  </r>
  <r>
    <x v="8"/>
    <s v="Senior/Pensioner"/>
    <x v="3"/>
    <n v="2983728"/>
  </r>
  <r>
    <x v="8"/>
    <s v="Sgl Trip Rail Adult"/>
    <x v="3"/>
    <n v="320440"/>
  </r>
  <r>
    <x v="8"/>
    <s v="Sgl Trip Rail Child/Youth"/>
    <x v="3"/>
    <n v="53604"/>
  </r>
  <r>
    <x v="9"/>
    <s v="Adult"/>
    <x v="0"/>
    <n v="12477134"/>
  </r>
  <r>
    <x v="9"/>
    <s v="Adult Single Bus Trip 1"/>
    <x v="0"/>
    <n v="158538"/>
  </r>
  <r>
    <x v="9"/>
    <s v="Adult Single Bus Trip 2"/>
    <x v="0"/>
    <n v="98729"/>
  </r>
  <r>
    <x v="9"/>
    <s v="Adult Single Bus Trip 3"/>
    <x v="0"/>
    <n v="39330"/>
  </r>
  <r>
    <x v="9"/>
    <s v="Child/Youth"/>
    <x v="0"/>
    <n v="1276586"/>
  </r>
  <r>
    <x v="9"/>
    <s v="Child/Youth Single Bus Trip 1"/>
    <x v="0"/>
    <n v="54620"/>
  </r>
  <r>
    <x v="9"/>
    <s v="Child/Youth Single Bus Trip 2"/>
    <x v="0"/>
    <n v="42726"/>
  </r>
  <r>
    <x v="9"/>
    <s v="Child/Youth Single Bus Trip 3"/>
    <x v="0"/>
    <n v="12903"/>
  </r>
  <r>
    <x v="9"/>
    <s v="Concession"/>
    <x v="0"/>
    <n v="1647277"/>
  </r>
  <r>
    <x v="9"/>
    <s v="Employee"/>
    <x v="0"/>
    <n v="65750"/>
  </r>
  <r>
    <x v="9"/>
    <s v="Free Travel"/>
    <x v="0"/>
    <n v="33012"/>
  </r>
  <r>
    <x v="9"/>
    <s v="School Student"/>
    <x v="0"/>
    <n v="1062002"/>
  </r>
  <r>
    <x v="9"/>
    <s v="Senior/Pensioner"/>
    <x v="0"/>
    <n v="3754438"/>
  </r>
  <r>
    <x v="9"/>
    <s v="Adult"/>
    <x v="1"/>
    <n v="953347"/>
  </r>
  <r>
    <x v="9"/>
    <s v="Child/Youth"/>
    <x v="1"/>
    <n v="149935"/>
  </r>
  <r>
    <x v="9"/>
    <s v="Concession"/>
    <x v="1"/>
    <n v="28963"/>
  </r>
  <r>
    <x v="9"/>
    <s v="Employee"/>
    <x v="1"/>
    <n v="5172"/>
  </r>
  <r>
    <x v="9"/>
    <s v="Free Travel"/>
    <x v="1"/>
    <n v="2199"/>
  </r>
  <r>
    <x v="9"/>
    <s v="School Student"/>
    <x v="1"/>
    <n v="839"/>
  </r>
  <r>
    <x v="9"/>
    <s v="Senior/Pensioner"/>
    <x v="1"/>
    <n v="193582"/>
  </r>
  <r>
    <x v="9"/>
    <s v="Sgl Trip Ferry Adult"/>
    <x v="1"/>
    <n v="59293"/>
  </r>
  <r>
    <x v="9"/>
    <s v="Sgl Trip Ferry Child/Youth"/>
    <x v="1"/>
    <n v="15138"/>
  </r>
  <r>
    <x v="9"/>
    <s v="Adult"/>
    <x v="2"/>
    <n v="587812"/>
  </r>
  <r>
    <x v="9"/>
    <s v="Child/Youth"/>
    <x v="2"/>
    <n v="48789"/>
  </r>
  <r>
    <x v="9"/>
    <s v="Concession"/>
    <x v="2"/>
    <n v="30959"/>
  </r>
  <r>
    <x v="9"/>
    <s v="Free Travel"/>
    <x v="2"/>
    <n v="905"/>
  </r>
  <r>
    <x v="9"/>
    <s v="School Student"/>
    <x v="2"/>
    <n v="2198"/>
  </r>
  <r>
    <x v="9"/>
    <s v="Senior/Pensioner"/>
    <x v="2"/>
    <n v="141087"/>
  </r>
  <r>
    <x v="9"/>
    <s v="Sgl Trip LR Adult"/>
    <x v="2"/>
    <n v="2666"/>
  </r>
  <r>
    <x v="9"/>
    <s v="Sgl Trip LR Child/Youth"/>
    <x v="2"/>
    <n v="821"/>
  </r>
  <r>
    <x v="9"/>
    <s v="Adult"/>
    <x v="3"/>
    <n v="21558784"/>
  </r>
  <r>
    <x v="9"/>
    <s v="Child/Youth"/>
    <x v="3"/>
    <n v="1333722"/>
  </r>
  <r>
    <x v="9"/>
    <s v="Concession"/>
    <x v="3"/>
    <n v="2080422"/>
  </r>
  <r>
    <x v="9"/>
    <s v="Employee"/>
    <x v="3"/>
    <n v="260847"/>
  </r>
  <r>
    <x v="9"/>
    <s v="Free Travel"/>
    <x v="3"/>
    <n v="29582"/>
  </r>
  <r>
    <x v="9"/>
    <s v="School Student"/>
    <x v="3"/>
    <n v="427515"/>
  </r>
  <r>
    <x v="9"/>
    <s v="Senior/Pensioner"/>
    <x v="3"/>
    <n v="2679990"/>
  </r>
  <r>
    <x v="9"/>
    <s v="Sgl Trip Rail Adult"/>
    <x v="3"/>
    <n v="298912"/>
  </r>
  <r>
    <x v="9"/>
    <s v="Sgl Trip Rail Child/Youth"/>
    <x v="3"/>
    <n v="75955"/>
  </r>
  <r>
    <x v="10"/>
    <s v="Adult"/>
    <x v="0"/>
    <n v="14803185"/>
  </r>
  <r>
    <x v="10"/>
    <s v="Adult Single Bus Trip 1"/>
    <x v="0"/>
    <n v="168079"/>
  </r>
  <r>
    <x v="10"/>
    <s v="Adult Single Bus Trip 2"/>
    <x v="0"/>
    <n v="102429"/>
  </r>
  <r>
    <x v="10"/>
    <s v="Adult Single Bus Trip 3"/>
    <x v="0"/>
    <n v="39400"/>
  </r>
  <r>
    <x v="10"/>
    <s v="Child/Youth"/>
    <x v="0"/>
    <n v="1122661"/>
  </r>
  <r>
    <x v="10"/>
    <s v="Child/Youth Single Bus Trip 1"/>
    <x v="0"/>
    <n v="40946"/>
  </r>
  <r>
    <x v="10"/>
    <s v="Child/Youth Single Bus Trip 2"/>
    <x v="0"/>
    <n v="25907"/>
  </r>
  <r>
    <x v="10"/>
    <s v="Child/Youth Single Bus Trip 3"/>
    <x v="0"/>
    <n v="7355"/>
  </r>
  <r>
    <x v="10"/>
    <s v="Concession"/>
    <x v="0"/>
    <n v="2193095"/>
  </r>
  <r>
    <x v="10"/>
    <s v="Employee"/>
    <x v="0"/>
    <n v="77797"/>
  </r>
  <r>
    <x v="10"/>
    <s v="Free Travel"/>
    <x v="0"/>
    <n v="40054"/>
  </r>
  <r>
    <x v="10"/>
    <s v="School Student"/>
    <x v="0"/>
    <n v="3124770"/>
  </r>
  <r>
    <x v="10"/>
    <s v="Senior/Pensioner"/>
    <x v="0"/>
    <n v="4329706"/>
  </r>
  <r>
    <x v="10"/>
    <s v="Adult"/>
    <x v="1"/>
    <n v="812318"/>
  </r>
  <r>
    <x v="10"/>
    <s v="Child/Youth"/>
    <x v="1"/>
    <n v="63543"/>
  </r>
  <r>
    <x v="10"/>
    <s v="Concession"/>
    <x v="1"/>
    <n v="28200"/>
  </r>
  <r>
    <x v="10"/>
    <s v="Employee"/>
    <x v="1"/>
    <n v="5428"/>
  </r>
  <r>
    <x v="10"/>
    <s v="Free Travel"/>
    <x v="1"/>
    <n v="2355"/>
  </r>
  <r>
    <x v="10"/>
    <s v="School Student"/>
    <x v="1"/>
    <n v="2435"/>
  </r>
  <r>
    <x v="10"/>
    <s v="Senior/Pensioner"/>
    <x v="1"/>
    <n v="189654"/>
  </r>
  <r>
    <x v="10"/>
    <s v="Sgl Trip Ferry Adult"/>
    <x v="1"/>
    <n v="40290"/>
  </r>
  <r>
    <x v="10"/>
    <s v="Sgl Trip Ferry Child/Youth"/>
    <x v="1"/>
    <n v="5607"/>
  </r>
  <r>
    <x v="10"/>
    <s v="Adult"/>
    <x v="2"/>
    <n v="614636"/>
  </r>
  <r>
    <x v="10"/>
    <s v="Child/Youth"/>
    <x v="2"/>
    <n v="31460"/>
  </r>
  <r>
    <x v="10"/>
    <s v="Concession"/>
    <x v="2"/>
    <n v="32391"/>
  </r>
  <r>
    <x v="10"/>
    <s v="Free Travel"/>
    <x v="2"/>
    <n v="936"/>
  </r>
  <r>
    <x v="10"/>
    <s v="School Student"/>
    <x v="2"/>
    <n v="6885"/>
  </r>
  <r>
    <x v="10"/>
    <s v="Senior/Pensioner"/>
    <x v="2"/>
    <n v="144208"/>
  </r>
  <r>
    <x v="10"/>
    <s v="Sgl Trip LR Adult"/>
    <x v="2"/>
    <n v="2535"/>
  </r>
  <r>
    <x v="10"/>
    <s v="Sgl Trip LR Child/Youth"/>
    <x v="2"/>
    <n v="432"/>
  </r>
  <r>
    <x v="10"/>
    <s v="Adult"/>
    <x v="3"/>
    <n v="26157005"/>
  </r>
  <r>
    <x v="10"/>
    <s v="Child/Youth"/>
    <x v="3"/>
    <n v="952898"/>
  </r>
  <r>
    <x v="10"/>
    <s v="Concession"/>
    <x v="3"/>
    <n v="2727746"/>
  </r>
  <r>
    <x v="10"/>
    <s v="Employee"/>
    <x v="3"/>
    <n v="332707"/>
  </r>
  <r>
    <x v="10"/>
    <s v="Free Travel"/>
    <x v="3"/>
    <n v="35442"/>
  </r>
  <r>
    <x v="10"/>
    <s v="School Student"/>
    <x v="3"/>
    <n v="1272946"/>
  </r>
  <r>
    <x v="10"/>
    <s v="Senior/Pensioner"/>
    <x v="3"/>
    <n v="3039985"/>
  </r>
  <r>
    <x v="10"/>
    <s v="Sgl Trip Rail Adult"/>
    <x v="3"/>
    <n v="293744"/>
  </r>
  <r>
    <x v="10"/>
    <s v="Sgl Trip Rail Child/Youth"/>
    <x v="3"/>
    <n v="50537"/>
  </r>
  <r>
    <x v="11"/>
    <s v="Adult"/>
    <x v="0"/>
    <n v="13139949"/>
  </r>
  <r>
    <x v="11"/>
    <s v="Adult Single Bus Trip 1"/>
    <x v="0"/>
    <n v="149534"/>
  </r>
  <r>
    <x v="11"/>
    <s v="Adult Single Bus Trip 2"/>
    <x v="0"/>
    <n v="90172"/>
  </r>
  <r>
    <x v="11"/>
    <s v="Adult Single Bus Trip 3"/>
    <x v="0"/>
    <n v="35967"/>
  </r>
  <r>
    <x v="11"/>
    <s v="Child/Youth"/>
    <x v="0"/>
    <n v="1066813"/>
  </r>
  <r>
    <x v="11"/>
    <s v="Child/Youth Single Bus Trip 1"/>
    <x v="0"/>
    <n v="38891"/>
  </r>
  <r>
    <x v="11"/>
    <s v="Child/Youth Single Bus Trip 2"/>
    <x v="0"/>
    <n v="25954"/>
  </r>
  <r>
    <x v="11"/>
    <s v="Child/Youth Single Bus Trip 3"/>
    <x v="0"/>
    <n v="7945"/>
  </r>
  <r>
    <x v="11"/>
    <s v="Concession"/>
    <x v="0"/>
    <n v="1472712"/>
  </r>
  <r>
    <x v="11"/>
    <s v="Employee"/>
    <x v="0"/>
    <n v="69266"/>
  </r>
  <r>
    <x v="11"/>
    <s v="Free Travel"/>
    <x v="0"/>
    <n v="35256"/>
  </r>
  <r>
    <x v="11"/>
    <s v="School Student"/>
    <x v="0"/>
    <n v="2499684"/>
  </r>
  <r>
    <x v="11"/>
    <s v="Senior/Pensioner"/>
    <x v="0"/>
    <n v="3904931"/>
  </r>
  <r>
    <x v="11"/>
    <s v="Adult"/>
    <x v="1"/>
    <n v="791353"/>
  </r>
  <r>
    <x v="11"/>
    <s v="Child/Youth"/>
    <x v="1"/>
    <n v="94767"/>
  </r>
  <r>
    <x v="11"/>
    <s v="Concession"/>
    <x v="1"/>
    <n v="26673"/>
  </r>
  <r>
    <x v="11"/>
    <s v="Employee"/>
    <x v="1"/>
    <n v="5164"/>
  </r>
  <r>
    <x v="11"/>
    <s v="Free Travel"/>
    <x v="1"/>
    <n v="2211"/>
  </r>
  <r>
    <x v="11"/>
    <s v="School Student"/>
    <x v="1"/>
    <n v="1764"/>
  </r>
  <r>
    <x v="11"/>
    <s v="Senior/Pensioner"/>
    <x v="1"/>
    <n v="180835"/>
  </r>
  <r>
    <x v="11"/>
    <s v="Sgl Trip Ferry Adult"/>
    <x v="1"/>
    <n v="42949"/>
  </r>
  <r>
    <x v="11"/>
    <s v="Sgl Trip Ferry Child/Youth"/>
    <x v="1"/>
    <n v="10431"/>
  </r>
  <r>
    <x v="11"/>
    <s v="Adult"/>
    <x v="2"/>
    <n v="615981"/>
  </r>
  <r>
    <x v="11"/>
    <s v="Child/Youth"/>
    <x v="2"/>
    <n v="39888"/>
  </r>
  <r>
    <x v="11"/>
    <s v="Concession"/>
    <x v="2"/>
    <n v="33781"/>
  </r>
  <r>
    <x v="11"/>
    <s v="Employee"/>
    <x v="2"/>
    <n v="1"/>
  </r>
  <r>
    <x v="11"/>
    <s v="Free Travel"/>
    <x v="2"/>
    <n v="956"/>
  </r>
  <r>
    <x v="11"/>
    <s v="School Student"/>
    <x v="2"/>
    <n v="4961"/>
  </r>
  <r>
    <x v="11"/>
    <s v="Senior/Pensioner"/>
    <x v="2"/>
    <n v="148978"/>
  </r>
  <r>
    <x v="11"/>
    <s v="Sgl Trip LR Adult"/>
    <x v="2"/>
    <n v="2837"/>
  </r>
  <r>
    <x v="11"/>
    <s v="Sgl Trip LR Child/Youth"/>
    <x v="2"/>
    <n v="623"/>
  </r>
  <r>
    <x v="11"/>
    <s v="Adult"/>
    <x v="3"/>
    <n v="24096554"/>
  </r>
  <r>
    <x v="11"/>
    <s v="Child/Youth"/>
    <x v="3"/>
    <n v="1076221"/>
  </r>
  <r>
    <x v="11"/>
    <s v="Concession"/>
    <x v="3"/>
    <n v="1944290"/>
  </r>
  <r>
    <x v="11"/>
    <s v="Employee"/>
    <x v="3"/>
    <n v="308301"/>
  </r>
  <r>
    <x v="11"/>
    <s v="Free Travel"/>
    <x v="3"/>
    <n v="31954"/>
  </r>
  <r>
    <x v="11"/>
    <s v="School Student"/>
    <x v="3"/>
    <n v="1054982"/>
  </r>
  <r>
    <x v="11"/>
    <s v="Senior/Pensioner"/>
    <x v="3"/>
    <n v="2840831"/>
  </r>
  <r>
    <x v="11"/>
    <s v="Sgl Trip Rail Adult"/>
    <x v="3"/>
    <n v="293213"/>
  </r>
  <r>
    <x v="11"/>
    <s v="Sgl Trip Rail Child/Youth"/>
    <x v="3"/>
    <n v="60524"/>
  </r>
  <r>
    <x v="12"/>
    <s v="Adult"/>
    <x v="0"/>
    <n v="13625495"/>
  </r>
  <r>
    <x v="12"/>
    <s v="Adult Single Bus Trip 1"/>
    <x v="0"/>
    <n v="159698"/>
  </r>
  <r>
    <x v="12"/>
    <s v="Adult Single Bus Trip 2"/>
    <x v="0"/>
    <n v="96674"/>
  </r>
  <r>
    <x v="12"/>
    <s v="Adult Single Bus Trip 3"/>
    <x v="0"/>
    <n v="36141"/>
  </r>
  <r>
    <x v="12"/>
    <s v="Child/Youth"/>
    <x v="0"/>
    <n v="1386168"/>
  </r>
  <r>
    <x v="12"/>
    <s v="Child/Youth Single Bus Trip 1"/>
    <x v="0"/>
    <n v="55170"/>
  </r>
  <r>
    <x v="12"/>
    <s v="Child/Youth Single Bus Trip 2"/>
    <x v="0"/>
    <n v="42041"/>
  </r>
  <r>
    <x v="12"/>
    <s v="Child/Youth Single Bus Trip 3"/>
    <x v="0"/>
    <n v="12555"/>
  </r>
  <r>
    <x v="12"/>
    <s v="Concession"/>
    <x v="0"/>
    <n v="1361714"/>
  </r>
  <r>
    <x v="12"/>
    <s v="Employee"/>
    <x v="0"/>
    <n v="71153"/>
  </r>
  <r>
    <x v="12"/>
    <s v="Free Travel"/>
    <x v="0"/>
    <n v="36248"/>
  </r>
  <r>
    <x v="12"/>
    <s v="School Student"/>
    <x v="0"/>
    <n v="1298172"/>
  </r>
  <r>
    <x v="12"/>
    <s v="Senior/Pensioner"/>
    <x v="0"/>
    <n v="4020743"/>
  </r>
  <r>
    <x v="12"/>
    <s v="Adult"/>
    <x v="1"/>
    <n v="858171"/>
  </r>
  <r>
    <x v="12"/>
    <s v="CTP"/>
    <x v="1"/>
    <n v="2138"/>
  </r>
  <r>
    <x v="12"/>
    <s v="Child/Youth"/>
    <x v="1"/>
    <n v="157889"/>
  </r>
  <r>
    <x v="12"/>
    <s v="Concession"/>
    <x v="1"/>
    <n v="26169"/>
  </r>
  <r>
    <x v="12"/>
    <s v="Employee"/>
    <x v="1"/>
    <n v="4730"/>
  </r>
  <r>
    <x v="12"/>
    <s v="Free Travel"/>
    <x v="1"/>
    <n v="2328"/>
  </r>
  <r>
    <x v="12"/>
    <s v="School Student"/>
    <x v="1"/>
    <n v="1043"/>
  </r>
  <r>
    <x v="12"/>
    <s v="Senior/Pensioner"/>
    <x v="1"/>
    <n v="180265"/>
  </r>
  <r>
    <x v="12"/>
    <s v="Sgl Trip Ferry Adult"/>
    <x v="1"/>
    <n v="55823"/>
  </r>
  <r>
    <x v="12"/>
    <s v="Sgl Trip Ferry Child/Youth"/>
    <x v="1"/>
    <n v="20097"/>
  </r>
  <r>
    <x v="12"/>
    <s v="Adult"/>
    <x v="2"/>
    <n v="607262"/>
  </r>
  <r>
    <x v="12"/>
    <s v="Child/Youth"/>
    <x v="2"/>
    <n v="51615"/>
  </r>
  <r>
    <x v="12"/>
    <s v="Concession"/>
    <x v="2"/>
    <n v="30979"/>
  </r>
  <r>
    <x v="12"/>
    <s v="Employee"/>
    <x v="2"/>
    <n v="1"/>
  </r>
  <r>
    <x v="12"/>
    <s v="Free Travel"/>
    <x v="2"/>
    <n v="665"/>
  </r>
  <r>
    <x v="12"/>
    <s v="School Student"/>
    <x v="2"/>
    <n v="2976"/>
  </r>
  <r>
    <x v="12"/>
    <s v="Senior/Pensioner"/>
    <x v="2"/>
    <n v="135655"/>
  </r>
  <r>
    <x v="12"/>
    <s v="Sgl Trip LR Adult"/>
    <x v="2"/>
    <n v="4507"/>
  </r>
  <r>
    <x v="12"/>
    <s v="Sgl Trip LR Child/Youth"/>
    <x v="2"/>
    <n v="1486"/>
  </r>
  <r>
    <x v="12"/>
    <s v="Adult"/>
    <x v="3"/>
    <n v="23827242"/>
  </r>
  <r>
    <x v="12"/>
    <s v="Child/Youth"/>
    <x v="3"/>
    <n v="1407616"/>
  </r>
  <r>
    <x v="12"/>
    <s v="Concession"/>
    <x v="3"/>
    <n v="1719629"/>
  </r>
  <r>
    <x v="12"/>
    <s v="Employee"/>
    <x v="3"/>
    <n v="294034"/>
  </r>
  <r>
    <x v="12"/>
    <s v="Free Travel"/>
    <x v="3"/>
    <n v="32228"/>
  </r>
  <r>
    <x v="12"/>
    <s v="School Student"/>
    <x v="3"/>
    <n v="562500"/>
  </r>
  <r>
    <x v="12"/>
    <s v="Senior/Pensioner"/>
    <x v="3"/>
    <n v="2804836"/>
  </r>
  <r>
    <x v="12"/>
    <s v="Sgl Trip Rail Adult"/>
    <x v="3"/>
    <n v="330262"/>
  </r>
  <r>
    <x v="12"/>
    <s v="Sgl Trip Rail Child/Youth"/>
    <x v="3"/>
    <n v="92187"/>
  </r>
  <r>
    <x v="13"/>
    <s v="Adult"/>
    <x v="0"/>
    <n v="14614966"/>
  </r>
  <r>
    <x v="13"/>
    <s v="Adult Single Bus Trip 1"/>
    <x v="0"/>
    <n v="152050"/>
  </r>
  <r>
    <x v="13"/>
    <s v="Adult Single Bus Trip 2"/>
    <x v="0"/>
    <n v="88604"/>
  </r>
  <r>
    <x v="13"/>
    <s v="Adult Single Bus Trip 3"/>
    <x v="0"/>
    <n v="33402"/>
  </r>
  <r>
    <x v="13"/>
    <s v="Child/Youth"/>
    <x v="0"/>
    <n v="1129569"/>
  </r>
  <r>
    <x v="13"/>
    <s v="Child/Youth Single Bus Trip 1"/>
    <x v="0"/>
    <n v="37346"/>
  </r>
  <r>
    <x v="13"/>
    <s v="Child/Youth Single Bus Trip 2"/>
    <x v="0"/>
    <n v="24122"/>
  </r>
  <r>
    <x v="13"/>
    <s v="Child/Youth Single Bus Trip 3"/>
    <x v="0"/>
    <n v="6683"/>
  </r>
  <r>
    <x v="13"/>
    <s v="Concession"/>
    <x v="0"/>
    <n v="2287083"/>
  </r>
  <r>
    <x v="13"/>
    <s v="Day Pass Child/Youth w/o SAF"/>
    <x v="0"/>
    <n v="7"/>
  </r>
  <r>
    <x v="13"/>
    <s v="Day Pass without SAF"/>
    <x v="0"/>
    <n v="15"/>
  </r>
  <r>
    <x v="13"/>
    <s v="Employee"/>
    <x v="0"/>
    <n v="75220"/>
  </r>
  <r>
    <x v="13"/>
    <s v="Free Travel"/>
    <x v="0"/>
    <n v="39408"/>
  </r>
  <r>
    <x v="13"/>
    <s v="School Student"/>
    <x v="0"/>
    <n v="2871680"/>
  </r>
  <r>
    <x v="13"/>
    <s v="Senior/Pensioner"/>
    <x v="0"/>
    <n v="4196065"/>
  </r>
  <r>
    <x v="13"/>
    <s v="Adult"/>
    <x v="1"/>
    <n v="759500"/>
  </r>
  <r>
    <x v="13"/>
    <s v="CTP"/>
    <x v="1"/>
    <n v="1976"/>
  </r>
  <r>
    <x v="13"/>
    <s v="Child/Youth"/>
    <x v="1"/>
    <n v="79252"/>
  </r>
  <r>
    <x v="13"/>
    <s v="Concession"/>
    <x v="1"/>
    <n v="27276"/>
  </r>
  <r>
    <x v="13"/>
    <s v="Day Pass Child/Youth w/o SAF"/>
    <x v="1"/>
    <n v="3"/>
  </r>
  <r>
    <x v="13"/>
    <s v="Day Pass without SAF"/>
    <x v="1"/>
    <n v="5"/>
  </r>
  <r>
    <x v="13"/>
    <s v="Employee"/>
    <x v="1"/>
    <n v="4423"/>
  </r>
  <r>
    <x v="13"/>
    <s v="Free Travel"/>
    <x v="1"/>
    <n v="2045"/>
  </r>
  <r>
    <x v="13"/>
    <s v="School Student"/>
    <x v="1"/>
    <n v="2206"/>
  </r>
  <r>
    <x v="13"/>
    <s v="Senior/Pensioner"/>
    <x v="1"/>
    <n v="164130"/>
  </r>
  <r>
    <x v="13"/>
    <s v="Sgl Trip Ferry Adult"/>
    <x v="1"/>
    <n v="47631"/>
  </r>
  <r>
    <x v="13"/>
    <s v="Sgl Trip Ferry Child/Youth"/>
    <x v="1"/>
    <n v="11008"/>
  </r>
  <r>
    <x v="13"/>
    <s v="Adult"/>
    <x v="2"/>
    <n v="575024"/>
  </r>
  <r>
    <x v="13"/>
    <s v="Child/Youth"/>
    <x v="2"/>
    <n v="33221"/>
  </r>
  <r>
    <x v="13"/>
    <s v="Concession"/>
    <x v="2"/>
    <n v="33944"/>
  </r>
  <r>
    <x v="13"/>
    <s v="Day Pass Child/Youth w/o SAF"/>
    <x v="2"/>
    <n v="3"/>
  </r>
  <r>
    <x v="13"/>
    <s v="Day Pass without SAF"/>
    <x v="2"/>
    <n v="2"/>
  </r>
  <r>
    <x v="13"/>
    <s v="Free Travel"/>
    <x v="2"/>
    <n v="840"/>
  </r>
  <r>
    <x v="13"/>
    <s v="School Student"/>
    <x v="2"/>
    <n v="7008"/>
  </r>
  <r>
    <x v="13"/>
    <s v="Senior/Pensioner"/>
    <x v="2"/>
    <n v="125345"/>
  </r>
  <r>
    <x v="13"/>
    <s v="Sgl Trip LR Adult"/>
    <x v="2"/>
    <n v="4398"/>
  </r>
  <r>
    <x v="13"/>
    <s v="Sgl Trip LR Child/Youth"/>
    <x v="2"/>
    <n v="905"/>
  </r>
  <r>
    <x v="13"/>
    <s v="Adult"/>
    <x v="3"/>
    <n v="25596844"/>
  </r>
  <r>
    <x v="13"/>
    <s v="Child/Youth"/>
    <x v="3"/>
    <n v="983919"/>
  </r>
  <r>
    <x v="13"/>
    <s v="Concession"/>
    <x v="3"/>
    <n v="2822581"/>
  </r>
  <r>
    <x v="13"/>
    <s v="Day Pass Child/Youth w/o SAF"/>
    <x v="3"/>
    <n v="9"/>
  </r>
  <r>
    <x v="13"/>
    <s v="Day Pass without SAF"/>
    <x v="3"/>
    <n v="18"/>
  </r>
  <r>
    <x v="13"/>
    <s v="Employee"/>
    <x v="3"/>
    <n v="316870"/>
  </r>
  <r>
    <x v="13"/>
    <s v="Free Travel"/>
    <x v="3"/>
    <n v="34768"/>
  </r>
  <r>
    <x v="13"/>
    <s v="School Student"/>
    <x v="3"/>
    <n v="1234164"/>
  </r>
  <r>
    <x v="13"/>
    <s v="Senior/Pensioner"/>
    <x v="3"/>
    <n v="2902953"/>
  </r>
  <r>
    <x v="13"/>
    <s v="Sgl Trip Rail Adult"/>
    <x v="3"/>
    <n v="329921"/>
  </r>
  <r>
    <x v="13"/>
    <s v="Sgl Trip Rail Child/Youth"/>
    <x v="3"/>
    <n v="63560"/>
  </r>
  <r>
    <x v="14"/>
    <s v="Adult"/>
    <x v="0"/>
    <n v="13735459"/>
  </r>
  <r>
    <x v="14"/>
    <s v="Adult Single Bus Trip 1"/>
    <x v="0"/>
    <n v="150254"/>
  </r>
  <r>
    <x v="14"/>
    <s v="Adult Single Bus Trip 2"/>
    <x v="0"/>
    <n v="85965"/>
  </r>
  <r>
    <x v="14"/>
    <s v="Adult Single Bus Trip 3"/>
    <x v="0"/>
    <n v="32005"/>
  </r>
  <r>
    <x v="14"/>
    <s v="Child/Youth"/>
    <x v="0"/>
    <n v="1264103"/>
  </r>
  <r>
    <x v="14"/>
    <s v="Child/Youth Single Bus Trip 1"/>
    <x v="0"/>
    <n v="45357"/>
  </r>
  <r>
    <x v="14"/>
    <s v="Child/Youth Single Bus Trip 2"/>
    <x v="0"/>
    <n v="34037"/>
  </r>
  <r>
    <x v="14"/>
    <s v="Child/Youth Single Bus Trip 3"/>
    <x v="0"/>
    <n v="9811"/>
  </r>
  <r>
    <x v="14"/>
    <s v="Concession"/>
    <x v="0"/>
    <n v="1774365"/>
  </r>
  <r>
    <x v="14"/>
    <s v="Day Pass Child/Youth w/o SAF"/>
    <x v="0"/>
    <n v="31"/>
  </r>
  <r>
    <x v="14"/>
    <s v="Day Pass without SAF"/>
    <x v="0"/>
    <n v="152"/>
  </r>
  <r>
    <x v="14"/>
    <s v="Employee"/>
    <x v="0"/>
    <n v="70403"/>
  </r>
  <r>
    <x v="14"/>
    <s v="Free Travel"/>
    <x v="0"/>
    <n v="37030"/>
  </r>
  <r>
    <x v="14"/>
    <s v="School Student"/>
    <x v="0"/>
    <n v="1932171"/>
  </r>
  <r>
    <x v="14"/>
    <s v="Senior/Pensioner"/>
    <x v="0"/>
    <n v="3987618"/>
  </r>
  <r>
    <x v="14"/>
    <s v="Adult"/>
    <x v="1"/>
    <n v="810739"/>
  </r>
  <r>
    <x v="14"/>
    <s v="CTP"/>
    <x v="1"/>
    <n v="2049"/>
  </r>
  <r>
    <x v="14"/>
    <s v="Child/Youth"/>
    <x v="1"/>
    <n v="113007"/>
  </r>
  <r>
    <x v="14"/>
    <s v="Concession"/>
    <x v="1"/>
    <n v="27929"/>
  </r>
  <r>
    <x v="14"/>
    <s v="Day Pass without SAF"/>
    <x v="1"/>
    <n v="1"/>
  </r>
  <r>
    <x v="14"/>
    <s v="Employee"/>
    <x v="1"/>
    <n v="4735"/>
  </r>
  <r>
    <x v="14"/>
    <s v="Free Travel"/>
    <x v="1"/>
    <n v="2164"/>
  </r>
  <r>
    <x v="14"/>
    <s v="School Student"/>
    <x v="1"/>
    <n v="1626"/>
  </r>
  <r>
    <x v="14"/>
    <s v="Senior/Pensioner"/>
    <x v="1"/>
    <n v="172131"/>
  </r>
  <r>
    <x v="14"/>
    <s v="Sgl Trip Ferry Adult"/>
    <x v="1"/>
    <n v="51151"/>
  </r>
  <r>
    <x v="14"/>
    <s v="Sgl Trip Ferry Child/Youth"/>
    <x v="1"/>
    <n v="12129"/>
  </r>
  <r>
    <x v="14"/>
    <s v="Adult"/>
    <x v="2"/>
    <n v="557826"/>
  </r>
  <r>
    <x v="14"/>
    <s v="Child/Youth"/>
    <x v="2"/>
    <n v="36029"/>
  </r>
  <r>
    <x v="14"/>
    <s v="Concession"/>
    <x v="2"/>
    <n v="29661"/>
  </r>
  <r>
    <x v="14"/>
    <s v="Free Travel"/>
    <x v="2"/>
    <n v="789"/>
  </r>
  <r>
    <x v="14"/>
    <s v="School Student"/>
    <x v="2"/>
    <n v="4709"/>
  </r>
  <r>
    <x v="14"/>
    <s v="Senior/Pensioner"/>
    <x v="2"/>
    <n v="130108"/>
  </r>
  <r>
    <x v="14"/>
    <s v="Sgl Trip LR Adult"/>
    <x v="2"/>
    <n v="4194"/>
  </r>
  <r>
    <x v="14"/>
    <s v="Sgl Trip LR Child/Youth"/>
    <x v="2"/>
    <n v="899"/>
  </r>
  <r>
    <x v="14"/>
    <s v="Adult"/>
    <x v="3"/>
    <n v="24295203"/>
  </r>
  <r>
    <x v="14"/>
    <s v="Child/Youth"/>
    <x v="3"/>
    <n v="1219264"/>
  </r>
  <r>
    <x v="14"/>
    <s v="Concession"/>
    <x v="3"/>
    <n v="2208678"/>
  </r>
  <r>
    <x v="14"/>
    <s v="Day Pass Child/Youth w/o SAF"/>
    <x v="3"/>
    <n v="28"/>
  </r>
  <r>
    <x v="14"/>
    <s v="Day Pass without SAF"/>
    <x v="3"/>
    <n v="174"/>
  </r>
  <r>
    <x v="14"/>
    <s v="Employee"/>
    <x v="3"/>
    <n v="284062"/>
  </r>
  <r>
    <x v="14"/>
    <s v="Free Travel"/>
    <x v="3"/>
    <n v="30029"/>
  </r>
  <r>
    <x v="14"/>
    <s v="School Student"/>
    <x v="3"/>
    <n v="819372"/>
  </r>
  <r>
    <x v="14"/>
    <s v="Senior/Pensioner"/>
    <x v="3"/>
    <n v="2805731"/>
  </r>
  <r>
    <x v="14"/>
    <s v="Sgl Trip Rail Adult"/>
    <x v="3"/>
    <n v="330192"/>
  </r>
  <r>
    <x v="14"/>
    <s v="Sgl Trip Rail Child/Youth"/>
    <x v="3"/>
    <n v="74585"/>
  </r>
  <r>
    <x v="15"/>
    <s v="Adult"/>
    <x v="0"/>
    <n v="14493838"/>
  </r>
  <r>
    <x v="15"/>
    <s v="Adult Single Bus Trip 1"/>
    <x v="0"/>
    <n v="154191"/>
  </r>
  <r>
    <x v="15"/>
    <s v="Adult Single Bus Trip 2"/>
    <x v="0"/>
    <n v="88281"/>
  </r>
  <r>
    <x v="15"/>
    <s v="Adult Single Bus Trip 3"/>
    <x v="0"/>
    <n v="32576"/>
  </r>
  <r>
    <x v="15"/>
    <s v="Child/Youth"/>
    <x v="0"/>
    <n v="1262367"/>
  </r>
  <r>
    <x v="15"/>
    <s v="Child/Youth Single Bus Trip 1"/>
    <x v="0"/>
    <n v="42773"/>
  </r>
  <r>
    <x v="15"/>
    <s v="Child/Youth Single Bus Trip 2"/>
    <x v="0"/>
    <n v="31260"/>
  </r>
  <r>
    <x v="15"/>
    <s v="Child/Youth Single Bus Trip 3"/>
    <x v="0"/>
    <n v="8908"/>
  </r>
  <r>
    <x v="15"/>
    <s v="Concession"/>
    <x v="0"/>
    <n v="1841943"/>
  </r>
  <r>
    <x v="15"/>
    <s v="Day Pass Child/Youth w/o SAF"/>
    <x v="0"/>
    <n v="20"/>
  </r>
  <r>
    <x v="15"/>
    <s v="Day Pass without SAF"/>
    <x v="0"/>
    <n v="76"/>
  </r>
  <r>
    <x v="15"/>
    <s v="Employee"/>
    <x v="0"/>
    <n v="71545"/>
  </r>
  <r>
    <x v="15"/>
    <s v="Free Travel"/>
    <x v="0"/>
    <n v="39006"/>
  </r>
  <r>
    <x v="15"/>
    <s v="School Student"/>
    <x v="0"/>
    <n v="2060482"/>
  </r>
  <r>
    <x v="15"/>
    <s v="Senior/Pensioner"/>
    <x v="0"/>
    <n v="4107245"/>
  </r>
  <r>
    <x v="15"/>
    <s v="Adult"/>
    <x v="1"/>
    <n v="897449"/>
  </r>
  <r>
    <x v="15"/>
    <s v="CTP"/>
    <x v="1"/>
    <n v="2459"/>
  </r>
  <r>
    <x v="15"/>
    <s v="Child/Youth"/>
    <x v="1"/>
    <n v="115643"/>
  </r>
  <r>
    <x v="15"/>
    <s v="Concession"/>
    <x v="1"/>
    <n v="25454"/>
  </r>
  <r>
    <x v="15"/>
    <s v="Day Pass without SAF"/>
    <x v="1"/>
    <n v="1"/>
  </r>
  <r>
    <x v="15"/>
    <s v="Employee"/>
    <x v="1"/>
    <n v="5098"/>
  </r>
  <r>
    <x v="15"/>
    <s v="Free Travel"/>
    <x v="1"/>
    <n v="2145"/>
  </r>
  <r>
    <x v="15"/>
    <s v="School Student"/>
    <x v="1"/>
    <n v="1718"/>
  </r>
  <r>
    <x v="15"/>
    <s v="Senior/Pensioner"/>
    <x v="1"/>
    <n v="183390"/>
  </r>
  <r>
    <x v="15"/>
    <s v="Sgl Trip Ferry Adult"/>
    <x v="1"/>
    <n v="58384"/>
  </r>
  <r>
    <x v="15"/>
    <s v="Sgl Trip Ferry Child/Youth"/>
    <x v="1"/>
    <n v="11756"/>
  </r>
  <r>
    <x v="15"/>
    <s v="Adult"/>
    <x v="2"/>
    <n v="628033"/>
  </r>
  <r>
    <x v="15"/>
    <s v="Child/Youth"/>
    <x v="2"/>
    <n v="38062"/>
  </r>
  <r>
    <x v="15"/>
    <s v="Concession"/>
    <x v="2"/>
    <n v="30368"/>
  </r>
  <r>
    <x v="15"/>
    <s v="Free Travel"/>
    <x v="2"/>
    <n v="946"/>
  </r>
  <r>
    <x v="15"/>
    <s v="School Student"/>
    <x v="2"/>
    <n v="4544"/>
  </r>
  <r>
    <x v="15"/>
    <s v="Senior/Pensioner"/>
    <x v="2"/>
    <n v="144853"/>
  </r>
  <r>
    <x v="15"/>
    <s v="Sgl Trip LR Adult"/>
    <x v="2"/>
    <n v="4756"/>
  </r>
  <r>
    <x v="15"/>
    <s v="Sgl Trip LR Child/Youth"/>
    <x v="2"/>
    <n v="899"/>
  </r>
  <r>
    <x v="15"/>
    <s v="Adult"/>
    <x v="3"/>
    <n v="25069317"/>
  </r>
  <r>
    <x v="15"/>
    <s v="Child/Youth"/>
    <x v="3"/>
    <n v="1167816"/>
  </r>
  <r>
    <x v="15"/>
    <s v="Concession"/>
    <x v="3"/>
    <n v="2229618"/>
  </r>
  <r>
    <x v="15"/>
    <s v="Day Pass Child/Youth w/o SAF"/>
    <x v="3"/>
    <n v="7"/>
  </r>
  <r>
    <x v="15"/>
    <s v="Day Pass without SAF"/>
    <x v="3"/>
    <n v="73"/>
  </r>
  <r>
    <x v="15"/>
    <s v="Employee"/>
    <x v="3"/>
    <n v="285686"/>
  </r>
  <r>
    <x v="15"/>
    <s v="Free Travel"/>
    <x v="3"/>
    <n v="30517"/>
  </r>
  <r>
    <x v="15"/>
    <s v="School Student"/>
    <x v="3"/>
    <n v="824499"/>
  </r>
  <r>
    <x v="15"/>
    <s v="Senior/Pensioner"/>
    <x v="3"/>
    <n v="2880156"/>
  </r>
  <r>
    <x v="15"/>
    <s v="Sgl Trip Rail Adult"/>
    <x v="3"/>
    <n v="351369"/>
  </r>
  <r>
    <x v="15"/>
    <s v="Sgl Trip Rail Child/Youth"/>
    <x v="3"/>
    <n v="71176"/>
  </r>
  <r>
    <x v="16"/>
    <s v="Adult"/>
    <x v="0"/>
    <n v="14927209"/>
  </r>
  <r>
    <x v="16"/>
    <s v="Adult Single Bus Trip 1"/>
    <x v="0"/>
    <n v="152433"/>
  </r>
  <r>
    <x v="16"/>
    <s v="Adult Single Bus Trip 2"/>
    <x v="0"/>
    <n v="86713"/>
  </r>
  <r>
    <x v="16"/>
    <s v="Adult Single Bus Trip 3"/>
    <x v="0"/>
    <n v="31905"/>
  </r>
  <r>
    <x v="16"/>
    <s v="Child/Youth"/>
    <x v="0"/>
    <n v="1175200"/>
  </r>
  <r>
    <x v="16"/>
    <s v="Child/Youth Single Bus Trip 1"/>
    <x v="0"/>
    <n v="36062"/>
  </r>
  <r>
    <x v="16"/>
    <s v="Child/Youth Single Bus Trip 2"/>
    <x v="0"/>
    <n v="23996"/>
  </r>
  <r>
    <x v="16"/>
    <s v="Child/Youth Single Bus Trip 3"/>
    <x v="0"/>
    <n v="6816"/>
  </r>
  <r>
    <x v="16"/>
    <s v="Concession"/>
    <x v="0"/>
    <n v="1473370"/>
  </r>
  <r>
    <x v="16"/>
    <s v="Day Pass without SAF"/>
    <x v="0"/>
    <n v="1"/>
  </r>
  <r>
    <x v="16"/>
    <s v="Employee"/>
    <x v="0"/>
    <n v="74772"/>
  </r>
  <r>
    <x v="16"/>
    <s v="Free Travel"/>
    <x v="0"/>
    <n v="39917"/>
  </r>
  <r>
    <x v="16"/>
    <s v="School Student"/>
    <x v="0"/>
    <n v="2589339"/>
  </r>
  <r>
    <x v="16"/>
    <s v="Senior/Pensioner"/>
    <x v="0"/>
    <n v="4269152"/>
  </r>
  <r>
    <x v="16"/>
    <s v="Adult"/>
    <x v="1"/>
    <n v="901775"/>
  </r>
  <r>
    <x v="16"/>
    <s v="CTP"/>
    <x v="1"/>
    <n v="2019"/>
  </r>
  <r>
    <x v="16"/>
    <s v="Child/Youth"/>
    <x v="1"/>
    <n v="75010"/>
  </r>
  <r>
    <x v="16"/>
    <s v="Concession"/>
    <x v="1"/>
    <n v="24358"/>
  </r>
  <r>
    <x v="16"/>
    <s v="Employee"/>
    <x v="1"/>
    <n v="5435"/>
  </r>
  <r>
    <x v="16"/>
    <s v="Free Travel"/>
    <x v="1"/>
    <n v="2330"/>
  </r>
  <r>
    <x v="16"/>
    <s v="School Student"/>
    <x v="1"/>
    <n v="2444"/>
  </r>
  <r>
    <x v="16"/>
    <s v="Senior/Pensioner"/>
    <x v="1"/>
    <n v="183905"/>
  </r>
  <r>
    <x v="16"/>
    <s v="Sgl Trip Ferry Adult"/>
    <x v="1"/>
    <n v="63149"/>
  </r>
  <r>
    <x v="16"/>
    <s v="Sgl Trip Ferry Child/Youth"/>
    <x v="1"/>
    <n v="7171"/>
  </r>
  <r>
    <x v="16"/>
    <s v="Adult"/>
    <x v="2"/>
    <n v="649009"/>
  </r>
  <r>
    <x v="16"/>
    <s v="Child/Youth"/>
    <x v="2"/>
    <n v="35504"/>
  </r>
  <r>
    <x v="16"/>
    <s v="Concession"/>
    <x v="2"/>
    <n v="31344"/>
  </r>
  <r>
    <x v="16"/>
    <s v="Employee"/>
    <x v="2"/>
    <n v="2"/>
  </r>
  <r>
    <x v="16"/>
    <s v="Free Travel"/>
    <x v="2"/>
    <n v="937"/>
  </r>
  <r>
    <x v="16"/>
    <s v="School Student"/>
    <x v="2"/>
    <n v="5671"/>
  </r>
  <r>
    <x v="16"/>
    <s v="Senior/Pensioner"/>
    <x v="2"/>
    <n v="146513"/>
  </r>
  <r>
    <x v="16"/>
    <s v="Sgl Trip LR Adult"/>
    <x v="2"/>
    <n v="5215"/>
  </r>
  <r>
    <x v="16"/>
    <s v="Sgl Trip LR Child/Youth"/>
    <x v="2"/>
    <n v="791"/>
  </r>
  <r>
    <x v="16"/>
    <s v="Adult"/>
    <x v="3"/>
    <n v="25763265"/>
  </r>
  <r>
    <x v="16"/>
    <s v="Child/Youth"/>
    <x v="3"/>
    <n v="1062144"/>
  </r>
  <r>
    <x v="16"/>
    <s v="Concession"/>
    <x v="3"/>
    <n v="1827754"/>
  </r>
  <r>
    <x v="16"/>
    <s v="Day Pass without SAF"/>
    <x v="3"/>
    <n v="2"/>
  </r>
  <r>
    <x v="16"/>
    <s v="Employee"/>
    <x v="3"/>
    <n v="300528"/>
  </r>
  <r>
    <x v="16"/>
    <s v="Free Travel"/>
    <x v="3"/>
    <n v="32193"/>
  </r>
  <r>
    <x v="16"/>
    <s v="School Student"/>
    <x v="3"/>
    <n v="1065221"/>
  </r>
  <r>
    <x v="16"/>
    <s v="Senior/Pensioner"/>
    <x v="3"/>
    <n v="2979774"/>
  </r>
  <r>
    <x v="16"/>
    <s v="Sgl Trip Rail Adult"/>
    <x v="3"/>
    <n v="366190"/>
  </r>
  <r>
    <x v="16"/>
    <s v="Sgl Trip Rail Child/Youth"/>
    <x v="3"/>
    <n v="60053"/>
  </r>
  <r>
    <x v="17"/>
    <s v="Adult"/>
    <x v="0"/>
    <n v="13321082"/>
  </r>
  <r>
    <x v="17"/>
    <s v="Adult Single Bus Trip 1"/>
    <x v="0"/>
    <n v="158523"/>
  </r>
  <r>
    <x v="17"/>
    <s v="Adult Single Bus Trip 2"/>
    <x v="0"/>
    <n v="91020"/>
  </r>
  <r>
    <x v="17"/>
    <s v="Adult Single Bus Trip 3"/>
    <x v="0"/>
    <n v="33611"/>
  </r>
  <r>
    <x v="17"/>
    <s v="Child/Youth"/>
    <x v="0"/>
    <n v="1412859"/>
  </r>
  <r>
    <x v="17"/>
    <s v="Child/Youth Single Bus Trip 1"/>
    <x v="0"/>
    <n v="48701"/>
  </r>
  <r>
    <x v="17"/>
    <s v="Child/Youth Single Bus Trip 2"/>
    <x v="0"/>
    <n v="38599"/>
  </r>
  <r>
    <x v="17"/>
    <s v="Child/Youth Single Bus Trip 3"/>
    <x v="0"/>
    <n v="11737"/>
  </r>
  <r>
    <x v="17"/>
    <s v="Concession"/>
    <x v="0"/>
    <n v="1066654"/>
  </r>
  <r>
    <x v="17"/>
    <s v="Day Pass Child/Youth w/o SAF"/>
    <x v="0"/>
    <n v="2"/>
  </r>
  <r>
    <x v="17"/>
    <s v="Employee"/>
    <x v="0"/>
    <n v="69644"/>
  </r>
  <r>
    <x v="17"/>
    <s v="Free Travel"/>
    <x v="0"/>
    <n v="35334"/>
  </r>
  <r>
    <x v="17"/>
    <s v="School Student"/>
    <x v="0"/>
    <n v="926795"/>
  </r>
  <r>
    <x v="17"/>
    <s v="Senior/Pensioner"/>
    <x v="0"/>
    <n v="3927879"/>
  </r>
  <r>
    <x v="17"/>
    <s v="Adult"/>
    <x v="1"/>
    <n v="1046211"/>
  </r>
  <r>
    <x v="17"/>
    <s v="CTP"/>
    <x v="1"/>
    <n v="2307"/>
  </r>
  <r>
    <x v="17"/>
    <s v="Child/Youth"/>
    <x v="1"/>
    <n v="146402"/>
  </r>
  <r>
    <x v="17"/>
    <s v="Concession"/>
    <x v="1"/>
    <n v="28201"/>
  </r>
  <r>
    <x v="17"/>
    <s v="Employee"/>
    <x v="1"/>
    <n v="5165"/>
  </r>
  <r>
    <x v="17"/>
    <s v="Free Travel"/>
    <x v="1"/>
    <n v="2099"/>
  </r>
  <r>
    <x v="17"/>
    <s v="School Student"/>
    <x v="1"/>
    <n v="988"/>
  </r>
  <r>
    <x v="17"/>
    <s v="Senior/Pensioner"/>
    <x v="1"/>
    <n v="185440"/>
  </r>
  <r>
    <x v="17"/>
    <s v="Sgl Trip Ferry Adult"/>
    <x v="1"/>
    <n v="75067"/>
  </r>
  <r>
    <x v="17"/>
    <s v="Sgl Trip Ferry Child/Youth"/>
    <x v="1"/>
    <n v="18807"/>
  </r>
  <r>
    <x v="17"/>
    <s v="Adult"/>
    <x v="2"/>
    <n v="643916"/>
  </r>
  <r>
    <x v="17"/>
    <s v="Child/Youth"/>
    <x v="2"/>
    <n v="49043"/>
  </r>
  <r>
    <x v="17"/>
    <s v="Concession"/>
    <x v="2"/>
    <n v="28319"/>
  </r>
  <r>
    <x v="17"/>
    <s v="Employee"/>
    <x v="2"/>
    <n v="1"/>
  </r>
  <r>
    <x v="17"/>
    <s v="Free Travel"/>
    <x v="2"/>
    <n v="852"/>
  </r>
  <r>
    <x v="17"/>
    <s v="School Student"/>
    <x v="2"/>
    <n v="1860"/>
  </r>
  <r>
    <x v="17"/>
    <s v="Senior/Pensioner"/>
    <x v="2"/>
    <n v="148175"/>
  </r>
  <r>
    <x v="17"/>
    <s v="Sgl Trip LR Adult"/>
    <x v="2"/>
    <n v="5741"/>
  </r>
  <r>
    <x v="17"/>
    <s v="Sgl Trip LR Child/Youth"/>
    <x v="2"/>
    <n v="1399"/>
  </r>
  <r>
    <x v="17"/>
    <s v="Adult"/>
    <x v="3"/>
    <n v="22729922"/>
  </r>
  <r>
    <x v="17"/>
    <s v="Child/Youth"/>
    <x v="3"/>
    <n v="1423432"/>
  </r>
  <r>
    <x v="17"/>
    <s v="Concession"/>
    <x v="3"/>
    <n v="1406927"/>
  </r>
  <r>
    <x v="17"/>
    <s v="Employee"/>
    <x v="3"/>
    <n v="254579"/>
  </r>
  <r>
    <x v="17"/>
    <s v="Free Travel"/>
    <x v="3"/>
    <n v="26829"/>
  </r>
  <r>
    <x v="17"/>
    <s v="School Student"/>
    <x v="3"/>
    <n v="385688"/>
  </r>
  <r>
    <x v="17"/>
    <s v="Senior/Pensioner"/>
    <x v="3"/>
    <n v="2749627"/>
  </r>
  <r>
    <x v="17"/>
    <s v="Sgl Trip Rail Adult"/>
    <x v="3"/>
    <n v="396404"/>
  </r>
  <r>
    <x v="17"/>
    <s v="Sgl Trip Rail Child/Youth"/>
    <x v="3"/>
    <n v="94481"/>
  </r>
  <r>
    <x v="18"/>
    <s v="Adult"/>
    <x v="0"/>
    <n v="13665898"/>
  </r>
  <r>
    <x v="18"/>
    <s v="Adult Single Bus Trip 1"/>
    <x v="0"/>
    <n v="144931"/>
  </r>
  <r>
    <x v="18"/>
    <s v="Adult Single Bus Trip 2"/>
    <x v="0"/>
    <n v="80665"/>
  </r>
  <r>
    <x v="18"/>
    <s v="Adult Single Bus Trip 3"/>
    <x v="0"/>
    <n v="29410"/>
  </r>
  <r>
    <x v="18"/>
    <s v="Child/Youth"/>
    <x v="0"/>
    <n v="1559929"/>
  </r>
  <r>
    <x v="18"/>
    <s v="Child/Youth Single Bus Trip 1"/>
    <x v="0"/>
    <n v="49176"/>
  </r>
  <r>
    <x v="18"/>
    <s v="Child/Youth Single Bus Trip 2"/>
    <x v="0"/>
    <n v="40857"/>
  </r>
  <r>
    <x v="18"/>
    <s v="Child/Youth Single Bus Trip 3"/>
    <x v="0"/>
    <n v="12535"/>
  </r>
  <r>
    <x v="18"/>
    <s v="Concession"/>
    <x v="0"/>
    <n v="1022052"/>
  </r>
  <r>
    <x v="18"/>
    <s v="Employee"/>
    <x v="0"/>
    <n v="67410"/>
  </r>
  <r>
    <x v="18"/>
    <s v="Free Travel"/>
    <x v="0"/>
    <n v="34628"/>
  </r>
  <r>
    <x v="18"/>
    <s v="On Demand"/>
    <x v="0"/>
    <n v="232"/>
  </r>
  <r>
    <x v="18"/>
    <s v="Other"/>
    <x v="0"/>
    <n v="24389"/>
  </r>
  <r>
    <x v="18"/>
    <s v="School Student"/>
    <x v="0"/>
    <n v="186979"/>
  </r>
  <r>
    <x v="18"/>
    <s v="Senior/Pensioner"/>
    <x v="0"/>
    <n v="3857789"/>
  </r>
  <r>
    <x v="18"/>
    <s v="Adult"/>
    <x v="1"/>
    <n v="1112314"/>
  </r>
  <r>
    <x v="18"/>
    <s v="CTP"/>
    <x v="1"/>
    <n v="2466"/>
  </r>
  <r>
    <x v="18"/>
    <s v="Child/Youth"/>
    <x v="1"/>
    <n v="199548"/>
  </r>
  <r>
    <x v="18"/>
    <s v="Concession"/>
    <x v="1"/>
    <n v="29192"/>
  </r>
  <r>
    <x v="18"/>
    <s v="Employee"/>
    <x v="1"/>
    <n v="6262"/>
  </r>
  <r>
    <x v="18"/>
    <s v="Free Travel"/>
    <x v="1"/>
    <n v="2417"/>
  </r>
  <r>
    <x v="18"/>
    <s v="School Student"/>
    <x v="1"/>
    <n v="252"/>
  </r>
  <r>
    <x v="18"/>
    <s v="Senior/Pensioner"/>
    <x v="1"/>
    <n v="220589"/>
  </r>
  <r>
    <x v="18"/>
    <s v="Sgl Trip Ferry Adult"/>
    <x v="1"/>
    <n v="79580"/>
  </r>
  <r>
    <x v="18"/>
    <s v="Sgl Trip Ferry Child/Youth"/>
    <x v="1"/>
    <n v="23423"/>
  </r>
  <r>
    <x v="18"/>
    <s v="Adult"/>
    <x v="2"/>
    <n v="142036"/>
  </r>
  <r>
    <x v="18"/>
    <s v="Child/Youth"/>
    <x v="2"/>
    <n v="14275"/>
  </r>
  <r>
    <x v="18"/>
    <s v="Concession"/>
    <x v="2"/>
    <n v="6681"/>
  </r>
  <r>
    <x v="18"/>
    <s v="Free Travel"/>
    <x v="2"/>
    <n v="194"/>
  </r>
  <r>
    <x v="18"/>
    <s v="School Student"/>
    <x v="2"/>
    <n v="441"/>
  </r>
  <r>
    <x v="18"/>
    <s v="Senior/Pensioner"/>
    <x v="2"/>
    <n v="28435"/>
  </r>
  <r>
    <x v="18"/>
    <s v="Sgl Trip LR Adult"/>
    <x v="2"/>
    <n v="1211"/>
  </r>
  <r>
    <x v="18"/>
    <s v="Sgl Trip LR Child/Youth"/>
    <x v="2"/>
    <n v="447"/>
  </r>
  <r>
    <x v="18"/>
    <s v="Adult"/>
    <x v="3"/>
    <n v="22118391"/>
  </r>
  <r>
    <x v="18"/>
    <s v="Child/Youth"/>
    <x v="3"/>
    <n v="1491713"/>
  </r>
  <r>
    <x v="18"/>
    <s v="Concession"/>
    <x v="3"/>
    <n v="1278438"/>
  </r>
  <r>
    <x v="18"/>
    <s v="Day Pass without SAF"/>
    <x v="3"/>
    <n v="1"/>
  </r>
  <r>
    <x v="18"/>
    <s v="Employee"/>
    <x v="3"/>
    <n v="237035"/>
  </r>
  <r>
    <x v="18"/>
    <s v="Free Travel"/>
    <x v="3"/>
    <n v="24340"/>
  </r>
  <r>
    <x v="18"/>
    <s v="School Student"/>
    <x v="3"/>
    <n v="80493"/>
  </r>
  <r>
    <x v="18"/>
    <s v="Senior/Pensioner"/>
    <x v="3"/>
    <n v="2550328"/>
  </r>
  <r>
    <x v="18"/>
    <s v="Sgl Trip Rail Adult"/>
    <x v="3"/>
    <n v="317462"/>
  </r>
  <r>
    <x v="18"/>
    <s v="Sgl Trip Rail Child/Youth"/>
    <x v="3"/>
    <n v="88665"/>
  </r>
  <r>
    <x v="19"/>
    <s v="Adult"/>
    <x v="0"/>
    <n v="14158256"/>
  </r>
  <r>
    <x v="19"/>
    <s v="Adult Single Bus Trip 1"/>
    <x v="0"/>
    <n v="135021"/>
  </r>
  <r>
    <x v="19"/>
    <s v="Adult Single Bus Trip 2"/>
    <x v="0"/>
    <n v="72765"/>
  </r>
  <r>
    <x v="19"/>
    <s v="Adult Single Bus Trip 3"/>
    <x v="0"/>
    <n v="25901"/>
  </r>
  <r>
    <x v="19"/>
    <s v="Child/Youth"/>
    <x v="0"/>
    <n v="1271723"/>
  </r>
  <r>
    <x v="19"/>
    <s v="Child/Youth Single Bus Trip 1"/>
    <x v="0"/>
    <n v="28631"/>
  </r>
  <r>
    <x v="19"/>
    <s v="Child/Youth Single Bus Trip 2"/>
    <x v="0"/>
    <n v="19424"/>
  </r>
  <r>
    <x v="19"/>
    <s v="Child/Youth Single Bus Trip 3"/>
    <x v="0"/>
    <n v="5413"/>
  </r>
  <r>
    <x v="19"/>
    <s v="Concession"/>
    <x v="0"/>
    <n v="1275676"/>
  </r>
  <r>
    <x v="19"/>
    <s v="Employee"/>
    <x v="0"/>
    <n v="71212"/>
  </r>
  <r>
    <x v="19"/>
    <s v="Free Travel"/>
    <x v="0"/>
    <n v="36666"/>
  </r>
  <r>
    <x v="19"/>
    <s v="On Demand"/>
    <x v="0"/>
    <n v="672"/>
  </r>
  <r>
    <x v="19"/>
    <s v="Other"/>
    <x v="0"/>
    <n v="55421"/>
  </r>
  <r>
    <x v="19"/>
    <s v="School Student"/>
    <x v="0"/>
    <n v="2701483"/>
  </r>
  <r>
    <x v="19"/>
    <s v="Senior/Pensioner"/>
    <x v="0"/>
    <n v="3956457"/>
  </r>
  <r>
    <x v="19"/>
    <s v="Adult"/>
    <x v="1"/>
    <n v="902195"/>
  </r>
  <r>
    <x v="19"/>
    <s v="CTP"/>
    <x v="1"/>
    <n v="2069"/>
  </r>
  <r>
    <x v="19"/>
    <s v="Child/Youth"/>
    <x v="1"/>
    <n v="65080"/>
  </r>
  <r>
    <x v="19"/>
    <s v="Concession"/>
    <x v="1"/>
    <n v="24733"/>
  </r>
  <r>
    <x v="19"/>
    <s v="Employee"/>
    <x v="1"/>
    <n v="4994"/>
  </r>
  <r>
    <x v="19"/>
    <s v="Free Travel"/>
    <x v="1"/>
    <n v="2129"/>
  </r>
  <r>
    <x v="19"/>
    <s v="School Student"/>
    <x v="1"/>
    <n v="2904"/>
  </r>
  <r>
    <x v="19"/>
    <s v="Senior/Pensioner"/>
    <x v="1"/>
    <n v="184482"/>
  </r>
  <r>
    <x v="19"/>
    <s v="Sgl Trip Ferry Adult"/>
    <x v="1"/>
    <n v="63773"/>
  </r>
  <r>
    <x v="19"/>
    <s v="Sgl Trip Ferry Child/Youth"/>
    <x v="1"/>
    <n v="8079"/>
  </r>
  <r>
    <x v="19"/>
    <s v="Adult"/>
    <x v="2"/>
    <n v="550240"/>
  </r>
  <r>
    <x v="19"/>
    <s v="Child/Youth"/>
    <x v="2"/>
    <n v="35485"/>
  </r>
  <r>
    <x v="19"/>
    <s v="Concession"/>
    <x v="2"/>
    <n v="26363"/>
  </r>
  <r>
    <x v="19"/>
    <s v="Free Travel"/>
    <x v="2"/>
    <n v="793"/>
  </r>
  <r>
    <x v="19"/>
    <s v="School Student"/>
    <x v="2"/>
    <n v="6277"/>
  </r>
  <r>
    <x v="19"/>
    <s v="Senior/Pensioner"/>
    <x v="2"/>
    <n v="135060"/>
  </r>
  <r>
    <x v="19"/>
    <s v="Sgl Trip LR Adult"/>
    <x v="2"/>
    <n v="4590"/>
  </r>
  <r>
    <x v="19"/>
    <s v="Sgl Trip LR Child/Youth"/>
    <x v="2"/>
    <n v="737"/>
  </r>
  <r>
    <x v="19"/>
    <s v="Adult"/>
    <x v="3"/>
    <n v="23096119"/>
  </r>
  <r>
    <x v="19"/>
    <s v="Child/Youth"/>
    <x v="3"/>
    <n v="1013582"/>
  </r>
  <r>
    <x v="19"/>
    <s v="Concession"/>
    <x v="3"/>
    <n v="1546266"/>
  </r>
  <r>
    <x v="19"/>
    <s v="Employee"/>
    <x v="3"/>
    <n v="259220"/>
  </r>
  <r>
    <x v="19"/>
    <s v="Free Travel"/>
    <x v="3"/>
    <n v="27068"/>
  </r>
  <r>
    <x v="19"/>
    <s v="School Student"/>
    <x v="3"/>
    <n v="1071662"/>
  </r>
  <r>
    <x v="19"/>
    <s v="Senior/Pensioner"/>
    <x v="3"/>
    <n v="2656033"/>
  </r>
  <r>
    <x v="19"/>
    <s v="Sgl Trip Rail Adult"/>
    <x v="3"/>
    <n v="314269"/>
  </r>
  <r>
    <x v="19"/>
    <s v="Sgl Trip Rail Child/Youth"/>
    <x v="3"/>
    <n v="51872"/>
  </r>
  <r>
    <x v="20"/>
    <s v="Adult"/>
    <x v="0"/>
    <n v="15671919"/>
  </r>
  <r>
    <x v="20"/>
    <s v="Adult Single Bus Trip 1"/>
    <x v="0"/>
    <n v="149812"/>
  </r>
  <r>
    <x v="20"/>
    <s v="Adult Single Bus Trip 2"/>
    <x v="0"/>
    <n v="81989"/>
  </r>
  <r>
    <x v="20"/>
    <s v="Adult Single Bus Trip 3"/>
    <x v="0"/>
    <n v="28085"/>
  </r>
  <r>
    <x v="20"/>
    <s v="Child/Youth"/>
    <x v="0"/>
    <n v="1325239"/>
  </r>
  <r>
    <x v="20"/>
    <s v="Child/Youth Single Bus Trip 1"/>
    <x v="0"/>
    <n v="33439"/>
  </r>
  <r>
    <x v="20"/>
    <s v="Child/Youth Single Bus Trip 2"/>
    <x v="0"/>
    <n v="22468"/>
  </r>
  <r>
    <x v="20"/>
    <s v="Child/Youth Single Bus Trip 3"/>
    <x v="0"/>
    <n v="6274"/>
  </r>
  <r>
    <x v="20"/>
    <s v="Concession"/>
    <x v="0"/>
    <n v="2271925"/>
  </r>
  <r>
    <x v="20"/>
    <s v="Day Pass Child/Youth w/o SAF"/>
    <x v="0"/>
    <n v="17"/>
  </r>
  <r>
    <x v="20"/>
    <s v="Day Pass without SAF"/>
    <x v="0"/>
    <n v="45"/>
  </r>
  <r>
    <x v="20"/>
    <s v="Employee"/>
    <x v="0"/>
    <n v="77210"/>
  </r>
  <r>
    <x v="20"/>
    <s v="Free Travel"/>
    <x v="0"/>
    <n v="40280"/>
  </r>
  <r>
    <x v="20"/>
    <s v="On Demand"/>
    <x v="0"/>
    <n v="1049"/>
  </r>
  <r>
    <x v="20"/>
    <s v="Other"/>
    <x v="0"/>
    <n v="64634"/>
  </r>
  <r>
    <x v="20"/>
    <s v="School Student"/>
    <x v="0"/>
    <n v="2983327"/>
  </r>
  <r>
    <x v="20"/>
    <s v="Senior/Pensioner"/>
    <x v="0"/>
    <n v="4303012"/>
  </r>
  <r>
    <x v="20"/>
    <s v="Adult"/>
    <x v="1"/>
    <n v="977515"/>
  </r>
  <r>
    <x v="20"/>
    <s v="CTP"/>
    <x v="1"/>
    <n v="14690"/>
  </r>
  <r>
    <x v="20"/>
    <s v="Child/Youth"/>
    <x v="1"/>
    <n v="77736"/>
  </r>
  <r>
    <x v="20"/>
    <s v="Concession"/>
    <x v="1"/>
    <n v="32530"/>
  </r>
  <r>
    <x v="20"/>
    <s v="Employee"/>
    <x v="1"/>
    <n v="4829"/>
  </r>
  <r>
    <x v="20"/>
    <s v="Free Travel"/>
    <x v="1"/>
    <n v="2048"/>
  </r>
  <r>
    <x v="20"/>
    <s v="School Student"/>
    <x v="1"/>
    <n v="2544"/>
  </r>
  <r>
    <x v="20"/>
    <s v="Senior/Pensioner"/>
    <x v="1"/>
    <n v="200909"/>
  </r>
  <r>
    <x v="20"/>
    <s v="Sgl Trip Ferry Adult"/>
    <x v="1"/>
    <n v="61722"/>
  </r>
  <r>
    <x v="20"/>
    <s v="Sgl Trip Ferry Child/Youth"/>
    <x v="1"/>
    <n v="10095"/>
  </r>
  <r>
    <x v="20"/>
    <s v="Adult"/>
    <x v="2"/>
    <n v="615888"/>
  </r>
  <r>
    <x v="20"/>
    <s v="CTP"/>
    <x v="2"/>
    <n v="3018"/>
  </r>
  <r>
    <x v="20"/>
    <s v="Child/Youth"/>
    <x v="2"/>
    <n v="35724"/>
  </r>
  <r>
    <x v="20"/>
    <s v="Concession"/>
    <x v="2"/>
    <n v="34138"/>
  </r>
  <r>
    <x v="20"/>
    <s v="Free Travel"/>
    <x v="2"/>
    <n v="860"/>
  </r>
  <r>
    <x v="20"/>
    <s v="School Student"/>
    <x v="2"/>
    <n v="5884"/>
  </r>
  <r>
    <x v="20"/>
    <s v="Senior/Pensioner"/>
    <x v="2"/>
    <n v="143404"/>
  </r>
  <r>
    <x v="20"/>
    <s v="Sgl Trip LR Adult"/>
    <x v="2"/>
    <n v="4325"/>
  </r>
  <r>
    <x v="20"/>
    <s v="Sgl Trip LR Child/Youth"/>
    <x v="2"/>
    <n v="648"/>
  </r>
  <r>
    <x v="20"/>
    <s v="Adult"/>
    <x v="3"/>
    <n v="26186985"/>
  </r>
  <r>
    <x v="20"/>
    <s v="Child/Youth"/>
    <x v="3"/>
    <n v="1149786"/>
  </r>
  <r>
    <x v="20"/>
    <s v="Concession"/>
    <x v="3"/>
    <n v="2756796"/>
  </r>
  <r>
    <x v="20"/>
    <s v="Day Pass Child/Youth w/o SAF"/>
    <x v="3"/>
    <n v="4"/>
  </r>
  <r>
    <x v="20"/>
    <s v="Day Pass without SAF"/>
    <x v="3"/>
    <n v="32"/>
  </r>
  <r>
    <x v="20"/>
    <s v="Employee"/>
    <x v="3"/>
    <n v="289223"/>
  </r>
  <r>
    <x v="20"/>
    <s v="Free Travel"/>
    <x v="3"/>
    <n v="30090"/>
  </r>
  <r>
    <x v="20"/>
    <s v="School Student"/>
    <x v="3"/>
    <n v="1154541"/>
  </r>
  <r>
    <x v="20"/>
    <s v="Senior/Pensioner"/>
    <x v="3"/>
    <n v="2976317"/>
  </r>
  <r>
    <x v="20"/>
    <s v="Sgl Trip Rail Adult"/>
    <x v="3"/>
    <n v="361338"/>
  </r>
  <r>
    <x v="20"/>
    <s v="Sgl Trip Rail Child/Youth"/>
    <x v="3"/>
    <n v="62376"/>
  </r>
  <r>
    <x v="21"/>
    <s v="Adult"/>
    <x v="0"/>
    <n v="14183574"/>
  </r>
  <r>
    <x v="21"/>
    <s v="Adult Single Bus Trip 1"/>
    <x v="0"/>
    <n v="139901"/>
  </r>
  <r>
    <x v="21"/>
    <s v="Adult Single Bus Trip 2"/>
    <x v="0"/>
    <n v="75101"/>
  </r>
  <r>
    <x v="21"/>
    <s v="Adult Single Bus Trip 3"/>
    <x v="0"/>
    <n v="25295"/>
  </r>
  <r>
    <x v="21"/>
    <s v="Child/Youth"/>
    <x v="0"/>
    <n v="1426034"/>
  </r>
  <r>
    <x v="21"/>
    <s v="Child/Youth Single Bus Trip 1"/>
    <x v="0"/>
    <n v="41733"/>
  </r>
  <r>
    <x v="21"/>
    <s v="Child/Youth Single Bus Trip 2"/>
    <x v="0"/>
    <n v="32744"/>
  </r>
  <r>
    <x v="21"/>
    <s v="Child/Youth Single Bus Trip 3"/>
    <x v="0"/>
    <n v="9079"/>
  </r>
  <r>
    <x v="21"/>
    <s v="Concession"/>
    <x v="0"/>
    <n v="1787676"/>
  </r>
  <r>
    <x v="21"/>
    <s v="Day Pass Child/Youth w/o SAF"/>
    <x v="0"/>
    <n v="8"/>
  </r>
  <r>
    <x v="21"/>
    <s v="Day Pass without SAF"/>
    <x v="0"/>
    <n v="111"/>
  </r>
  <r>
    <x v="21"/>
    <s v="Employee"/>
    <x v="0"/>
    <n v="70833"/>
  </r>
  <r>
    <x v="21"/>
    <s v="Free Travel"/>
    <x v="0"/>
    <n v="36465"/>
  </r>
  <r>
    <x v="21"/>
    <s v="On Demand"/>
    <x v="0"/>
    <n v="1319"/>
  </r>
  <r>
    <x v="21"/>
    <s v="Other"/>
    <x v="0"/>
    <n v="41889"/>
  </r>
  <r>
    <x v="21"/>
    <s v="School Student"/>
    <x v="0"/>
    <n v="1243894"/>
  </r>
  <r>
    <x v="21"/>
    <s v="Senior/Pensioner"/>
    <x v="0"/>
    <n v="3949337"/>
  </r>
  <r>
    <x v="21"/>
    <s v="Adult"/>
    <x v="1"/>
    <n v="982513"/>
  </r>
  <r>
    <x v="21"/>
    <s v="CTP"/>
    <x v="1"/>
    <n v="20559"/>
  </r>
  <r>
    <x v="21"/>
    <s v="Child/Youth"/>
    <x v="1"/>
    <n v="156154"/>
  </r>
  <r>
    <x v="21"/>
    <s v="Concession"/>
    <x v="1"/>
    <n v="29908"/>
  </r>
  <r>
    <x v="21"/>
    <s v="Employee"/>
    <x v="1"/>
    <n v="4990"/>
  </r>
  <r>
    <x v="21"/>
    <s v="Free Travel"/>
    <x v="1"/>
    <n v="2131"/>
  </r>
  <r>
    <x v="21"/>
    <s v="School Student"/>
    <x v="1"/>
    <n v="1064"/>
  </r>
  <r>
    <x v="21"/>
    <s v="Senior/Pensioner"/>
    <x v="1"/>
    <n v="214610"/>
  </r>
  <r>
    <x v="21"/>
    <s v="Sgl Trip Ferry Adult"/>
    <x v="1"/>
    <n v="54494"/>
  </r>
  <r>
    <x v="21"/>
    <s v="Sgl Trip Ferry Child/Youth"/>
    <x v="1"/>
    <n v="16375"/>
  </r>
  <r>
    <x v="21"/>
    <s v="Adult"/>
    <x v="2"/>
    <n v="586057"/>
  </r>
  <r>
    <x v="21"/>
    <s v="CTP"/>
    <x v="2"/>
    <n v="6047"/>
  </r>
  <r>
    <x v="21"/>
    <s v="Child/Youth"/>
    <x v="2"/>
    <n v="48611"/>
  </r>
  <r>
    <x v="21"/>
    <s v="Concession"/>
    <x v="2"/>
    <n v="28950"/>
  </r>
  <r>
    <x v="21"/>
    <s v="Employee"/>
    <x v="2"/>
    <n v="1"/>
  </r>
  <r>
    <x v="21"/>
    <s v="Free Travel"/>
    <x v="2"/>
    <n v="887"/>
  </r>
  <r>
    <x v="21"/>
    <s v="School Student"/>
    <x v="2"/>
    <n v="2521"/>
  </r>
  <r>
    <x v="21"/>
    <s v="Senior/Pensioner"/>
    <x v="2"/>
    <n v="151012"/>
  </r>
  <r>
    <x v="21"/>
    <s v="Sgl Trip LR Adult"/>
    <x v="2"/>
    <n v="3698"/>
  </r>
  <r>
    <x v="21"/>
    <s v="Sgl Trip LR Child/Youth"/>
    <x v="2"/>
    <n v="1173"/>
  </r>
  <r>
    <x v="21"/>
    <s v="Adult"/>
    <x v="3"/>
    <n v="23988605"/>
  </r>
  <r>
    <x v="21"/>
    <s v="Child/Youth"/>
    <x v="3"/>
    <n v="1375098"/>
  </r>
  <r>
    <x v="21"/>
    <s v="Concession"/>
    <x v="3"/>
    <n v="2206207"/>
  </r>
  <r>
    <x v="21"/>
    <s v="Day Pass Child/Youth w/o SAF"/>
    <x v="3"/>
    <n v="6"/>
  </r>
  <r>
    <x v="21"/>
    <s v="Day Pass without SAF"/>
    <x v="3"/>
    <n v="102"/>
  </r>
  <r>
    <x v="21"/>
    <s v="Employee"/>
    <x v="3"/>
    <n v="262786"/>
  </r>
  <r>
    <x v="21"/>
    <s v="Free Travel"/>
    <x v="3"/>
    <n v="28378"/>
  </r>
  <r>
    <x v="21"/>
    <s v="School Student"/>
    <x v="3"/>
    <n v="491342"/>
  </r>
  <r>
    <x v="21"/>
    <s v="Senior/Pensioner"/>
    <x v="3"/>
    <n v="2776197"/>
  </r>
  <r>
    <x v="21"/>
    <s v="Sgl Trip Rail Adult"/>
    <x v="3"/>
    <n v="303161"/>
  </r>
  <r>
    <x v="21"/>
    <s v="Sgl Trip Rail Child/Youth"/>
    <x v="3"/>
    <n v="80284"/>
  </r>
  <r>
    <x v="22"/>
    <s v="Adult"/>
    <x v="0"/>
    <n v="15824004"/>
  </r>
  <r>
    <x v="22"/>
    <s v="Adult Single Bus Trip 1"/>
    <x v="0"/>
    <n v="138667"/>
  </r>
  <r>
    <x v="22"/>
    <s v="Adult Single Bus Trip 2"/>
    <x v="0"/>
    <n v="73371"/>
  </r>
  <r>
    <x v="22"/>
    <s v="Adult Single Bus Trip 3"/>
    <x v="0"/>
    <n v="24464"/>
  </r>
  <r>
    <x v="22"/>
    <s v="Child/Youth"/>
    <x v="0"/>
    <n v="1184699"/>
  </r>
  <r>
    <x v="22"/>
    <s v="Child/Youth Single Bus Trip 1"/>
    <x v="0"/>
    <n v="29882"/>
  </r>
  <r>
    <x v="22"/>
    <s v="Child/Youth Single Bus Trip 2"/>
    <x v="0"/>
    <n v="19692"/>
  </r>
  <r>
    <x v="22"/>
    <s v="Child/Youth Single Bus Trip 3"/>
    <x v="0"/>
    <n v="5125"/>
  </r>
  <r>
    <x v="22"/>
    <s v="Concession"/>
    <x v="0"/>
    <n v="2210352"/>
  </r>
  <r>
    <x v="22"/>
    <s v="Day Pass Child/Youth w/o SAF"/>
    <x v="0"/>
    <n v="29"/>
  </r>
  <r>
    <x v="22"/>
    <s v="Day Pass without SAF"/>
    <x v="0"/>
    <n v="206"/>
  </r>
  <r>
    <x v="22"/>
    <s v="Employee"/>
    <x v="0"/>
    <n v="79814"/>
  </r>
  <r>
    <x v="22"/>
    <s v="Free Travel"/>
    <x v="0"/>
    <n v="41549"/>
  </r>
  <r>
    <x v="22"/>
    <s v="On Demand"/>
    <x v="0"/>
    <n v="1782"/>
  </r>
  <r>
    <x v="22"/>
    <s v="Other"/>
    <x v="0"/>
    <n v="66092"/>
  </r>
  <r>
    <x v="22"/>
    <s v="School Student"/>
    <x v="0"/>
    <n v="3252145"/>
  </r>
  <r>
    <x v="22"/>
    <s v="Senior/Pensioner"/>
    <x v="0"/>
    <n v="4400482"/>
  </r>
  <r>
    <x v="22"/>
    <s v="Adult"/>
    <x v="1"/>
    <n v="828410"/>
  </r>
  <r>
    <x v="22"/>
    <s v="CTP"/>
    <x v="1"/>
    <n v="18440"/>
  </r>
  <r>
    <x v="22"/>
    <s v="Child/Youth"/>
    <x v="1"/>
    <n v="66680"/>
  </r>
  <r>
    <x v="22"/>
    <s v="Concession"/>
    <x v="1"/>
    <n v="27719"/>
  </r>
  <r>
    <x v="22"/>
    <s v="Employee"/>
    <x v="1"/>
    <n v="5203"/>
  </r>
  <r>
    <x v="22"/>
    <s v="Free Travel"/>
    <x v="1"/>
    <n v="2178"/>
  </r>
  <r>
    <x v="22"/>
    <s v="School Student"/>
    <x v="1"/>
    <n v="3347"/>
  </r>
  <r>
    <x v="22"/>
    <s v="Senior/Pensioner"/>
    <x v="1"/>
    <n v="201001"/>
  </r>
  <r>
    <x v="22"/>
    <s v="Sgl Trip Ferry Adult"/>
    <x v="1"/>
    <n v="40546"/>
  </r>
  <r>
    <x v="22"/>
    <s v="Sgl Trip Ferry Child/Youth"/>
    <x v="1"/>
    <n v="6662"/>
  </r>
  <r>
    <x v="22"/>
    <s v="Adult"/>
    <x v="2"/>
    <n v="627483"/>
  </r>
  <r>
    <x v="22"/>
    <s v="CTP"/>
    <x v="2"/>
    <n v="7480"/>
  </r>
  <r>
    <x v="22"/>
    <s v="Child/Youth"/>
    <x v="2"/>
    <n v="34958"/>
  </r>
  <r>
    <x v="22"/>
    <s v="Concession"/>
    <x v="2"/>
    <n v="30938"/>
  </r>
  <r>
    <x v="22"/>
    <s v="Day Pass without SAF"/>
    <x v="2"/>
    <n v="1"/>
  </r>
  <r>
    <x v="22"/>
    <s v="Free Travel"/>
    <x v="2"/>
    <n v="910"/>
  </r>
  <r>
    <x v="22"/>
    <s v="School Student"/>
    <x v="2"/>
    <n v="8352"/>
  </r>
  <r>
    <x v="22"/>
    <s v="Senior/Pensioner"/>
    <x v="2"/>
    <n v="144297"/>
  </r>
  <r>
    <x v="22"/>
    <s v="Sgl Trip LR Adult"/>
    <x v="2"/>
    <n v="3668"/>
  </r>
  <r>
    <x v="22"/>
    <s v="Sgl Trip LR Child/Youth"/>
    <x v="2"/>
    <n v="640"/>
  </r>
  <r>
    <x v="22"/>
    <s v="Adult"/>
    <x v="3"/>
    <n v="27561815"/>
  </r>
  <r>
    <x v="22"/>
    <s v="Child/Youth"/>
    <x v="3"/>
    <n v="960677"/>
  </r>
  <r>
    <x v="22"/>
    <s v="Concession"/>
    <x v="3"/>
    <n v="2700245"/>
  </r>
  <r>
    <x v="22"/>
    <s v="Day Pass Child/Youth w/o SAF"/>
    <x v="3"/>
    <n v="16"/>
  </r>
  <r>
    <x v="22"/>
    <s v="Day Pass without SAF"/>
    <x v="3"/>
    <n v="190"/>
  </r>
  <r>
    <x v="22"/>
    <s v="Employee"/>
    <x v="3"/>
    <n v="320124"/>
  </r>
  <r>
    <x v="22"/>
    <s v="Free Travel"/>
    <x v="3"/>
    <n v="32251"/>
  </r>
  <r>
    <x v="22"/>
    <s v="School Student"/>
    <x v="3"/>
    <n v="1304566"/>
  </r>
  <r>
    <x v="22"/>
    <s v="Senior/Pensioner"/>
    <x v="3"/>
    <n v="3076313"/>
  </r>
  <r>
    <x v="22"/>
    <s v="Sgl Trip Rail Adult"/>
    <x v="3"/>
    <n v="311005"/>
  </r>
  <r>
    <x v="22"/>
    <s v="Sgl Trip Rail Child/Youth"/>
    <x v="3"/>
    <n v="55363"/>
  </r>
  <r>
    <x v="23"/>
    <s v="Adult"/>
    <x v="0"/>
    <n v="14071974"/>
  </r>
  <r>
    <x v="23"/>
    <s v="Adult Single Bus Trip 1"/>
    <x v="0"/>
    <n v="119147"/>
  </r>
  <r>
    <x v="23"/>
    <s v="Adult Single Bus Trip 2"/>
    <x v="0"/>
    <n v="62524"/>
  </r>
  <r>
    <x v="23"/>
    <s v="Adult Single Bus Trip 3"/>
    <x v="0"/>
    <n v="20712"/>
  </r>
  <r>
    <x v="23"/>
    <s v="Child/Youth"/>
    <x v="0"/>
    <n v="1113371"/>
  </r>
  <r>
    <x v="23"/>
    <s v="Child/Youth Single Bus Trip 1"/>
    <x v="0"/>
    <n v="26701"/>
  </r>
  <r>
    <x v="23"/>
    <s v="Child/Youth Single Bus Trip 2"/>
    <x v="0"/>
    <n v="18362"/>
  </r>
  <r>
    <x v="23"/>
    <s v="Child/Youth Single Bus Trip 3"/>
    <x v="0"/>
    <n v="5138"/>
  </r>
  <r>
    <x v="23"/>
    <s v="Concession"/>
    <x v="0"/>
    <n v="1499845"/>
  </r>
  <r>
    <x v="23"/>
    <s v="Day Pass Child/Youth w/o SAF"/>
    <x v="0"/>
    <n v="4"/>
  </r>
  <r>
    <x v="23"/>
    <s v="Day Pass without SAF"/>
    <x v="0"/>
    <n v="216"/>
  </r>
  <r>
    <x v="23"/>
    <s v="Employee"/>
    <x v="0"/>
    <n v="71909"/>
  </r>
  <r>
    <x v="23"/>
    <s v="Free Travel"/>
    <x v="0"/>
    <n v="37474"/>
  </r>
  <r>
    <x v="23"/>
    <s v="On Demand"/>
    <x v="0"/>
    <n v="1896"/>
  </r>
  <r>
    <x v="23"/>
    <s v="Other"/>
    <x v="0"/>
    <n v="56620"/>
  </r>
  <r>
    <x v="23"/>
    <s v="School Student"/>
    <x v="0"/>
    <n v="2654907"/>
  </r>
  <r>
    <x v="23"/>
    <s v="Senior/Pensioner"/>
    <x v="0"/>
    <n v="3898801"/>
  </r>
  <r>
    <x v="23"/>
    <s v="Adult"/>
    <x v="1"/>
    <n v="769271"/>
  </r>
  <r>
    <x v="23"/>
    <s v="CTP"/>
    <x v="1"/>
    <n v="20957"/>
  </r>
  <r>
    <x v="23"/>
    <s v="Child/Youth"/>
    <x v="1"/>
    <n v="91982"/>
  </r>
  <r>
    <x v="23"/>
    <s v="Concession"/>
    <x v="1"/>
    <n v="24723"/>
  </r>
  <r>
    <x v="23"/>
    <s v="Employee"/>
    <x v="1"/>
    <n v="4474"/>
  </r>
  <r>
    <x v="23"/>
    <s v="Free Travel"/>
    <x v="1"/>
    <n v="1969"/>
  </r>
  <r>
    <x v="23"/>
    <s v="School Student"/>
    <x v="1"/>
    <n v="4600"/>
  </r>
  <r>
    <x v="23"/>
    <s v="Senior/Pensioner"/>
    <x v="1"/>
    <n v="171076"/>
  </r>
  <r>
    <x v="23"/>
    <s v="Sgl Trip Ferry Adult"/>
    <x v="1"/>
    <n v="39564"/>
  </r>
  <r>
    <x v="23"/>
    <s v="Sgl Trip Ferry Child/Youth"/>
    <x v="1"/>
    <n v="11086"/>
  </r>
  <r>
    <x v="23"/>
    <s v="Adult"/>
    <x v="2"/>
    <n v="617941"/>
  </r>
  <r>
    <x v="23"/>
    <s v="CTP"/>
    <x v="2"/>
    <n v="7660"/>
  </r>
  <r>
    <x v="23"/>
    <s v="Child/Youth"/>
    <x v="2"/>
    <n v="39212"/>
  </r>
  <r>
    <x v="23"/>
    <s v="Concession"/>
    <x v="2"/>
    <n v="32095"/>
  </r>
  <r>
    <x v="23"/>
    <s v="Day Pass without SAF"/>
    <x v="2"/>
    <n v="1"/>
  </r>
  <r>
    <x v="23"/>
    <s v="Employee"/>
    <x v="2"/>
    <n v="1"/>
  </r>
  <r>
    <x v="23"/>
    <s v="Free Travel"/>
    <x v="2"/>
    <n v="761"/>
  </r>
  <r>
    <x v="23"/>
    <s v="School Student"/>
    <x v="2"/>
    <n v="6613"/>
  </r>
  <r>
    <x v="23"/>
    <s v="Senior/Pensioner"/>
    <x v="2"/>
    <n v="139229"/>
  </r>
  <r>
    <x v="23"/>
    <s v="Sgl Trip LR Adult"/>
    <x v="2"/>
    <n v="3644"/>
  </r>
  <r>
    <x v="23"/>
    <s v="Sgl Trip LR Child/Youth"/>
    <x v="2"/>
    <n v="792"/>
  </r>
  <r>
    <x v="23"/>
    <s v="Adult"/>
    <x v="3"/>
    <n v="24997620"/>
  </r>
  <r>
    <x v="23"/>
    <s v="Child/Youth"/>
    <x v="3"/>
    <n v="1084919"/>
  </r>
  <r>
    <x v="23"/>
    <s v="Concession"/>
    <x v="3"/>
    <n v="1925573"/>
  </r>
  <r>
    <x v="23"/>
    <s v="Day Pass Child/Youth w/o SAF"/>
    <x v="3"/>
    <n v="3"/>
  </r>
  <r>
    <x v="23"/>
    <s v="Day Pass without SAF"/>
    <x v="3"/>
    <n v="218"/>
  </r>
  <r>
    <x v="23"/>
    <s v="Employee"/>
    <x v="3"/>
    <n v="291309"/>
  </r>
  <r>
    <x v="23"/>
    <s v="Free Travel"/>
    <x v="3"/>
    <n v="29136"/>
  </r>
  <r>
    <x v="23"/>
    <s v="School Student"/>
    <x v="3"/>
    <n v="1094868"/>
  </r>
  <r>
    <x v="23"/>
    <s v="Senior/Pensioner"/>
    <x v="3"/>
    <n v="2811670"/>
  </r>
  <r>
    <x v="23"/>
    <s v="Sgl Trip Rail Adult"/>
    <x v="3"/>
    <n v="304921"/>
  </r>
  <r>
    <x v="23"/>
    <s v="Sgl Trip Rail Child/Youth"/>
    <x v="3"/>
    <n v="64108"/>
  </r>
  <r>
    <x v="24"/>
    <s v="Adult"/>
    <x v="0"/>
    <n v="14663512"/>
  </r>
  <r>
    <x v="24"/>
    <s v="Adult Single Bus Trip 1"/>
    <x v="0"/>
    <n v="125994"/>
  </r>
  <r>
    <x v="24"/>
    <s v="Adult Single Bus Trip 2"/>
    <x v="0"/>
    <n v="71134"/>
  </r>
  <r>
    <x v="24"/>
    <s v="Adult Single Bus Trip 3"/>
    <x v="0"/>
    <n v="21913"/>
  </r>
  <r>
    <x v="24"/>
    <s v="Child/Youth"/>
    <x v="0"/>
    <n v="1478229"/>
  </r>
  <r>
    <x v="24"/>
    <s v="Child/Youth Single Bus Trip 1"/>
    <x v="0"/>
    <n v="41280"/>
  </r>
  <r>
    <x v="24"/>
    <s v="Child/Youth Single Bus Trip 2"/>
    <x v="0"/>
    <n v="31772"/>
  </r>
  <r>
    <x v="24"/>
    <s v="Child/Youth Single Bus Trip 3"/>
    <x v="0"/>
    <n v="8494"/>
  </r>
  <r>
    <x v="24"/>
    <s v="Concession"/>
    <x v="0"/>
    <n v="1385605"/>
  </r>
  <r>
    <x v="24"/>
    <s v="Day Pass Child/Youth w/o SAF"/>
    <x v="0"/>
    <n v="10"/>
  </r>
  <r>
    <x v="24"/>
    <s v="Day Pass without SAF"/>
    <x v="0"/>
    <n v="263"/>
  </r>
  <r>
    <x v="24"/>
    <s v="Employee"/>
    <x v="0"/>
    <n v="75107"/>
  </r>
  <r>
    <x v="24"/>
    <s v="Free Travel"/>
    <x v="0"/>
    <n v="40049"/>
  </r>
  <r>
    <x v="24"/>
    <s v="On Demand"/>
    <x v="0"/>
    <n v="4117"/>
  </r>
  <r>
    <x v="24"/>
    <s v="Other"/>
    <x v="0"/>
    <n v="37643"/>
  </r>
  <r>
    <x v="24"/>
    <s v="School Student"/>
    <x v="0"/>
    <n v="1360830"/>
  </r>
  <r>
    <x v="24"/>
    <s v="Senior/Pensioner"/>
    <x v="0"/>
    <n v="4136888"/>
  </r>
  <r>
    <x v="24"/>
    <s v="Adult"/>
    <x v="1"/>
    <n v="842678"/>
  </r>
  <r>
    <x v="24"/>
    <s v="CTP"/>
    <x v="1"/>
    <n v="15079"/>
  </r>
  <r>
    <x v="24"/>
    <s v="Child/Youth"/>
    <x v="1"/>
    <n v="153090"/>
  </r>
  <r>
    <x v="24"/>
    <s v="Concession"/>
    <x v="1"/>
    <n v="25100"/>
  </r>
  <r>
    <x v="24"/>
    <s v="Day Pass without SAF"/>
    <x v="1"/>
    <n v="5"/>
  </r>
  <r>
    <x v="24"/>
    <s v="Employee"/>
    <x v="1"/>
    <n v="4458"/>
  </r>
  <r>
    <x v="24"/>
    <s v="Free Travel"/>
    <x v="1"/>
    <n v="2174"/>
  </r>
  <r>
    <x v="24"/>
    <s v="School Student"/>
    <x v="1"/>
    <n v="2101"/>
  </r>
  <r>
    <x v="24"/>
    <s v="Senior/Pensioner"/>
    <x v="1"/>
    <n v="187491"/>
  </r>
  <r>
    <x v="24"/>
    <s v="Sgl Trip Ferry Adult"/>
    <x v="1"/>
    <n v="44585"/>
  </r>
  <r>
    <x v="24"/>
    <s v="Sgl Trip Ferry Child/Youth"/>
    <x v="1"/>
    <n v="17510"/>
  </r>
  <r>
    <x v="24"/>
    <s v="Adult"/>
    <x v="2"/>
    <n v="623308"/>
  </r>
  <r>
    <x v="24"/>
    <s v="CTP"/>
    <x v="2"/>
    <n v="9016"/>
  </r>
  <r>
    <x v="24"/>
    <s v="Child/Youth"/>
    <x v="2"/>
    <n v="53864"/>
  </r>
  <r>
    <x v="24"/>
    <s v="Concession"/>
    <x v="2"/>
    <n v="29101"/>
  </r>
  <r>
    <x v="24"/>
    <s v="Employee"/>
    <x v="2"/>
    <n v="21"/>
  </r>
  <r>
    <x v="24"/>
    <s v="Free Travel"/>
    <x v="2"/>
    <n v="779"/>
  </r>
  <r>
    <x v="24"/>
    <s v="School Student"/>
    <x v="2"/>
    <n v="3089"/>
  </r>
  <r>
    <x v="24"/>
    <s v="Senior/Pensioner"/>
    <x v="2"/>
    <n v="137015"/>
  </r>
  <r>
    <x v="24"/>
    <s v="Sgl Trip LR Adult"/>
    <x v="2"/>
    <n v="3170"/>
  </r>
  <r>
    <x v="24"/>
    <s v="Sgl Trip LR Child/Youth"/>
    <x v="2"/>
    <n v="1101"/>
  </r>
  <r>
    <x v="24"/>
    <s v="Adult"/>
    <x v="3"/>
    <n v="25719570"/>
  </r>
  <r>
    <x v="24"/>
    <s v="Child/Youth"/>
    <x v="3"/>
    <n v="1441083"/>
  </r>
  <r>
    <x v="24"/>
    <s v="Concession"/>
    <x v="3"/>
    <n v="1764348"/>
  </r>
  <r>
    <x v="24"/>
    <s v="Day Pass Child/Youth w/o SAF"/>
    <x v="3"/>
    <n v="11"/>
  </r>
  <r>
    <x v="24"/>
    <s v="Day Pass without SAF"/>
    <x v="3"/>
    <n v="295"/>
  </r>
  <r>
    <x v="24"/>
    <s v="Employee"/>
    <x v="3"/>
    <n v="294039"/>
  </r>
  <r>
    <x v="24"/>
    <s v="Free Travel"/>
    <x v="3"/>
    <n v="31329"/>
  </r>
  <r>
    <x v="24"/>
    <s v="School Student"/>
    <x v="3"/>
    <n v="545831"/>
  </r>
  <r>
    <x v="24"/>
    <s v="Senior/Pensioner"/>
    <x v="3"/>
    <n v="2906558"/>
  </r>
  <r>
    <x v="24"/>
    <s v="Sgl Trip Rail Adult"/>
    <x v="3"/>
    <n v="273148"/>
  </r>
  <r>
    <x v="24"/>
    <s v="Sgl Trip Rail Child/Youth"/>
    <x v="3"/>
    <n v="77382"/>
  </r>
  <r>
    <x v="25"/>
    <s v="Adult"/>
    <x v="0"/>
    <n v="15671796"/>
  </r>
  <r>
    <x v="25"/>
    <s v="Adult Single Bus Trip 1"/>
    <x v="0"/>
    <n v="117518"/>
  </r>
  <r>
    <x v="25"/>
    <s v="Adult Single Bus Trip 2"/>
    <x v="0"/>
    <n v="66263"/>
  </r>
  <r>
    <x v="25"/>
    <s v="Adult Single Bus Trip 3"/>
    <x v="0"/>
    <n v="20627"/>
  </r>
  <r>
    <x v="25"/>
    <s v="Child/Youth"/>
    <x v="0"/>
    <n v="1210309"/>
  </r>
  <r>
    <x v="25"/>
    <s v="Child/Youth Single Bus Trip 1"/>
    <x v="0"/>
    <n v="28189"/>
  </r>
  <r>
    <x v="25"/>
    <s v="Child/Youth Single Bus Trip 2"/>
    <x v="0"/>
    <n v="18873"/>
  </r>
  <r>
    <x v="25"/>
    <s v="Child/Youth Single Bus Trip 3"/>
    <x v="0"/>
    <n v="4924"/>
  </r>
  <r>
    <x v="25"/>
    <s v="Concession"/>
    <x v="0"/>
    <n v="2255143"/>
  </r>
  <r>
    <x v="25"/>
    <s v="Day Pass Child/Youth w/o SAF"/>
    <x v="0"/>
    <n v="15"/>
  </r>
  <r>
    <x v="25"/>
    <s v="Day Pass without SAF"/>
    <x v="0"/>
    <n v="294"/>
  </r>
  <r>
    <x v="25"/>
    <s v="Employee"/>
    <x v="0"/>
    <n v="84601"/>
  </r>
  <r>
    <x v="25"/>
    <s v="Free Travel"/>
    <x v="0"/>
    <n v="42673"/>
  </r>
  <r>
    <x v="25"/>
    <s v="On Demand"/>
    <x v="0"/>
    <n v="4888"/>
  </r>
  <r>
    <x v="25"/>
    <s v="Other"/>
    <x v="0"/>
    <n v="68810"/>
  </r>
  <r>
    <x v="25"/>
    <s v="School Student"/>
    <x v="0"/>
    <n v="3043783"/>
  </r>
  <r>
    <x v="25"/>
    <s v="Senior/Pensioner"/>
    <x v="0"/>
    <n v="4327181"/>
  </r>
  <r>
    <x v="25"/>
    <s v="Adult"/>
    <x v="1"/>
    <n v="756150"/>
  </r>
  <r>
    <x v="25"/>
    <s v="CTP"/>
    <x v="1"/>
    <n v="14406"/>
  </r>
  <r>
    <x v="25"/>
    <s v="Child/Youth"/>
    <x v="1"/>
    <n v="77616"/>
  </r>
  <r>
    <x v="25"/>
    <s v="Concession"/>
    <x v="1"/>
    <n v="24487"/>
  </r>
  <r>
    <x v="25"/>
    <s v="Day Pass without SAF"/>
    <x v="1"/>
    <n v="4"/>
  </r>
  <r>
    <x v="25"/>
    <s v="Employee"/>
    <x v="1"/>
    <n v="3771"/>
  </r>
  <r>
    <x v="25"/>
    <s v="Free Travel"/>
    <x v="1"/>
    <n v="1908"/>
  </r>
  <r>
    <x v="25"/>
    <s v="School Student"/>
    <x v="1"/>
    <n v="5605"/>
  </r>
  <r>
    <x v="25"/>
    <s v="Senior/Pensioner"/>
    <x v="1"/>
    <n v="168088"/>
  </r>
  <r>
    <x v="25"/>
    <s v="Sgl Trip Ferry Adult"/>
    <x v="1"/>
    <n v="41119"/>
  </r>
  <r>
    <x v="25"/>
    <s v="Sgl Trip Ferry Child/Youth"/>
    <x v="1"/>
    <n v="10037"/>
  </r>
  <r>
    <x v="25"/>
    <s v="Adult"/>
    <x v="2"/>
    <n v="635271"/>
  </r>
  <r>
    <x v="25"/>
    <s v="CTP"/>
    <x v="2"/>
    <n v="9575"/>
  </r>
  <r>
    <x v="25"/>
    <s v="Child/Youth"/>
    <x v="2"/>
    <n v="38176"/>
  </r>
  <r>
    <x v="25"/>
    <s v="Concession"/>
    <x v="2"/>
    <n v="33463"/>
  </r>
  <r>
    <x v="25"/>
    <s v="Employee"/>
    <x v="2"/>
    <n v="916"/>
  </r>
  <r>
    <x v="25"/>
    <s v="Free Travel"/>
    <x v="2"/>
    <n v="912"/>
  </r>
  <r>
    <x v="25"/>
    <s v="School Student"/>
    <x v="2"/>
    <n v="8120"/>
  </r>
  <r>
    <x v="25"/>
    <s v="Senior/Pensioner"/>
    <x v="2"/>
    <n v="137236"/>
  </r>
  <r>
    <x v="25"/>
    <s v="Sgl Trip LR Adult"/>
    <x v="2"/>
    <n v="3475"/>
  </r>
  <r>
    <x v="25"/>
    <s v="Sgl Trip LR Child/Youth"/>
    <x v="2"/>
    <n v="645"/>
  </r>
  <r>
    <x v="25"/>
    <s v="Adult"/>
    <x v="3"/>
    <n v="27068989"/>
  </r>
  <r>
    <x v="25"/>
    <s v="Child/Youth"/>
    <x v="3"/>
    <n v="982120"/>
  </r>
  <r>
    <x v="25"/>
    <s v="Concession"/>
    <x v="3"/>
    <n v="2740748"/>
  </r>
  <r>
    <x v="25"/>
    <s v="Day Pass Child/Youth w/o SAF"/>
    <x v="3"/>
    <n v="14"/>
  </r>
  <r>
    <x v="25"/>
    <s v="Day Pass without SAF"/>
    <x v="3"/>
    <n v="312"/>
  </r>
  <r>
    <x v="25"/>
    <s v="Employee"/>
    <x v="3"/>
    <n v="302280"/>
  </r>
  <r>
    <x v="25"/>
    <s v="Free Travel"/>
    <x v="3"/>
    <n v="32190"/>
  </r>
  <r>
    <x v="25"/>
    <s v="School Student"/>
    <x v="3"/>
    <n v="1254541"/>
  </r>
  <r>
    <x v="25"/>
    <s v="Senior/Pensioner"/>
    <x v="3"/>
    <n v="2992574"/>
  </r>
  <r>
    <x v="25"/>
    <s v="Sgl Trip Rail Adult"/>
    <x v="3"/>
    <n v="286608"/>
  </r>
  <r>
    <x v="25"/>
    <s v="Sgl Trip Rail Child/Youth"/>
    <x v="3"/>
    <n v="53424"/>
  </r>
  <r>
    <x v="26"/>
    <s v="Adult"/>
    <x v="0"/>
    <n v="14506860"/>
  </r>
  <r>
    <x v="26"/>
    <s v="Adult Single Bus Trip 1"/>
    <x v="0"/>
    <n v="108216"/>
  </r>
  <r>
    <x v="26"/>
    <s v="Adult Single Bus Trip 2"/>
    <x v="0"/>
    <n v="60426"/>
  </r>
  <r>
    <x v="26"/>
    <s v="Adult Single Bus Trip 3"/>
    <x v="0"/>
    <n v="19918"/>
  </r>
  <r>
    <x v="26"/>
    <s v="Child/Youth"/>
    <x v="0"/>
    <n v="1174339"/>
  </r>
  <r>
    <x v="26"/>
    <s v="Child/Youth Single Bus Trip 1"/>
    <x v="0"/>
    <n v="27904"/>
  </r>
  <r>
    <x v="26"/>
    <s v="Child/Youth Single Bus Trip 2"/>
    <x v="0"/>
    <n v="19441"/>
  </r>
  <r>
    <x v="26"/>
    <s v="Child/Youth Single Bus Trip 3"/>
    <x v="0"/>
    <n v="5161"/>
  </r>
  <r>
    <x v="26"/>
    <s v="Concession"/>
    <x v="0"/>
    <n v="1761178"/>
  </r>
  <r>
    <x v="26"/>
    <s v="Day Pass Child/Youth w/o SAF"/>
    <x v="0"/>
    <n v="7"/>
  </r>
  <r>
    <x v="26"/>
    <s v="Day Pass without SAF"/>
    <x v="0"/>
    <n v="259"/>
  </r>
  <r>
    <x v="26"/>
    <s v="Employee"/>
    <x v="0"/>
    <n v="81888"/>
  </r>
  <r>
    <x v="26"/>
    <s v="Free Travel"/>
    <x v="0"/>
    <n v="38771"/>
  </r>
  <r>
    <x v="26"/>
    <s v="On Demand"/>
    <x v="0"/>
    <n v="4679"/>
  </r>
  <r>
    <x v="26"/>
    <s v="Other"/>
    <x v="0"/>
    <n v="66227"/>
  </r>
  <r>
    <x v="26"/>
    <s v="School Student"/>
    <x v="0"/>
    <n v="2566165"/>
  </r>
  <r>
    <x v="26"/>
    <s v="Senior/Pensioner"/>
    <x v="0"/>
    <n v="4000218"/>
  </r>
  <r>
    <x v="26"/>
    <s v="Adult"/>
    <x v="1"/>
    <n v="781681"/>
  </r>
  <r>
    <x v="26"/>
    <s v="CTP"/>
    <x v="1"/>
    <n v="13924"/>
  </r>
  <r>
    <x v="26"/>
    <s v="Child/Youth"/>
    <x v="1"/>
    <n v="83827"/>
  </r>
  <r>
    <x v="26"/>
    <s v="Concession"/>
    <x v="1"/>
    <n v="22900"/>
  </r>
  <r>
    <x v="26"/>
    <s v="Day Pass without SAF"/>
    <x v="1"/>
    <n v="1"/>
  </r>
  <r>
    <x v="26"/>
    <s v="Employee"/>
    <x v="1"/>
    <n v="4119"/>
  </r>
  <r>
    <x v="26"/>
    <s v="Free Travel"/>
    <x v="1"/>
    <n v="2004"/>
  </r>
  <r>
    <x v="26"/>
    <s v="School Student"/>
    <x v="1"/>
    <n v="4833"/>
  </r>
  <r>
    <x v="26"/>
    <s v="Senior/Pensioner"/>
    <x v="1"/>
    <n v="170563"/>
  </r>
  <r>
    <x v="26"/>
    <s v="Sgl Trip Ferry Adult"/>
    <x v="1"/>
    <n v="41289"/>
  </r>
  <r>
    <x v="26"/>
    <s v="Sgl Trip Ferry Child/Youth"/>
    <x v="1"/>
    <n v="8921"/>
  </r>
  <r>
    <x v="26"/>
    <s v="Adult"/>
    <x v="2"/>
    <n v="618552"/>
  </r>
  <r>
    <x v="26"/>
    <s v="CTP"/>
    <x v="2"/>
    <n v="9945"/>
  </r>
  <r>
    <x v="26"/>
    <s v="Child/Youth"/>
    <x v="2"/>
    <n v="37820"/>
  </r>
  <r>
    <x v="26"/>
    <s v="Concession"/>
    <x v="2"/>
    <n v="30445"/>
  </r>
  <r>
    <x v="26"/>
    <s v="Day Pass without SAF"/>
    <x v="2"/>
    <n v="1"/>
  </r>
  <r>
    <x v="26"/>
    <s v="Employee"/>
    <x v="2"/>
    <n v="1189"/>
  </r>
  <r>
    <x v="26"/>
    <s v="Free Travel"/>
    <x v="2"/>
    <n v="761"/>
  </r>
  <r>
    <x v="26"/>
    <s v="School Student"/>
    <x v="2"/>
    <n v="7017"/>
  </r>
  <r>
    <x v="26"/>
    <s v="Senior/Pensioner"/>
    <x v="2"/>
    <n v="137410"/>
  </r>
  <r>
    <x v="26"/>
    <s v="Sgl Trip LR Adult"/>
    <x v="2"/>
    <n v="3362"/>
  </r>
  <r>
    <x v="26"/>
    <s v="Sgl Trip LR Child/Youth"/>
    <x v="2"/>
    <n v="594"/>
  </r>
  <r>
    <x v="26"/>
    <s v="Adult"/>
    <x v="3"/>
    <n v="25212167"/>
  </r>
  <r>
    <x v="26"/>
    <s v="Child/Youth"/>
    <x v="3"/>
    <n v="1041145"/>
  </r>
  <r>
    <x v="26"/>
    <s v="Concession"/>
    <x v="3"/>
    <n v="2168858"/>
  </r>
  <r>
    <x v="26"/>
    <s v="Day Pass Child/Youth w/o SAF"/>
    <x v="3"/>
    <n v="9"/>
  </r>
  <r>
    <x v="26"/>
    <s v="Day Pass without SAF"/>
    <x v="3"/>
    <n v="319"/>
  </r>
  <r>
    <x v="26"/>
    <s v="Employee"/>
    <x v="3"/>
    <n v="283396"/>
  </r>
  <r>
    <x v="26"/>
    <s v="Free Travel"/>
    <x v="3"/>
    <n v="30433"/>
  </r>
  <r>
    <x v="26"/>
    <s v="School Student"/>
    <x v="3"/>
    <n v="1093627"/>
  </r>
  <r>
    <x v="26"/>
    <s v="Senior/Pensioner"/>
    <x v="3"/>
    <n v="2853772"/>
  </r>
  <r>
    <x v="26"/>
    <s v="Sgl Trip Rail Adult"/>
    <x v="3"/>
    <n v="284117"/>
  </r>
  <r>
    <x v="26"/>
    <s v="Sgl Trip Rail Child/Youth"/>
    <x v="3"/>
    <n v="53639"/>
  </r>
  <r>
    <x v="27"/>
    <s v="Adult"/>
    <x v="0"/>
    <n v="15736379"/>
  </r>
  <r>
    <x v="27"/>
    <s v="Adult Single Bus Trip 1"/>
    <x v="0"/>
    <n v="115049"/>
  </r>
  <r>
    <x v="27"/>
    <s v="Adult Single Bus Trip 2"/>
    <x v="0"/>
    <n v="63772"/>
  </r>
  <r>
    <x v="27"/>
    <s v="Adult Single Bus Trip 3"/>
    <x v="0"/>
    <n v="21456"/>
  </r>
  <r>
    <x v="27"/>
    <s v="Child/Youth"/>
    <x v="0"/>
    <n v="1418158"/>
  </r>
  <r>
    <x v="27"/>
    <s v="Child/Youth Single Bus Trip 1"/>
    <x v="0"/>
    <n v="34527"/>
  </r>
  <r>
    <x v="27"/>
    <s v="Child/Youth Single Bus Trip 2"/>
    <x v="0"/>
    <n v="25996"/>
  </r>
  <r>
    <x v="27"/>
    <s v="Child/Youth Single Bus Trip 3"/>
    <x v="0"/>
    <n v="7029"/>
  </r>
  <r>
    <x v="27"/>
    <s v="Concession"/>
    <x v="0"/>
    <n v="1824756"/>
  </r>
  <r>
    <x v="27"/>
    <s v="Day Pass Child/Youth w/o SAF"/>
    <x v="0"/>
    <n v="8"/>
  </r>
  <r>
    <x v="27"/>
    <s v="Day Pass without SAF"/>
    <x v="0"/>
    <n v="369"/>
  </r>
  <r>
    <x v="27"/>
    <s v="Employee"/>
    <x v="0"/>
    <n v="88362"/>
  </r>
  <r>
    <x v="27"/>
    <s v="Free Travel"/>
    <x v="0"/>
    <n v="41366"/>
  </r>
  <r>
    <x v="27"/>
    <s v="On Demand"/>
    <x v="0"/>
    <n v="5295"/>
  </r>
  <r>
    <x v="27"/>
    <s v="Other"/>
    <x v="0"/>
    <n v="81377"/>
  </r>
  <r>
    <x v="27"/>
    <s v="School Student"/>
    <x v="0"/>
    <n v="1721983"/>
  </r>
  <r>
    <x v="27"/>
    <s v="Senior/Pensioner"/>
    <x v="0"/>
    <n v="4228361"/>
  </r>
  <r>
    <x v="27"/>
    <s v="Adult"/>
    <x v="1"/>
    <n v="761780"/>
  </r>
  <r>
    <x v="27"/>
    <s v="CTP"/>
    <x v="1"/>
    <n v="16320"/>
  </r>
  <r>
    <x v="27"/>
    <s v="Child/Youth"/>
    <x v="1"/>
    <n v="91168"/>
  </r>
  <r>
    <x v="27"/>
    <s v="Concession"/>
    <x v="1"/>
    <n v="20365"/>
  </r>
  <r>
    <x v="27"/>
    <s v="Day Pass without SAF"/>
    <x v="1"/>
    <n v="3"/>
  </r>
  <r>
    <x v="27"/>
    <s v="Employee"/>
    <x v="1"/>
    <n v="3997"/>
  </r>
  <r>
    <x v="27"/>
    <s v="Free Travel"/>
    <x v="1"/>
    <n v="1976"/>
  </r>
  <r>
    <x v="27"/>
    <s v="School Student"/>
    <x v="1"/>
    <n v="2911"/>
  </r>
  <r>
    <x v="27"/>
    <s v="Senior/Pensioner"/>
    <x v="1"/>
    <n v="171082"/>
  </r>
  <r>
    <x v="27"/>
    <s v="Sgl Trip Ferry Adult"/>
    <x v="1"/>
    <n v="45136"/>
  </r>
  <r>
    <x v="27"/>
    <s v="Sgl Trip Ferry Child/Youth"/>
    <x v="1"/>
    <n v="9845"/>
  </r>
  <r>
    <x v="27"/>
    <s v="Adult"/>
    <x v="2"/>
    <n v="609091"/>
  </r>
  <r>
    <x v="27"/>
    <s v="CTP"/>
    <x v="2"/>
    <n v="10940"/>
  </r>
  <r>
    <x v="27"/>
    <s v="Child/Youth"/>
    <x v="2"/>
    <n v="39129"/>
  </r>
  <r>
    <x v="27"/>
    <s v="Concession"/>
    <x v="2"/>
    <n v="27585"/>
  </r>
  <r>
    <x v="27"/>
    <s v="Day Pass without SAF"/>
    <x v="2"/>
    <n v="2"/>
  </r>
  <r>
    <x v="27"/>
    <s v="Employee"/>
    <x v="2"/>
    <n v="1275"/>
  </r>
  <r>
    <x v="27"/>
    <s v="Free Travel"/>
    <x v="2"/>
    <n v="788"/>
  </r>
  <r>
    <x v="27"/>
    <s v="School Student"/>
    <x v="2"/>
    <n v="4384"/>
  </r>
  <r>
    <x v="27"/>
    <s v="Senior/Pensioner"/>
    <x v="2"/>
    <n v="130612"/>
  </r>
  <r>
    <x v="27"/>
    <s v="Sgl Trip LR Adult"/>
    <x v="2"/>
    <n v="2881"/>
  </r>
  <r>
    <x v="27"/>
    <s v="Sgl Trip LR Child/Youth"/>
    <x v="2"/>
    <n v="624"/>
  </r>
  <r>
    <x v="27"/>
    <s v="Adult"/>
    <x v="3"/>
    <n v="26675966"/>
  </r>
  <r>
    <x v="27"/>
    <s v="Child/Youth"/>
    <x v="3"/>
    <n v="1220318"/>
  </r>
  <r>
    <x v="27"/>
    <s v="Concession"/>
    <x v="3"/>
    <n v="2223132"/>
  </r>
  <r>
    <x v="27"/>
    <s v="Day Pass Child/Youth w/o SAF"/>
    <x v="3"/>
    <n v="10"/>
  </r>
  <r>
    <x v="27"/>
    <s v="Day Pass without SAF"/>
    <x v="3"/>
    <n v="374"/>
  </r>
  <r>
    <x v="27"/>
    <s v="Employee"/>
    <x v="3"/>
    <n v="311734"/>
  </r>
  <r>
    <x v="27"/>
    <s v="Free Travel"/>
    <x v="3"/>
    <n v="35210"/>
  </r>
  <r>
    <x v="27"/>
    <s v="School Student"/>
    <x v="3"/>
    <n v="692192"/>
  </r>
  <r>
    <x v="27"/>
    <s v="Senior/Pensioner"/>
    <x v="3"/>
    <n v="2975395"/>
  </r>
  <r>
    <x v="27"/>
    <s v="Sgl Trip Rail Adult"/>
    <x v="3"/>
    <n v="304980"/>
  </r>
  <r>
    <x v="27"/>
    <s v="Sgl Trip Rail Child/Youth"/>
    <x v="3"/>
    <n v="62339"/>
  </r>
  <r>
    <x v="28"/>
    <s v="Adult"/>
    <x v="0"/>
    <n v="16168800"/>
  </r>
  <r>
    <x v="28"/>
    <s v="Adult Single Bus Trip 1"/>
    <x v="0"/>
    <n v="118254"/>
  </r>
  <r>
    <x v="28"/>
    <s v="Adult Single Bus Trip 2"/>
    <x v="0"/>
    <n v="66378"/>
  </r>
  <r>
    <x v="28"/>
    <s v="Adult Single Bus Trip 3"/>
    <x v="0"/>
    <n v="21421"/>
  </r>
  <r>
    <x v="28"/>
    <s v="Child/Youth"/>
    <x v="0"/>
    <n v="1248624"/>
  </r>
  <r>
    <x v="28"/>
    <s v="Child/Youth Single Bus Trip 1"/>
    <x v="0"/>
    <n v="28168"/>
  </r>
  <r>
    <x v="28"/>
    <s v="Child/Youth Single Bus Trip 2"/>
    <x v="0"/>
    <n v="19078"/>
  </r>
  <r>
    <x v="28"/>
    <s v="Child/Youth Single Bus Trip 3"/>
    <x v="0"/>
    <n v="5046"/>
  </r>
  <r>
    <x v="28"/>
    <s v="Concession"/>
    <x v="0"/>
    <n v="1440331"/>
  </r>
  <r>
    <x v="28"/>
    <s v="Day Pass Child/Youth w/o SAF"/>
    <x v="0"/>
    <n v="25"/>
  </r>
  <r>
    <x v="28"/>
    <s v="Day Pass without SAF"/>
    <x v="0"/>
    <n v="489"/>
  </r>
  <r>
    <x v="28"/>
    <s v="Employee"/>
    <x v="0"/>
    <n v="91102"/>
  </r>
  <r>
    <x v="28"/>
    <s v="Free Travel"/>
    <x v="0"/>
    <n v="42416"/>
  </r>
  <r>
    <x v="28"/>
    <s v="On Demand"/>
    <x v="0"/>
    <n v="5377"/>
  </r>
  <r>
    <x v="28"/>
    <s v="Other"/>
    <x v="0"/>
    <n v="174528"/>
  </r>
  <r>
    <x v="28"/>
    <s v="School Student"/>
    <x v="0"/>
    <n v="2817780"/>
  </r>
  <r>
    <x v="28"/>
    <s v="Senior/Pensioner"/>
    <x v="0"/>
    <n v="4382870"/>
  </r>
  <r>
    <x v="28"/>
    <s v="Adult"/>
    <x v="1"/>
    <n v="890859"/>
  </r>
  <r>
    <x v="28"/>
    <s v="CTP"/>
    <x v="1"/>
    <n v="20715"/>
  </r>
  <r>
    <x v="28"/>
    <s v="Child/Youth"/>
    <x v="1"/>
    <n v="74587"/>
  </r>
  <r>
    <x v="28"/>
    <s v="Concession"/>
    <x v="1"/>
    <n v="23239"/>
  </r>
  <r>
    <x v="28"/>
    <s v="Day Pass without SAF"/>
    <x v="1"/>
    <n v="4"/>
  </r>
  <r>
    <x v="28"/>
    <s v="Employee"/>
    <x v="1"/>
    <n v="4554"/>
  </r>
  <r>
    <x v="28"/>
    <s v="Free Travel"/>
    <x v="1"/>
    <n v="2079"/>
  </r>
  <r>
    <x v="28"/>
    <s v="School Student"/>
    <x v="1"/>
    <n v="4822"/>
  </r>
  <r>
    <x v="28"/>
    <s v="Senior/Pensioner"/>
    <x v="1"/>
    <n v="185824"/>
  </r>
  <r>
    <x v="28"/>
    <s v="Sgl Trip Ferry Adult"/>
    <x v="1"/>
    <n v="51364"/>
  </r>
  <r>
    <x v="28"/>
    <s v="Sgl Trip Ferry Child/Youth"/>
    <x v="1"/>
    <n v="6894"/>
  </r>
  <r>
    <x v="28"/>
    <s v="Adult"/>
    <x v="2"/>
    <n v="625784"/>
  </r>
  <r>
    <x v="28"/>
    <s v="CTP"/>
    <x v="2"/>
    <n v="12894"/>
  </r>
  <r>
    <x v="28"/>
    <s v="Child/Youth"/>
    <x v="2"/>
    <n v="37283"/>
  </r>
  <r>
    <x v="28"/>
    <s v="Concession"/>
    <x v="2"/>
    <n v="29136"/>
  </r>
  <r>
    <x v="28"/>
    <s v="Day Pass without SAF"/>
    <x v="2"/>
    <n v="2"/>
  </r>
  <r>
    <x v="28"/>
    <s v="Employee"/>
    <x v="2"/>
    <n v="1300"/>
  </r>
  <r>
    <x v="28"/>
    <s v="Free Travel"/>
    <x v="2"/>
    <n v="888"/>
  </r>
  <r>
    <x v="28"/>
    <s v="School Student"/>
    <x v="2"/>
    <n v="7228"/>
  </r>
  <r>
    <x v="28"/>
    <s v="Senior/Pensioner"/>
    <x v="2"/>
    <n v="136671"/>
  </r>
  <r>
    <x v="28"/>
    <s v="Sgl Trip LR Adult"/>
    <x v="2"/>
    <n v="2752"/>
  </r>
  <r>
    <x v="28"/>
    <s v="Sgl Trip LR Child/Youth"/>
    <x v="2"/>
    <n v="330"/>
  </r>
  <r>
    <x v="28"/>
    <s v="Adult"/>
    <x v="3"/>
    <n v="27025348"/>
  </r>
  <r>
    <x v="28"/>
    <s v="CTP"/>
    <x v="3"/>
    <n v="29061"/>
  </r>
  <r>
    <x v="28"/>
    <s v="Child/Youth"/>
    <x v="3"/>
    <n v="1033964"/>
  </r>
  <r>
    <x v="28"/>
    <s v="Concession"/>
    <x v="3"/>
    <n v="1798391"/>
  </r>
  <r>
    <x v="28"/>
    <s v="Day Pass Child/Youth w/o SAF"/>
    <x v="3"/>
    <n v="11"/>
  </r>
  <r>
    <x v="28"/>
    <s v="Day Pass without SAF"/>
    <x v="3"/>
    <n v="459"/>
  </r>
  <r>
    <x v="28"/>
    <s v="Employee"/>
    <x v="3"/>
    <n v="319734"/>
  </r>
  <r>
    <x v="28"/>
    <s v="Free Travel"/>
    <x v="3"/>
    <n v="35582"/>
  </r>
  <r>
    <x v="28"/>
    <s v="School Student"/>
    <x v="3"/>
    <n v="1152486"/>
  </r>
  <r>
    <x v="28"/>
    <s v="Senior/Pensioner"/>
    <x v="3"/>
    <n v="3037349"/>
  </r>
  <r>
    <x v="28"/>
    <s v="Sgl Trip Rail Adult"/>
    <x v="3"/>
    <n v="321285"/>
  </r>
  <r>
    <x v="28"/>
    <s v="Sgl Trip Rail Child/Youth"/>
    <x v="3"/>
    <n v="49652"/>
  </r>
  <r>
    <x v="29"/>
    <s v="Adult"/>
    <x v="0"/>
    <n v="14104676"/>
  </r>
  <r>
    <x v="29"/>
    <s v="Adult Single Bus Trip 1"/>
    <x v="0"/>
    <n v="112904"/>
  </r>
  <r>
    <x v="29"/>
    <s v="Adult Single Bus Trip 2"/>
    <x v="0"/>
    <n v="63021"/>
  </r>
  <r>
    <x v="29"/>
    <s v="Adult Single Bus Trip 3"/>
    <x v="0"/>
    <n v="21892"/>
  </r>
  <r>
    <x v="29"/>
    <s v="Child/Youth"/>
    <x v="0"/>
    <n v="1423439"/>
  </r>
  <r>
    <x v="29"/>
    <s v="Child/Youth Single Bus Trip 1"/>
    <x v="0"/>
    <n v="32811"/>
  </r>
  <r>
    <x v="29"/>
    <s v="Child/Youth Single Bus Trip 2"/>
    <x v="0"/>
    <n v="25849"/>
  </r>
  <r>
    <x v="29"/>
    <s v="Child/Youth Single Bus Trip 3"/>
    <x v="0"/>
    <n v="7956"/>
  </r>
  <r>
    <x v="29"/>
    <s v="Concession"/>
    <x v="0"/>
    <n v="1021477"/>
  </r>
  <r>
    <x v="29"/>
    <s v="Day Pass Child/Youth w/o SAF"/>
    <x v="0"/>
    <n v="29"/>
  </r>
  <r>
    <x v="29"/>
    <s v="Day Pass without SAF"/>
    <x v="0"/>
    <n v="426"/>
  </r>
  <r>
    <x v="29"/>
    <s v="Employee"/>
    <x v="0"/>
    <n v="82198"/>
  </r>
  <r>
    <x v="29"/>
    <s v="Free Travel"/>
    <x v="0"/>
    <n v="38642"/>
  </r>
  <r>
    <x v="29"/>
    <s v="On Demand"/>
    <x v="0"/>
    <n v="6439"/>
  </r>
  <r>
    <x v="29"/>
    <s v="Other"/>
    <x v="0"/>
    <n v="65839"/>
  </r>
  <r>
    <x v="29"/>
    <s v="School Student"/>
    <x v="0"/>
    <n v="1248913"/>
  </r>
  <r>
    <x v="29"/>
    <s v="Senior/Pensioner"/>
    <x v="0"/>
    <n v="4089027"/>
  </r>
  <r>
    <x v="29"/>
    <s v="Adult"/>
    <x v="1"/>
    <n v="1019143"/>
  </r>
  <r>
    <x v="29"/>
    <s v="CTP"/>
    <x v="1"/>
    <n v="45727"/>
  </r>
  <r>
    <x v="29"/>
    <s v="Child/Youth"/>
    <x v="1"/>
    <n v="137948"/>
  </r>
  <r>
    <x v="29"/>
    <s v="Concession"/>
    <x v="1"/>
    <n v="24831"/>
  </r>
  <r>
    <x v="29"/>
    <s v="Day Pass without SAF"/>
    <x v="1"/>
    <n v="4"/>
  </r>
  <r>
    <x v="29"/>
    <s v="Employee"/>
    <x v="1"/>
    <n v="5371"/>
  </r>
  <r>
    <x v="29"/>
    <s v="Free Travel"/>
    <x v="1"/>
    <n v="2110"/>
  </r>
  <r>
    <x v="29"/>
    <s v="School Student"/>
    <x v="1"/>
    <n v="2594"/>
  </r>
  <r>
    <x v="29"/>
    <s v="Senior/Pensioner"/>
    <x v="1"/>
    <n v="187090"/>
  </r>
  <r>
    <x v="29"/>
    <s v="Sgl Trip Ferry Adult"/>
    <x v="1"/>
    <n v="62404"/>
  </r>
  <r>
    <x v="29"/>
    <s v="Sgl Trip Ferry Child/Youth"/>
    <x v="1"/>
    <n v="16424"/>
  </r>
  <r>
    <x v="29"/>
    <s v="Adult"/>
    <x v="2"/>
    <n v="610683"/>
  </r>
  <r>
    <x v="29"/>
    <s v="CTP"/>
    <x v="2"/>
    <n v="19441"/>
  </r>
  <r>
    <x v="29"/>
    <s v="Child/Youth"/>
    <x v="2"/>
    <n v="45017"/>
  </r>
  <r>
    <x v="29"/>
    <s v="Concession"/>
    <x v="2"/>
    <n v="24245"/>
  </r>
  <r>
    <x v="29"/>
    <s v="Day Pass without SAF"/>
    <x v="2"/>
    <n v="1"/>
  </r>
  <r>
    <x v="29"/>
    <s v="Employee"/>
    <x v="2"/>
    <n v="1259"/>
  </r>
  <r>
    <x v="29"/>
    <s v="Free Travel"/>
    <x v="2"/>
    <n v="858"/>
  </r>
  <r>
    <x v="29"/>
    <s v="School Student"/>
    <x v="2"/>
    <n v="2917"/>
  </r>
  <r>
    <x v="29"/>
    <s v="Senior/Pensioner"/>
    <x v="2"/>
    <n v="140990"/>
  </r>
  <r>
    <x v="29"/>
    <s v="Sgl Trip LR Adult"/>
    <x v="2"/>
    <n v="3036"/>
  </r>
  <r>
    <x v="29"/>
    <s v="Sgl Trip LR Child/Youth"/>
    <x v="2"/>
    <n v="711"/>
  </r>
  <r>
    <x v="29"/>
    <s v="Adult"/>
    <x v="3"/>
    <n v="23050018"/>
  </r>
  <r>
    <x v="29"/>
    <s v="CTP"/>
    <x v="3"/>
    <n v="400255"/>
  </r>
  <r>
    <x v="29"/>
    <s v="Child/Youth"/>
    <x v="3"/>
    <n v="1319800"/>
  </r>
  <r>
    <x v="29"/>
    <s v="Concession"/>
    <x v="3"/>
    <n v="1345643"/>
  </r>
  <r>
    <x v="29"/>
    <s v="Day Pass Child/Youth w/o SAF"/>
    <x v="3"/>
    <n v="6"/>
  </r>
  <r>
    <x v="29"/>
    <s v="Day Pass without SAF"/>
    <x v="3"/>
    <n v="366"/>
  </r>
  <r>
    <x v="29"/>
    <s v="Employee"/>
    <x v="3"/>
    <n v="272003"/>
  </r>
  <r>
    <x v="29"/>
    <s v="Free Travel"/>
    <x v="3"/>
    <n v="29670"/>
  </r>
  <r>
    <x v="29"/>
    <s v="School Student"/>
    <x v="3"/>
    <n v="512431"/>
  </r>
  <r>
    <x v="29"/>
    <s v="Senior/Pensioner"/>
    <x v="3"/>
    <n v="2815946"/>
  </r>
  <r>
    <x v="29"/>
    <s v="Sgl Trip Rail Adult"/>
    <x v="3"/>
    <n v="306621"/>
  </r>
  <r>
    <x v="29"/>
    <s v="Sgl Trip Rail Child/Youth"/>
    <x v="3"/>
    <n v="71697"/>
  </r>
  <r>
    <x v="30"/>
    <s v="Adult"/>
    <x v="0"/>
    <n v="14752879"/>
  </r>
  <r>
    <x v="30"/>
    <s v="Adult Single Bus Trip 1"/>
    <x v="0"/>
    <n v="110735"/>
  </r>
  <r>
    <x v="30"/>
    <s v="Adult Single Bus Trip 2"/>
    <x v="0"/>
    <n v="61336"/>
  </r>
  <r>
    <x v="30"/>
    <s v="Adult Single Bus Trip 3"/>
    <x v="0"/>
    <n v="20411"/>
  </r>
  <r>
    <x v="30"/>
    <s v="Child/Youth"/>
    <x v="0"/>
    <n v="1653909"/>
  </r>
  <r>
    <x v="30"/>
    <s v="Child/Youth Single Bus Trip 1"/>
    <x v="0"/>
    <n v="38810"/>
  </r>
  <r>
    <x v="30"/>
    <s v="Child/Youth Single Bus Trip 2"/>
    <x v="0"/>
    <n v="31393"/>
  </r>
  <r>
    <x v="30"/>
    <s v="Child/Youth Single Bus Trip 3"/>
    <x v="0"/>
    <n v="9539"/>
  </r>
  <r>
    <x v="30"/>
    <s v="Concession"/>
    <x v="0"/>
    <n v="1004593"/>
  </r>
  <r>
    <x v="30"/>
    <s v="Day Pass Child/Youth w/o SAF"/>
    <x v="0"/>
    <n v="18"/>
  </r>
  <r>
    <x v="30"/>
    <s v="Day Pass without SAF"/>
    <x v="0"/>
    <n v="725"/>
  </r>
  <r>
    <x v="30"/>
    <s v="Employee"/>
    <x v="0"/>
    <n v="85279"/>
  </r>
  <r>
    <x v="30"/>
    <s v="Free Travel"/>
    <x v="0"/>
    <n v="38510"/>
  </r>
  <r>
    <x v="30"/>
    <s v="On Demand"/>
    <x v="0"/>
    <n v="7041"/>
  </r>
  <r>
    <x v="30"/>
    <s v="Other"/>
    <x v="0"/>
    <n v="48037"/>
  </r>
  <r>
    <x v="30"/>
    <s v="School Student"/>
    <x v="0"/>
    <n v="205934"/>
  </r>
  <r>
    <x v="30"/>
    <s v="Senior/Pensioner"/>
    <x v="0"/>
    <n v="3970989"/>
  </r>
  <r>
    <x v="30"/>
    <s v="Adult"/>
    <x v="1"/>
    <n v="1027527"/>
  </r>
  <r>
    <x v="30"/>
    <s v="CTP"/>
    <x v="1"/>
    <n v="58537"/>
  </r>
  <r>
    <x v="30"/>
    <s v="Child/Youth"/>
    <x v="1"/>
    <n v="196867"/>
  </r>
  <r>
    <x v="30"/>
    <s v="Concession"/>
    <x v="1"/>
    <n v="26120"/>
  </r>
  <r>
    <x v="30"/>
    <s v="Day Pass without SAF"/>
    <x v="1"/>
    <n v="8"/>
  </r>
  <r>
    <x v="30"/>
    <s v="Employee"/>
    <x v="1"/>
    <n v="5535"/>
  </r>
  <r>
    <x v="30"/>
    <s v="Free Travel"/>
    <x v="1"/>
    <n v="2397"/>
  </r>
  <r>
    <x v="30"/>
    <s v="School Student"/>
    <x v="1"/>
    <n v="496"/>
  </r>
  <r>
    <x v="30"/>
    <s v="Senior/Pensioner"/>
    <x v="1"/>
    <n v="222000"/>
  </r>
  <r>
    <x v="30"/>
    <s v="Sgl Trip Ferry Adult"/>
    <x v="1"/>
    <n v="61360"/>
  </r>
  <r>
    <x v="30"/>
    <s v="Sgl Trip Ferry Child/Youth"/>
    <x v="1"/>
    <n v="19149"/>
  </r>
  <r>
    <x v="30"/>
    <s v="Adult"/>
    <x v="2"/>
    <n v="440804"/>
  </r>
  <r>
    <x v="30"/>
    <s v="CTP"/>
    <x v="2"/>
    <n v="18576"/>
  </r>
  <r>
    <x v="30"/>
    <s v="Child/Youth"/>
    <x v="2"/>
    <n v="42875"/>
  </r>
  <r>
    <x v="30"/>
    <s v="Concession"/>
    <x v="2"/>
    <n v="18357"/>
  </r>
  <r>
    <x v="30"/>
    <s v="Day Pass without SAF"/>
    <x v="2"/>
    <n v="4"/>
  </r>
  <r>
    <x v="30"/>
    <s v="Employee"/>
    <x v="2"/>
    <n v="896"/>
  </r>
  <r>
    <x v="30"/>
    <s v="Free Travel"/>
    <x v="2"/>
    <n v="593"/>
  </r>
  <r>
    <x v="30"/>
    <s v="School Student"/>
    <x v="2"/>
    <n v="560"/>
  </r>
  <r>
    <x v="30"/>
    <s v="Senior/Pensioner"/>
    <x v="2"/>
    <n v="100259"/>
  </r>
  <r>
    <x v="30"/>
    <s v="Sgl Trip LR Adult"/>
    <x v="2"/>
    <n v="1740"/>
  </r>
  <r>
    <x v="30"/>
    <s v="Sgl Trip LR Child/Youth"/>
    <x v="2"/>
    <n v="569"/>
  </r>
  <r>
    <x v="30"/>
    <s v="Adult"/>
    <x v="3"/>
    <n v="23174619"/>
  </r>
  <r>
    <x v="30"/>
    <s v="CTP"/>
    <x v="3"/>
    <n v="559514"/>
  </r>
  <r>
    <x v="30"/>
    <s v="Child/Youth"/>
    <x v="3"/>
    <n v="1511478"/>
  </r>
  <r>
    <x v="30"/>
    <s v="Concession"/>
    <x v="3"/>
    <n v="1291370"/>
  </r>
  <r>
    <x v="30"/>
    <s v="Day Pass Child/Youth w/o SAF"/>
    <x v="3"/>
    <n v="15"/>
  </r>
  <r>
    <x v="30"/>
    <s v="Day Pass without SAF"/>
    <x v="3"/>
    <n v="493"/>
  </r>
  <r>
    <x v="30"/>
    <s v="Employee"/>
    <x v="3"/>
    <n v="274738"/>
  </r>
  <r>
    <x v="30"/>
    <s v="Free Travel"/>
    <x v="3"/>
    <n v="29386"/>
  </r>
  <r>
    <x v="30"/>
    <s v="School Student"/>
    <x v="3"/>
    <n v="88704"/>
  </r>
  <r>
    <x v="30"/>
    <s v="Senior/Pensioner"/>
    <x v="3"/>
    <n v="2671807"/>
  </r>
  <r>
    <x v="30"/>
    <s v="Sgl Trip Rail Adult"/>
    <x v="3"/>
    <n v="250355"/>
  </r>
  <r>
    <x v="30"/>
    <s v="Sgl Trip Rail Child/Youth"/>
    <x v="3"/>
    <n v="73085"/>
  </r>
  <r>
    <x v="31"/>
    <s v="Adult"/>
    <x v="0"/>
    <n v="15426206"/>
  </r>
  <r>
    <x v="31"/>
    <s v="Adult Single Bus Trip 1"/>
    <x v="0"/>
    <n v="99772"/>
  </r>
  <r>
    <x v="31"/>
    <s v="Adult Single Bus Trip 2"/>
    <x v="0"/>
    <n v="54290"/>
  </r>
  <r>
    <x v="31"/>
    <s v="Adult Single Bus Trip 3"/>
    <x v="0"/>
    <n v="17375"/>
  </r>
  <r>
    <x v="31"/>
    <s v="Child/Youth"/>
    <x v="0"/>
    <n v="1357664"/>
  </r>
  <r>
    <x v="31"/>
    <s v="Child/Youth Single Bus Trip 1"/>
    <x v="0"/>
    <n v="21631"/>
  </r>
  <r>
    <x v="31"/>
    <s v="Child/Youth Single Bus Trip 2"/>
    <x v="0"/>
    <n v="15276"/>
  </r>
  <r>
    <x v="31"/>
    <s v="Child/Youth Single Bus Trip 3"/>
    <x v="0"/>
    <n v="4340"/>
  </r>
  <r>
    <x v="31"/>
    <s v="Concession"/>
    <x v="0"/>
    <n v="1415444"/>
  </r>
  <r>
    <x v="31"/>
    <s v="Day Pass Child/Youth w/o SAF"/>
    <x v="0"/>
    <n v="46"/>
  </r>
  <r>
    <x v="31"/>
    <s v="Day Pass without SAF"/>
    <x v="0"/>
    <n v="659"/>
  </r>
  <r>
    <x v="31"/>
    <s v="Employee"/>
    <x v="0"/>
    <n v="87689"/>
  </r>
  <r>
    <x v="31"/>
    <s v="Free Travel"/>
    <x v="0"/>
    <n v="40466"/>
  </r>
  <r>
    <x v="31"/>
    <s v="On Demand"/>
    <x v="0"/>
    <n v="8098"/>
  </r>
  <r>
    <x v="31"/>
    <s v="Other"/>
    <x v="0"/>
    <n v="0"/>
  </r>
  <r>
    <x v="31"/>
    <s v="School Student"/>
    <x v="0"/>
    <n v="3034805"/>
  </r>
  <r>
    <x v="31"/>
    <s v="Senior/Pensioner"/>
    <x v="0"/>
    <n v="4130053"/>
  </r>
  <r>
    <x v="31"/>
    <s v="Adult"/>
    <x v="1"/>
    <n v="876044"/>
  </r>
  <r>
    <x v="31"/>
    <s v="CTP"/>
    <x v="1"/>
    <n v="47051"/>
  </r>
  <r>
    <x v="31"/>
    <s v="Child/Youth"/>
    <x v="1"/>
    <n v="67142"/>
  </r>
  <r>
    <x v="31"/>
    <s v="Concession"/>
    <x v="1"/>
    <n v="23079"/>
  </r>
  <r>
    <x v="31"/>
    <s v="Day Pass without SAF"/>
    <x v="1"/>
    <n v="11"/>
  </r>
  <r>
    <x v="31"/>
    <s v="Employee"/>
    <x v="1"/>
    <n v="4613"/>
  </r>
  <r>
    <x v="31"/>
    <s v="Free Travel"/>
    <x v="1"/>
    <n v="2254"/>
  </r>
  <r>
    <x v="31"/>
    <s v="School Student"/>
    <x v="1"/>
    <n v="3433"/>
  </r>
  <r>
    <x v="31"/>
    <s v="Senior/Pensioner"/>
    <x v="1"/>
    <n v="191521"/>
  </r>
  <r>
    <x v="31"/>
    <s v="Sgl Trip Ferry Adult"/>
    <x v="1"/>
    <n v="45285"/>
  </r>
  <r>
    <x v="31"/>
    <s v="Sgl Trip Ferry Child/Youth"/>
    <x v="1"/>
    <n v="6282"/>
  </r>
  <r>
    <x v="31"/>
    <s v="Adult"/>
    <x v="2"/>
    <n v="613130"/>
  </r>
  <r>
    <x v="31"/>
    <s v="CTP"/>
    <x v="2"/>
    <n v="25195"/>
  </r>
  <r>
    <x v="31"/>
    <s v="Child/Youth"/>
    <x v="2"/>
    <n v="42123"/>
  </r>
  <r>
    <x v="31"/>
    <s v="Concession"/>
    <x v="2"/>
    <n v="29066"/>
  </r>
  <r>
    <x v="31"/>
    <s v="Day Pass without SAF"/>
    <x v="2"/>
    <n v="6"/>
  </r>
  <r>
    <x v="31"/>
    <s v="Employee"/>
    <x v="2"/>
    <n v="1354"/>
  </r>
  <r>
    <x v="31"/>
    <s v="Free Travel"/>
    <x v="2"/>
    <n v="1147"/>
  </r>
  <r>
    <x v="31"/>
    <s v="School Student"/>
    <x v="2"/>
    <n v="8614"/>
  </r>
  <r>
    <x v="31"/>
    <s v="Senior/Pensioner"/>
    <x v="2"/>
    <n v="164339"/>
  </r>
  <r>
    <x v="31"/>
    <s v="Sgl Trip LR Adult"/>
    <x v="2"/>
    <n v="2796"/>
  </r>
  <r>
    <x v="31"/>
    <s v="Sgl Trip LR Child/Youth"/>
    <x v="2"/>
    <n v="580"/>
  </r>
  <r>
    <x v="31"/>
    <s v="Adult"/>
    <x v="3"/>
    <n v="24235381"/>
  </r>
  <r>
    <x v="31"/>
    <s v="CTP"/>
    <x v="3"/>
    <n v="612866"/>
  </r>
  <r>
    <x v="31"/>
    <s v="Child/Youth"/>
    <x v="3"/>
    <n v="1030042"/>
  </r>
  <r>
    <x v="31"/>
    <s v="Concession"/>
    <x v="3"/>
    <n v="1692708"/>
  </r>
  <r>
    <x v="31"/>
    <s v="Day Pass Child/Youth w/o SAF"/>
    <x v="3"/>
    <n v="15"/>
  </r>
  <r>
    <x v="31"/>
    <s v="Day Pass without SAF"/>
    <x v="3"/>
    <n v="502"/>
  </r>
  <r>
    <x v="31"/>
    <s v="Employee"/>
    <x v="3"/>
    <n v="299251"/>
  </r>
  <r>
    <x v="31"/>
    <s v="Free Travel"/>
    <x v="3"/>
    <n v="32805"/>
  </r>
  <r>
    <x v="31"/>
    <s v="School Student"/>
    <x v="3"/>
    <n v="1203113"/>
  </r>
  <r>
    <x v="31"/>
    <s v="Senior/Pensioner"/>
    <x v="3"/>
    <n v="2837854"/>
  </r>
  <r>
    <x v="31"/>
    <s v="Sgl Trip Rail Adult"/>
    <x v="3"/>
    <n v="235026"/>
  </r>
  <r>
    <x v="31"/>
    <s v="Sgl Trip Rail Child/Youth"/>
    <x v="3"/>
    <n v="39201"/>
  </r>
  <r>
    <x v="32"/>
    <s v="Adult"/>
    <x v="0"/>
    <n v="16865038"/>
  </r>
  <r>
    <x v="32"/>
    <s v="Adult Single Bus Trip 1"/>
    <x v="0"/>
    <n v="104426"/>
  </r>
  <r>
    <x v="32"/>
    <s v="Adult Single Bus Trip 2"/>
    <x v="0"/>
    <n v="56005"/>
  </r>
  <r>
    <x v="32"/>
    <s v="Adult Single Bus Trip 3"/>
    <x v="0"/>
    <n v="18478"/>
  </r>
  <r>
    <x v="32"/>
    <s v="Child/Youth"/>
    <x v="0"/>
    <n v="1388228"/>
  </r>
  <r>
    <x v="32"/>
    <s v="Child/Youth Single Bus Trip 1"/>
    <x v="0"/>
    <n v="24315"/>
  </r>
  <r>
    <x v="32"/>
    <s v="Child/Youth Single Bus Trip 2"/>
    <x v="0"/>
    <n v="16792"/>
  </r>
  <r>
    <x v="32"/>
    <s v="Child/Youth Single Bus Trip 3"/>
    <x v="0"/>
    <n v="4803"/>
  </r>
  <r>
    <x v="32"/>
    <s v="Concession"/>
    <x v="0"/>
    <n v="2273012"/>
  </r>
  <r>
    <x v="32"/>
    <s v="Day Pass Child/Youth w/o SAF"/>
    <x v="0"/>
    <n v="90"/>
  </r>
  <r>
    <x v="32"/>
    <s v="Day Pass without SAF"/>
    <x v="0"/>
    <n v="989"/>
  </r>
  <r>
    <x v="32"/>
    <s v="Employee"/>
    <x v="0"/>
    <n v="94200"/>
  </r>
  <r>
    <x v="32"/>
    <s v="Free Travel"/>
    <x v="0"/>
    <n v="43399"/>
  </r>
  <r>
    <x v="32"/>
    <s v="On Demand"/>
    <x v="0"/>
    <n v="9767"/>
  </r>
  <r>
    <x v="32"/>
    <s v="Other"/>
    <x v="0"/>
    <n v="0"/>
  </r>
  <r>
    <x v="32"/>
    <s v="School Student"/>
    <x v="0"/>
    <n v="3406548"/>
  </r>
  <r>
    <x v="32"/>
    <s v="Senior/Pensioner"/>
    <x v="0"/>
    <n v="4436133"/>
  </r>
  <r>
    <x v="32"/>
    <s v="Adult"/>
    <x v="1"/>
    <n v="891646"/>
  </r>
  <r>
    <x v="32"/>
    <s v="CTP"/>
    <x v="1"/>
    <n v="52039"/>
  </r>
  <r>
    <x v="32"/>
    <s v="Child/Youth"/>
    <x v="1"/>
    <n v="69720"/>
  </r>
  <r>
    <x v="32"/>
    <s v="Concession"/>
    <x v="1"/>
    <n v="28579"/>
  </r>
  <r>
    <x v="32"/>
    <s v="Day Pass Child/Youth w/o SAF"/>
    <x v="1"/>
    <n v="6"/>
  </r>
  <r>
    <x v="32"/>
    <s v="Day Pass without SAF"/>
    <x v="1"/>
    <n v="13"/>
  </r>
  <r>
    <x v="32"/>
    <s v="Employee"/>
    <x v="1"/>
    <n v="4519"/>
  </r>
  <r>
    <x v="32"/>
    <s v="Free Travel"/>
    <x v="1"/>
    <n v="2303"/>
  </r>
  <r>
    <x v="32"/>
    <s v="School Student"/>
    <x v="1"/>
    <n v="3635"/>
  </r>
  <r>
    <x v="32"/>
    <s v="Senior/Pensioner"/>
    <x v="1"/>
    <n v="195448"/>
  </r>
  <r>
    <x v="32"/>
    <s v="Sgl Trip Ferry Adult"/>
    <x v="1"/>
    <n v="46412"/>
  </r>
  <r>
    <x v="32"/>
    <s v="Sgl Trip Ferry Child/Youth"/>
    <x v="1"/>
    <n v="6437"/>
  </r>
  <r>
    <x v="32"/>
    <s v="Adult"/>
    <x v="2"/>
    <n v="696793"/>
  </r>
  <r>
    <x v="32"/>
    <s v="CTP"/>
    <x v="2"/>
    <n v="32869"/>
  </r>
  <r>
    <x v="32"/>
    <s v="Child/Youth"/>
    <x v="2"/>
    <n v="45828"/>
  </r>
  <r>
    <x v="32"/>
    <s v="Concession"/>
    <x v="2"/>
    <n v="43393"/>
  </r>
  <r>
    <x v="32"/>
    <s v="Day Pass Child/Youth w/o SAF"/>
    <x v="2"/>
    <n v="1"/>
  </r>
  <r>
    <x v="32"/>
    <s v="Day Pass without SAF"/>
    <x v="2"/>
    <n v="15"/>
  </r>
  <r>
    <x v="32"/>
    <s v="Employee"/>
    <x v="2"/>
    <n v="1817"/>
  </r>
  <r>
    <x v="32"/>
    <s v="Free Travel"/>
    <x v="2"/>
    <n v="1409"/>
  </r>
  <r>
    <x v="32"/>
    <s v="School Student"/>
    <x v="2"/>
    <n v="9944"/>
  </r>
  <r>
    <x v="32"/>
    <s v="Senior/Pensioner"/>
    <x v="2"/>
    <n v="173382"/>
  </r>
  <r>
    <x v="32"/>
    <s v="Sgl Trip LR Adult"/>
    <x v="2"/>
    <n v="3569"/>
  </r>
  <r>
    <x v="32"/>
    <s v="Sgl Trip LR Child/Youth"/>
    <x v="2"/>
    <n v="1046"/>
  </r>
  <r>
    <x v="32"/>
    <s v="Adult"/>
    <x v="3"/>
    <n v="26870901"/>
  </r>
  <r>
    <x v="32"/>
    <s v="CTP"/>
    <x v="3"/>
    <n v="715994"/>
  </r>
  <r>
    <x v="32"/>
    <s v="Child/Youth"/>
    <x v="3"/>
    <n v="1091466"/>
  </r>
  <r>
    <x v="32"/>
    <s v="Concession"/>
    <x v="3"/>
    <n v="2792174"/>
  </r>
  <r>
    <x v="32"/>
    <s v="Day Pass Child/Youth w/o SAF"/>
    <x v="3"/>
    <n v="54"/>
  </r>
  <r>
    <x v="32"/>
    <s v="Day Pass without SAF"/>
    <x v="3"/>
    <n v="685"/>
  </r>
  <r>
    <x v="32"/>
    <s v="Employee"/>
    <x v="3"/>
    <n v="330137"/>
  </r>
  <r>
    <x v="32"/>
    <s v="Free Travel"/>
    <x v="3"/>
    <n v="34783"/>
  </r>
  <r>
    <x v="32"/>
    <s v="School Student"/>
    <x v="3"/>
    <n v="1321749"/>
  </r>
  <r>
    <x v="32"/>
    <s v="Senior/Pensioner"/>
    <x v="3"/>
    <n v="3059039"/>
  </r>
  <r>
    <x v="32"/>
    <s v="Sgl Trip Rail Adult"/>
    <x v="3"/>
    <n v="268079"/>
  </r>
  <r>
    <x v="32"/>
    <s v="Sgl Trip Rail Child/Youth"/>
    <x v="3"/>
    <n v="45205"/>
  </r>
  <r>
    <x v="33"/>
    <s v="Adult"/>
    <x v="0"/>
    <n v="14959627"/>
  </r>
  <r>
    <x v="33"/>
    <s v="Adult Single Bus Trip 1"/>
    <x v="0"/>
    <n v="93026"/>
  </r>
  <r>
    <x v="33"/>
    <s v="Adult Single Bus Trip 2"/>
    <x v="0"/>
    <n v="48668"/>
  </r>
  <r>
    <x v="33"/>
    <s v="Adult Single Bus Trip 3"/>
    <x v="0"/>
    <n v="17329"/>
  </r>
  <r>
    <x v="33"/>
    <s v="Child/Youth"/>
    <x v="0"/>
    <n v="1449736"/>
  </r>
  <r>
    <x v="33"/>
    <s v="Child/Youth Single Bus Trip 1"/>
    <x v="0"/>
    <n v="27868"/>
  </r>
  <r>
    <x v="33"/>
    <s v="Child/Youth Single Bus Trip 2"/>
    <x v="0"/>
    <n v="21897"/>
  </r>
  <r>
    <x v="33"/>
    <s v="Child/Youth Single Bus Trip 3"/>
    <x v="0"/>
    <n v="6122"/>
  </r>
  <r>
    <x v="33"/>
    <s v="Concession"/>
    <x v="0"/>
    <n v="1834882"/>
  </r>
  <r>
    <x v="33"/>
    <s v="Day Pass Child/Youth w/o SAF"/>
    <x v="0"/>
    <n v="48"/>
  </r>
  <r>
    <x v="33"/>
    <s v="Day Pass without SAF"/>
    <x v="0"/>
    <n v="773"/>
  </r>
  <r>
    <x v="33"/>
    <s v="Employee"/>
    <x v="0"/>
    <n v="85255"/>
  </r>
  <r>
    <x v="33"/>
    <s v="Free Travel"/>
    <x v="0"/>
    <n v="38720"/>
  </r>
  <r>
    <x v="33"/>
    <s v="On Demand"/>
    <x v="0"/>
    <n v="9784"/>
  </r>
  <r>
    <x v="33"/>
    <s v="School Student"/>
    <x v="0"/>
    <n v="1735455"/>
  </r>
  <r>
    <x v="33"/>
    <s v="Senior/Pensioner"/>
    <x v="0"/>
    <n v="4113032"/>
  </r>
  <r>
    <x v="33"/>
    <s v="Adult"/>
    <x v="1"/>
    <n v="917392"/>
  </r>
  <r>
    <x v="33"/>
    <s v="CTP"/>
    <x v="1"/>
    <n v="54154"/>
  </r>
  <r>
    <x v="33"/>
    <s v="Child/Youth"/>
    <x v="1"/>
    <n v="149389"/>
  </r>
  <r>
    <x v="33"/>
    <s v="Concession"/>
    <x v="1"/>
    <n v="25473"/>
  </r>
  <r>
    <x v="33"/>
    <s v="Day Pass without SAF"/>
    <x v="1"/>
    <n v="12"/>
  </r>
  <r>
    <x v="33"/>
    <s v="Employee"/>
    <x v="1"/>
    <n v="4575"/>
  </r>
  <r>
    <x v="33"/>
    <s v="Free Travel"/>
    <x v="1"/>
    <n v="2306"/>
  </r>
  <r>
    <x v="33"/>
    <s v="School Student"/>
    <x v="1"/>
    <n v="1955"/>
  </r>
  <r>
    <x v="33"/>
    <s v="Senior/Pensioner"/>
    <x v="1"/>
    <n v="211530"/>
  </r>
  <r>
    <x v="33"/>
    <s v="Sgl Trip Ferry Adult"/>
    <x v="1"/>
    <n v="49727"/>
  </r>
  <r>
    <x v="33"/>
    <s v="Sgl Trip Ferry Child/Youth"/>
    <x v="1"/>
    <n v="15970"/>
  </r>
  <r>
    <x v="33"/>
    <s v="Adult"/>
    <x v="2"/>
    <n v="610905"/>
  </r>
  <r>
    <x v="33"/>
    <s v="CTP"/>
    <x v="2"/>
    <n v="31478"/>
  </r>
  <r>
    <x v="33"/>
    <s v="Child/Youth"/>
    <x v="2"/>
    <n v="57364"/>
  </r>
  <r>
    <x v="33"/>
    <s v="Concession"/>
    <x v="2"/>
    <n v="33409"/>
  </r>
  <r>
    <x v="33"/>
    <s v="Day Pass without SAF"/>
    <x v="2"/>
    <n v="5"/>
  </r>
  <r>
    <x v="33"/>
    <s v="Employee"/>
    <x v="2"/>
    <n v="1496"/>
  </r>
  <r>
    <x v="33"/>
    <s v="Free Travel"/>
    <x v="2"/>
    <n v="1259"/>
  </r>
  <r>
    <x v="33"/>
    <s v="School Student"/>
    <x v="2"/>
    <n v="5178"/>
  </r>
  <r>
    <x v="33"/>
    <s v="Senior/Pensioner"/>
    <x v="2"/>
    <n v="159245"/>
  </r>
  <r>
    <x v="33"/>
    <s v="Sgl Trip LR Adult"/>
    <x v="2"/>
    <n v="3567"/>
  </r>
  <r>
    <x v="33"/>
    <s v="Sgl Trip LR Child/Youth"/>
    <x v="2"/>
    <n v="1620"/>
  </r>
  <r>
    <x v="33"/>
    <s v="Adult"/>
    <x v="3"/>
    <n v="24276410"/>
  </r>
  <r>
    <x v="33"/>
    <s v="CTP"/>
    <x v="3"/>
    <n v="710888"/>
  </r>
  <r>
    <x v="33"/>
    <s v="Child/Youth"/>
    <x v="3"/>
    <n v="1331399"/>
  </r>
  <r>
    <x v="33"/>
    <s v="Concession"/>
    <x v="3"/>
    <n v="2257676"/>
  </r>
  <r>
    <x v="33"/>
    <s v="Day Pass Child/Youth w/o SAF"/>
    <x v="3"/>
    <n v="23"/>
  </r>
  <r>
    <x v="33"/>
    <s v="Day Pass without SAF"/>
    <x v="3"/>
    <n v="658"/>
  </r>
  <r>
    <x v="33"/>
    <s v="Employee"/>
    <x v="3"/>
    <n v="304321"/>
  </r>
  <r>
    <x v="33"/>
    <s v="Free Travel"/>
    <x v="3"/>
    <n v="31756"/>
  </r>
  <r>
    <x v="33"/>
    <s v="School Student"/>
    <x v="3"/>
    <n v="690414"/>
  </r>
  <r>
    <x v="33"/>
    <s v="Senior/Pensioner"/>
    <x v="3"/>
    <n v="2898742"/>
  </r>
  <r>
    <x v="33"/>
    <s v="Sgl Trip Rail Adult"/>
    <x v="3"/>
    <n v="241881"/>
  </r>
  <r>
    <x v="33"/>
    <s v="Sgl Trip Rail Child/Youth"/>
    <x v="3"/>
    <n v="66510"/>
  </r>
  <r>
    <x v="34"/>
    <s v="Adult"/>
    <x v="0"/>
    <n v="16827324"/>
  </r>
  <r>
    <x v="34"/>
    <s v="Adult Single Bus Trip 1"/>
    <x v="0"/>
    <n v="93036"/>
  </r>
  <r>
    <x v="34"/>
    <s v="Adult Single Bus Trip 2"/>
    <x v="0"/>
    <n v="49965"/>
  </r>
  <r>
    <x v="34"/>
    <s v="Adult Single Bus Trip 3"/>
    <x v="0"/>
    <n v="16623"/>
  </r>
  <r>
    <x v="34"/>
    <s v="Child/Youth"/>
    <x v="0"/>
    <n v="1256375"/>
  </r>
  <r>
    <x v="34"/>
    <s v="Child/Youth Single Bus Trip 1"/>
    <x v="0"/>
    <n v="20657"/>
  </r>
  <r>
    <x v="34"/>
    <s v="Child/Youth Single Bus Trip 2"/>
    <x v="0"/>
    <n v="14135"/>
  </r>
  <r>
    <x v="34"/>
    <s v="Child/Youth Single Bus Trip 3"/>
    <x v="0"/>
    <n v="3968"/>
  </r>
  <r>
    <x v="34"/>
    <s v="Concession"/>
    <x v="0"/>
    <n v="1882427"/>
  </r>
  <r>
    <x v="34"/>
    <s v="Day Pass Child/Youth w/o SAF"/>
    <x v="0"/>
    <n v="68"/>
  </r>
  <r>
    <x v="34"/>
    <s v="Day Pass without SAF"/>
    <x v="0"/>
    <n v="787"/>
  </r>
  <r>
    <x v="34"/>
    <s v="Employee"/>
    <x v="0"/>
    <n v="99204"/>
  </r>
  <r>
    <x v="34"/>
    <s v="Free Travel"/>
    <x v="0"/>
    <n v="44534"/>
  </r>
  <r>
    <x v="34"/>
    <s v="On Demand"/>
    <x v="0"/>
    <n v="11130"/>
  </r>
  <r>
    <x v="34"/>
    <s v="School Student"/>
    <x v="0"/>
    <n v="3592972"/>
  </r>
  <r>
    <x v="34"/>
    <s v="Senior/Pensioner"/>
    <x v="0"/>
    <n v="4586037"/>
  </r>
  <r>
    <x v="34"/>
    <s v="Adult"/>
    <x v="1"/>
    <n v="787055"/>
  </r>
  <r>
    <x v="34"/>
    <s v="CTP"/>
    <x v="1"/>
    <n v="51727"/>
  </r>
  <r>
    <x v="34"/>
    <s v="Child/Youth"/>
    <x v="1"/>
    <n v="66200"/>
  </r>
  <r>
    <x v="34"/>
    <s v="Concession"/>
    <x v="1"/>
    <n v="24888"/>
  </r>
  <r>
    <x v="34"/>
    <s v="Day Pass Child/Youth w/o SAF"/>
    <x v="1"/>
    <n v="178"/>
  </r>
  <r>
    <x v="34"/>
    <s v="Day Pass without SAF"/>
    <x v="1"/>
    <n v="22"/>
  </r>
  <r>
    <x v="34"/>
    <s v="Employee"/>
    <x v="1"/>
    <n v="5002"/>
  </r>
  <r>
    <x v="34"/>
    <s v="Free Travel"/>
    <x v="1"/>
    <n v="2331"/>
  </r>
  <r>
    <x v="34"/>
    <s v="School Student"/>
    <x v="1"/>
    <n v="3720"/>
  </r>
  <r>
    <x v="34"/>
    <s v="Senior/Pensioner"/>
    <x v="1"/>
    <n v="201703"/>
  </r>
  <r>
    <x v="34"/>
    <s v="Sgl Trip Ferry Adult"/>
    <x v="1"/>
    <n v="31501"/>
  </r>
  <r>
    <x v="34"/>
    <s v="Sgl Trip Ferry Child/Youth"/>
    <x v="1"/>
    <n v="5522"/>
  </r>
  <r>
    <x v="34"/>
    <s v="Adult"/>
    <x v="2"/>
    <n v="625322"/>
  </r>
  <r>
    <x v="34"/>
    <s v="CTP"/>
    <x v="2"/>
    <n v="34183"/>
  </r>
  <r>
    <x v="34"/>
    <s v="Child/Youth"/>
    <x v="2"/>
    <n v="37874"/>
  </r>
  <r>
    <x v="34"/>
    <s v="Concession"/>
    <x v="2"/>
    <n v="36161"/>
  </r>
  <r>
    <x v="34"/>
    <s v="Day Pass Child/Youth w/o SAF"/>
    <x v="2"/>
    <n v="9"/>
  </r>
  <r>
    <x v="34"/>
    <s v="Day Pass without SAF"/>
    <x v="2"/>
    <n v="13"/>
  </r>
  <r>
    <x v="34"/>
    <s v="Employee"/>
    <x v="2"/>
    <n v="1537"/>
  </r>
  <r>
    <x v="34"/>
    <s v="Free Travel"/>
    <x v="2"/>
    <n v="1393"/>
  </r>
  <r>
    <x v="34"/>
    <s v="School Student"/>
    <x v="2"/>
    <n v="11280"/>
  </r>
  <r>
    <x v="34"/>
    <s v="Senior/Pensioner"/>
    <x v="2"/>
    <n v="161232"/>
  </r>
  <r>
    <x v="34"/>
    <s v="Sgl Trip LR Adult"/>
    <x v="2"/>
    <n v="2534"/>
  </r>
  <r>
    <x v="34"/>
    <s v="Sgl Trip LR Child/Youth"/>
    <x v="2"/>
    <n v="632"/>
  </r>
  <r>
    <x v="34"/>
    <s v="Adult"/>
    <x v="4"/>
    <n v="219429"/>
  </r>
  <r>
    <x v="34"/>
    <s v="CTP"/>
    <x v="4"/>
    <n v="7887"/>
  </r>
  <r>
    <x v="34"/>
    <s v="Child/Youth"/>
    <x v="4"/>
    <n v="6186"/>
  </r>
  <r>
    <x v="34"/>
    <s v="Concession"/>
    <x v="4"/>
    <n v="19058"/>
  </r>
  <r>
    <x v="34"/>
    <s v="Day Pass without SAF"/>
    <x v="4"/>
    <n v="5"/>
  </r>
  <r>
    <x v="34"/>
    <s v="Employee"/>
    <x v="4"/>
    <n v="3142"/>
  </r>
  <r>
    <x v="34"/>
    <s v="Free Travel"/>
    <x v="4"/>
    <n v="333"/>
  </r>
  <r>
    <x v="34"/>
    <s v="School Student"/>
    <x v="4"/>
    <n v="13436"/>
  </r>
  <r>
    <x v="34"/>
    <s v="Senior/Pensioner"/>
    <x v="4"/>
    <n v="24600"/>
  </r>
  <r>
    <x v="34"/>
    <s v="Sgl Trip Rail Adult"/>
    <x v="4"/>
    <n v="1696"/>
  </r>
  <r>
    <x v="34"/>
    <s v="Sgl Trip Rail Child/Youth"/>
    <x v="4"/>
    <n v="332"/>
  </r>
  <r>
    <x v="34"/>
    <s v="Adult"/>
    <x v="3"/>
    <n v="27859455"/>
  </r>
  <r>
    <x v="34"/>
    <s v="CTP"/>
    <x v="3"/>
    <n v="893575"/>
  </r>
  <r>
    <x v="34"/>
    <s v="Child/Youth"/>
    <x v="3"/>
    <n v="972256"/>
  </r>
  <r>
    <x v="34"/>
    <s v="Concession"/>
    <x v="3"/>
    <n v="2479155"/>
  </r>
  <r>
    <x v="34"/>
    <s v="Day Pass Child/Youth w/o SAF"/>
    <x v="3"/>
    <n v="38"/>
  </r>
  <r>
    <x v="34"/>
    <s v="Day Pass without SAF"/>
    <x v="3"/>
    <n v="626"/>
  </r>
  <r>
    <x v="34"/>
    <s v="Employee"/>
    <x v="3"/>
    <n v="366432"/>
  </r>
  <r>
    <x v="34"/>
    <s v="Free Travel"/>
    <x v="3"/>
    <n v="38389"/>
  </r>
  <r>
    <x v="34"/>
    <s v="School Student"/>
    <x v="3"/>
    <n v="1461690"/>
  </r>
  <r>
    <x v="34"/>
    <s v="Senior/Pensioner"/>
    <x v="3"/>
    <n v="3208060"/>
  </r>
  <r>
    <x v="34"/>
    <s v="Sgl Trip Rail Adult"/>
    <x v="3"/>
    <n v="236129"/>
  </r>
  <r>
    <x v="34"/>
    <s v="Sgl Trip Rail Child/Youth"/>
    <x v="3"/>
    <n v="46316"/>
  </r>
  <r>
    <x v="35"/>
    <s v="Adult"/>
    <x v="0"/>
    <n v="14504498"/>
  </r>
  <r>
    <x v="35"/>
    <s v="Adult Single Bus Trip 1"/>
    <x v="0"/>
    <n v="80555"/>
  </r>
  <r>
    <x v="35"/>
    <s v="Adult Single Bus Trip 2"/>
    <x v="0"/>
    <n v="42267"/>
  </r>
  <r>
    <x v="35"/>
    <s v="Adult Single Bus Trip 3"/>
    <x v="0"/>
    <n v="13191"/>
  </r>
  <r>
    <x v="35"/>
    <s v="Child/Youth"/>
    <x v="0"/>
    <n v="1175335"/>
  </r>
  <r>
    <x v="35"/>
    <s v="Child/Youth Single Bus Trip 1"/>
    <x v="0"/>
    <n v="19193"/>
  </r>
  <r>
    <x v="35"/>
    <s v="Child/Youth Single Bus Trip 2"/>
    <x v="0"/>
    <n v="13566"/>
  </r>
  <r>
    <x v="35"/>
    <s v="Child/Youth Single Bus Trip 3"/>
    <x v="0"/>
    <n v="3543"/>
  </r>
  <r>
    <x v="35"/>
    <s v="Concession"/>
    <x v="0"/>
    <n v="1555717"/>
  </r>
  <r>
    <x v="35"/>
    <s v="Day Pass Child/Youth w/o SAF"/>
    <x v="0"/>
    <n v="50"/>
  </r>
  <r>
    <x v="35"/>
    <s v="Day Pass without SAF"/>
    <x v="0"/>
    <n v="832"/>
  </r>
  <r>
    <x v="35"/>
    <s v="Employee"/>
    <x v="0"/>
    <n v="86459"/>
  </r>
  <r>
    <x v="35"/>
    <s v="Free Travel"/>
    <x v="0"/>
    <n v="37745"/>
  </r>
  <r>
    <x v="35"/>
    <s v="On Demand"/>
    <x v="0"/>
    <n v="9946"/>
  </r>
  <r>
    <x v="35"/>
    <s v="School Student"/>
    <x v="0"/>
    <n v="2754915"/>
  </r>
  <r>
    <x v="35"/>
    <s v="Senior/Pensioner"/>
    <x v="0"/>
    <n v="3942952"/>
  </r>
  <r>
    <x v="35"/>
    <s v="Adult"/>
    <x v="1"/>
    <n v="756440"/>
  </r>
  <r>
    <x v="35"/>
    <s v="CTP"/>
    <x v="1"/>
    <n v="55609"/>
  </r>
  <r>
    <x v="35"/>
    <s v="Child/Youth"/>
    <x v="1"/>
    <n v="101453"/>
  </r>
  <r>
    <x v="35"/>
    <s v="Concession"/>
    <x v="1"/>
    <n v="23397"/>
  </r>
  <r>
    <x v="35"/>
    <s v="Day Pass Child/Youth w/o SAF"/>
    <x v="1"/>
    <n v="80"/>
  </r>
  <r>
    <x v="35"/>
    <s v="Day Pass without SAF"/>
    <x v="1"/>
    <n v="8"/>
  </r>
  <r>
    <x v="35"/>
    <s v="Employee"/>
    <x v="1"/>
    <n v="4698"/>
  </r>
  <r>
    <x v="35"/>
    <s v="Free Travel"/>
    <x v="1"/>
    <n v="2020"/>
  </r>
  <r>
    <x v="35"/>
    <s v="School Student"/>
    <x v="1"/>
    <n v="2963"/>
  </r>
  <r>
    <x v="35"/>
    <s v="Senior/Pensioner"/>
    <x v="1"/>
    <n v="178127"/>
  </r>
  <r>
    <x v="35"/>
    <s v="Sgl Trip Ferry Adult"/>
    <x v="1"/>
    <n v="32282"/>
  </r>
  <r>
    <x v="35"/>
    <s v="Sgl Trip Ferry Child/Youth"/>
    <x v="1"/>
    <n v="9985"/>
  </r>
  <r>
    <x v="35"/>
    <s v="Adult"/>
    <x v="2"/>
    <n v="640884"/>
  </r>
  <r>
    <x v="35"/>
    <s v="CTP"/>
    <x v="2"/>
    <n v="35044"/>
  </r>
  <r>
    <x v="35"/>
    <s v="Child/Youth"/>
    <x v="2"/>
    <n v="48131"/>
  </r>
  <r>
    <x v="35"/>
    <s v="Concession"/>
    <x v="2"/>
    <n v="35869"/>
  </r>
  <r>
    <x v="35"/>
    <s v="Day Pass without SAF"/>
    <x v="2"/>
    <n v="11"/>
  </r>
  <r>
    <x v="35"/>
    <s v="Employee"/>
    <x v="2"/>
    <n v="1647"/>
  </r>
  <r>
    <x v="35"/>
    <s v="Free Travel"/>
    <x v="2"/>
    <n v="1098"/>
  </r>
  <r>
    <x v="35"/>
    <s v="School Student"/>
    <x v="2"/>
    <n v="8583"/>
  </r>
  <r>
    <x v="35"/>
    <s v="Senior/Pensioner"/>
    <x v="2"/>
    <n v="161787"/>
  </r>
  <r>
    <x v="35"/>
    <s v="Sgl Trip LR Adult"/>
    <x v="2"/>
    <n v="2841"/>
  </r>
  <r>
    <x v="35"/>
    <s v="Sgl Trip LR Child/Youth"/>
    <x v="2"/>
    <n v="785"/>
  </r>
  <r>
    <x v="35"/>
    <s v="Adult"/>
    <x v="4"/>
    <n v="1144461"/>
  </r>
  <r>
    <x v="35"/>
    <s v="CTP"/>
    <x v="4"/>
    <n v="34882"/>
  </r>
  <r>
    <x v="35"/>
    <s v="Child/Youth"/>
    <x v="4"/>
    <n v="112236"/>
  </r>
  <r>
    <x v="35"/>
    <s v="Concession"/>
    <x v="4"/>
    <n v="145218"/>
  </r>
  <r>
    <x v="35"/>
    <s v="Day Pass without SAF"/>
    <x v="4"/>
    <n v="6"/>
  </r>
  <r>
    <x v="35"/>
    <s v="Employee"/>
    <x v="4"/>
    <n v="10974"/>
  </r>
  <r>
    <x v="35"/>
    <s v="Free Travel"/>
    <x v="4"/>
    <n v="2296"/>
  </r>
  <r>
    <x v="35"/>
    <s v="School Student"/>
    <x v="4"/>
    <n v="92249"/>
  </r>
  <r>
    <x v="35"/>
    <s v="Senior/Pensioner"/>
    <x v="4"/>
    <n v="143843"/>
  </r>
  <r>
    <x v="35"/>
    <s v="Sgl Trip Rail Adult"/>
    <x v="4"/>
    <n v="12588"/>
  </r>
  <r>
    <x v="35"/>
    <s v="Sgl Trip Rail Child/Youth"/>
    <x v="4"/>
    <n v="7851"/>
  </r>
  <r>
    <x v="35"/>
    <s v="Adult"/>
    <x v="3"/>
    <n v="23861758"/>
  </r>
  <r>
    <x v="35"/>
    <s v="CTP"/>
    <x v="3"/>
    <n v="867911"/>
  </r>
  <r>
    <x v="35"/>
    <s v="Child/Youth"/>
    <x v="3"/>
    <n v="1044267"/>
  </r>
  <r>
    <x v="35"/>
    <s v="Concession"/>
    <x v="3"/>
    <n v="1808606"/>
  </r>
  <r>
    <x v="35"/>
    <s v="Day Pass Child/Youth w/o SAF"/>
    <x v="3"/>
    <n v="17"/>
  </r>
  <r>
    <x v="35"/>
    <s v="Day Pass without SAF"/>
    <x v="3"/>
    <n v="671"/>
  </r>
  <r>
    <x v="35"/>
    <s v="Employee"/>
    <x v="3"/>
    <n v="326446"/>
  </r>
  <r>
    <x v="35"/>
    <s v="Free Travel"/>
    <x v="3"/>
    <n v="32272"/>
  </r>
  <r>
    <x v="35"/>
    <s v="School Student"/>
    <x v="3"/>
    <n v="1090865"/>
  </r>
  <r>
    <x v="35"/>
    <s v="Senior/Pensioner"/>
    <x v="3"/>
    <n v="2807164"/>
  </r>
  <r>
    <x v="35"/>
    <s v="Sgl Trip Rail Adult"/>
    <x v="3"/>
    <n v="218974"/>
  </r>
  <r>
    <x v="35"/>
    <s v="Sgl Trip Rail Child/Youth"/>
    <x v="3"/>
    <n v="53349"/>
  </r>
  <r>
    <x v="36"/>
    <s v="Adult"/>
    <x v="0"/>
    <n v="15823165"/>
  </r>
  <r>
    <x v="36"/>
    <s v="Adult Single Bus Trip 1"/>
    <x v="0"/>
    <n v="87764"/>
  </r>
  <r>
    <x v="36"/>
    <s v="Adult Single Bus Trip 2"/>
    <x v="0"/>
    <n v="46970"/>
  </r>
  <r>
    <x v="36"/>
    <s v="Adult Single Bus Trip 3"/>
    <x v="0"/>
    <n v="11597"/>
  </r>
  <r>
    <x v="36"/>
    <s v="Child/Youth"/>
    <x v="0"/>
    <n v="1578565"/>
  </r>
  <r>
    <x v="36"/>
    <s v="Child/Youth Single Bus Trip 1"/>
    <x v="0"/>
    <n v="29117"/>
  </r>
  <r>
    <x v="36"/>
    <s v="Child/Youth Single Bus Trip 2"/>
    <x v="0"/>
    <n v="21315"/>
  </r>
  <r>
    <x v="36"/>
    <s v="Child/Youth Single Bus Trip 3"/>
    <x v="0"/>
    <n v="5469"/>
  </r>
  <r>
    <x v="36"/>
    <s v="Concession"/>
    <x v="0"/>
    <n v="1578007"/>
  </r>
  <r>
    <x v="36"/>
    <s v="Day Pass Child/Youth w/o SAF"/>
    <x v="0"/>
    <n v="61"/>
  </r>
  <r>
    <x v="36"/>
    <s v="Day Pass without SAF"/>
    <x v="0"/>
    <n v="900"/>
  </r>
  <r>
    <x v="36"/>
    <s v="Employee"/>
    <x v="0"/>
    <n v="95618"/>
  </r>
  <r>
    <x v="36"/>
    <s v="Free Travel"/>
    <x v="0"/>
    <n v="42759"/>
  </r>
  <r>
    <x v="36"/>
    <s v="On Demand"/>
    <x v="0"/>
    <n v="22584"/>
  </r>
  <r>
    <x v="36"/>
    <s v="School Student"/>
    <x v="0"/>
    <n v="1644170"/>
  </r>
  <r>
    <x v="36"/>
    <s v="Senior/Pensioner"/>
    <x v="0"/>
    <n v="4334952"/>
  </r>
  <r>
    <x v="36"/>
    <s v="Adult"/>
    <x v="1"/>
    <n v="790593"/>
  </r>
  <r>
    <x v="36"/>
    <s v="CTP"/>
    <x v="1"/>
    <n v="50349"/>
  </r>
  <r>
    <x v="36"/>
    <s v="Child/Youth"/>
    <x v="1"/>
    <n v="148948"/>
  </r>
  <r>
    <x v="36"/>
    <s v="Concession"/>
    <x v="1"/>
    <n v="22642"/>
  </r>
  <r>
    <x v="36"/>
    <s v="Day Pass Child/Youth w/o SAF"/>
    <x v="1"/>
    <n v="83"/>
  </r>
  <r>
    <x v="36"/>
    <s v="Day Pass without SAF"/>
    <x v="1"/>
    <n v="10"/>
  </r>
  <r>
    <x v="36"/>
    <s v="Employee"/>
    <x v="1"/>
    <n v="4647"/>
  </r>
  <r>
    <x v="36"/>
    <s v="Free Travel"/>
    <x v="1"/>
    <n v="1954"/>
  </r>
  <r>
    <x v="36"/>
    <s v="School Student"/>
    <x v="1"/>
    <n v="1752"/>
  </r>
  <r>
    <x v="36"/>
    <s v="Senior/Pensioner"/>
    <x v="1"/>
    <n v="185699"/>
  </r>
  <r>
    <x v="36"/>
    <s v="Sgl Trip Ferry Adult"/>
    <x v="1"/>
    <n v="35865"/>
  </r>
  <r>
    <x v="36"/>
    <s v="Sgl Trip Ferry Child/Youth"/>
    <x v="1"/>
    <n v="15817"/>
  </r>
  <r>
    <x v="36"/>
    <s v="Adult"/>
    <x v="2"/>
    <n v="669127"/>
  </r>
  <r>
    <x v="36"/>
    <s v="CTP"/>
    <x v="2"/>
    <n v="37082"/>
  </r>
  <r>
    <x v="36"/>
    <s v="Child/Youth"/>
    <x v="2"/>
    <n v="65526"/>
  </r>
  <r>
    <x v="36"/>
    <s v="Concession"/>
    <x v="2"/>
    <n v="33597"/>
  </r>
  <r>
    <x v="36"/>
    <s v="Day Pass without SAF"/>
    <x v="2"/>
    <n v="20"/>
  </r>
  <r>
    <x v="36"/>
    <s v="Employee"/>
    <x v="2"/>
    <n v="1502"/>
  </r>
  <r>
    <x v="36"/>
    <s v="Free Travel"/>
    <x v="2"/>
    <n v="1291"/>
  </r>
  <r>
    <x v="36"/>
    <s v="School Student"/>
    <x v="2"/>
    <n v="4780"/>
  </r>
  <r>
    <x v="36"/>
    <s v="Senior/Pensioner"/>
    <x v="2"/>
    <n v="169509"/>
  </r>
  <r>
    <x v="36"/>
    <s v="Sgl Trip LR Adult"/>
    <x v="2"/>
    <n v="2885"/>
  </r>
  <r>
    <x v="36"/>
    <s v="Sgl Trip LR Child/Youth"/>
    <x v="2"/>
    <n v="1653"/>
  </r>
  <r>
    <x v="36"/>
    <s v="Adult"/>
    <x v="4"/>
    <n v="1390001"/>
  </r>
  <r>
    <x v="36"/>
    <s v="CTP"/>
    <x v="4"/>
    <n v="36923"/>
  </r>
  <r>
    <x v="36"/>
    <s v="Child/Youth"/>
    <x v="4"/>
    <n v="164783"/>
  </r>
  <r>
    <x v="36"/>
    <s v="Concession"/>
    <x v="4"/>
    <n v="134159"/>
  </r>
  <r>
    <x v="36"/>
    <s v="Day Pass Child/Youth w/o SAF"/>
    <x v="4"/>
    <n v="1"/>
  </r>
  <r>
    <x v="36"/>
    <s v="Day Pass without SAF"/>
    <x v="4"/>
    <n v="22"/>
  </r>
  <r>
    <x v="36"/>
    <s v="Employee"/>
    <x v="4"/>
    <n v="10328"/>
  </r>
  <r>
    <x v="36"/>
    <s v="Free Travel"/>
    <x v="4"/>
    <n v="2159"/>
  </r>
  <r>
    <x v="36"/>
    <s v="School Student"/>
    <x v="4"/>
    <n v="45109"/>
  </r>
  <r>
    <x v="36"/>
    <s v="Senior/Pensioner"/>
    <x v="4"/>
    <n v="155990"/>
  </r>
  <r>
    <x v="36"/>
    <s v="Sgl Trip Rail Adult"/>
    <x v="4"/>
    <n v="10958"/>
  </r>
  <r>
    <x v="36"/>
    <s v="Sgl Trip Rail Child/Youth"/>
    <x v="4"/>
    <n v="8387"/>
  </r>
  <r>
    <x v="36"/>
    <s v="Adult"/>
    <x v="3"/>
    <n v="25768860"/>
  </r>
  <r>
    <x v="36"/>
    <s v="CTP"/>
    <x v="3"/>
    <n v="890275"/>
  </r>
  <r>
    <x v="36"/>
    <s v="Child/Youth"/>
    <x v="3"/>
    <n v="1380506"/>
  </r>
  <r>
    <x v="36"/>
    <s v="Concession"/>
    <x v="3"/>
    <n v="1800701"/>
  </r>
  <r>
    <x v="36"/>
    <s v="Day Pass Child/Youth w/o SAF"/>
    <x v="3"/>
    <n v="27"/>
  </r>
  <r>
    <x v="36"/>
    <s v="Day Pass without SAF"/>
    <x v="3"/>
    <n v="797"/>
  </r>
  <r>
    <x v="36"/>
    <s v="Employee"/>
    <x v="3"/>
    <n v="351847"/>
  </r>
  <r>
    <x v="36"/>
    <s v="Free Travel"/>
    <x v="3"/>
    <n v="35294"/>
  </r>
  <r>
    <x v="36"/>
    <s v="School Student"/>
    <x v="3"/>
    <n v="646026"/>
  </r>
  <r>
    <x v="36"/>
    <s v="Senior/Pensioner"/>
    <x v="3"/>
    <n v="2993919"/>
  </r>
  <r>
    <x v="36"/>
    <s v="Sgl Trip Rail Adult"/>
    <x v="3"/>
    <n v="212479"/>
  </r>
  <r>
    <x v="36"/>
    <s v="Sgl Trip Rail Child/Youth"/>
    <x v="3"/>
    <n v="67391"/>
  </r>
  <r>
    <x v="37"/>
    <s v="Adult"/>
    <x v="0"/>
    <n v="15900861"/>
  </r>
  <r>
    <x v="37"/>
    <s v="Adult Single Bus Trip 1"/>
    <x v="0"/>
    <n v="79217"/>
  </r>
  <r>
    <x v="37"/>
    <s v="Adult Single Bus Trip 2"/>
    <x v="0"/>
    <n v="40983"/>
  </r>
  <r>
    <x v="37"/>
    <s v="Adult Single Bus Trip 3"/>
    <x v="0"/>
    <n v="10600"/>
  </r>
  <r>
    <x v="37"/>
    <s v="CTP"/>
    <x v="0"/>
    <n v="45975"/>
  </r>
  <r>
    <x v="37"/>
    <s v="Child/Youth"/>
    <x v="0"/>
    <n v="1260371"/>
  </r>
  <r>
    <x v="37"/>
    <s v="Child/Youth Single Bus Trip 1"/>
    <x v="0"/>
    <n v="19594"/>
  </r>
  <r>
    <x v="37"/>
    <s v="Child/Youth Single Bus Trip 2"/>
    <x v="0"/>
    <n v="12843"/>
  </r>
  <r>
    <x v="37"/>
    <s v="Child/Youth Single Bus Trip 3"/>
    <x v="0"/>
    <n v="3384"/>
  </r>
  <r>
    <x v="37"/>
    <s v="Concession"/>
    <x v="0"/>
    <n v="1914213"/>
  </r>
  <r>
    <x v="37"/>
    <s v="Day Pass Child/Youth w/o SAF"/>
    <x v="0"/>
    <n v="113"/>
  </r>
  <r>
    <x v="37"/>
    <s v="Day Pass without SAF"/>
    <x v="0"/>
    <n v="905"/>
  </r>
  <r>
    <x v="37"/>
    <s v="Employee"/>
    <x v="0"/>
    <n v="94889"/>
  </r>
  <r>
    <x v="37"/>
    <s v="Free Travel"/>
    <x v="0"/>
    <n v="42665"/>
  </r>
  <r>
    <x v="37"/>
    <s v="On Demand"/>
    <x v="0"/>
    <n v="23135"/>
  </r>
  <r>
    <x v="37"/>
    <s v="School Student"/>
    <x v="0"/>
    <n v="3182243"/>
  </r>
  <r>
    <x v="37"/>
    <s v="Senior/Pensioner"/>
    <x v="0"/>
    <n v="4320530"/>
  </r>
  <r>
    <x v="37"/>
    <s v="Adult"/>
    <x v="1"/>
    <n v="724780"/>
  </r>
  <r>
    <x v="37"/>
    <s v="CTP"/>
    <x v="1"/>
    <n v="58355"/>
  </r>
  <r>
    <x v="37"/>
    <s v="Child/Youth"/>
    <x v="1"/>
    <n v="80831"/>
  </r>
  <r>
    <x v="37"/>
    <s v="Concession"/>
    <x v="1"/>
    <n v="22873"/>
  </r>
  <r>
    <x v="37"/>
    <s v="Day Pass Child/Youth w/o SAF"/>
    <x v="1"/>
    <n v="349"/>
  </r>
  <r>
    <x v="37"/>
    <s v="Day Pass without SAF"/>
    <x v="1"/>
    <n v="28"/>
  </r>
  <r>
    <x v="37"/>
    <s v="Employee"/>
    <x v="1"/>
    <n v="3847"/>
  </r>
  <r>
    <x v="37"/>
    <s v="Free Travel"/>
    <x v="1"/>
    <n v="1954"/>
  </r>
  <r>
    <x v="37"/>
    <s v="School Student"/>
    <x v="1"/>
    <n v="3467"/>
  </r>
  <r>
    <x v="37"/>
    <s v="Senior/Pensioner"/>
    <x v="1"/>
    <n v="168724"/>
  </r>
  <r>
    <x v="37"/>
    <s v="Sgl Trip Ferry Adult"/>
    <x v="1"/>
    <n v="31988"/>
  </r>
  <r>
    <x v="37"/>
    <s v="Sgl Trip Ferry Child/Youth"/>
    <x v="1"/>
    <n v="8804"/>
  </r>
  <r>
    <x v="37"/>
    <s v="Adult"/>
    <x v="2"/>
    <n v="673022"/>
  </r>
  <r>
    <x v="37"/>
    <s v="CTP"/>
    <x v="2"/>
    <n v="43751"/>
  </r>
  <r>
    <x v="37"/>
    <s v="Child/Youth"/>
    <x v="2"/>
    <n v="45254"/>
  </r>
  <r>
    <x v="37"/>
    <s v="Concession"/>
    <x v="2"/>
    <n v="41982"/>
  </r>
  <r>
    <x v="37"/>
    <s v="Day Pass without SAF"/>
    <x v="2"/>
    <n v="15"/>
  </r>
  <r>
    <x v="37"/>
    <s v="Employee"/>
    <x v="2"/>
    <n v="1651"/>
  </r>
  <r>
    <x v="37"/>
    <s v="Free Travel"/>
    <x v="2"/>
    <n v="1325"/>
  </r>
  <r>
    <x v="37"/>
    <s v="School Student"/>
    <x v="2"/>
    <n v="10457"/>
  </r>
  <r>
    <x v="37"/>
    <s v="Senior/Pensioner"/>
    <x v="2"/>
    <n v="168039"/>
  </r>
  <r>
    <x v="37"/>
    <s v="Sgl Trip LR Adult"/>
    <x v="2"/>
    <n v="2823"/>
  </r>
  <r>
    <x v="37"/>
    <s v="Sgl Trip LR Child/Youth"/>
    <x v="2"/>
    <n v="727"/>
  </r>
  <r>
    <x v="37"/>
    <s v="Adult"/>
    <x v="4"/>
    <n v="1437608"/>
  </r>
  <r>
    <x v="37"/>
    <s v="CTP"/>
    <x v="4"/>
    <n v="56587"/>
  </r>
  <r>
    <x v="37"/>
    <s v="Child/Youth"/>
    <x v="4"/>
    <n v="85909"/>
  </r>
  <r>
    <x v="37"/>
    <s v="Concession"/>
    <x v="4"/>
    <n v="251912"/>
  </r>
  <r>
    <x v="37"/>
    <s v="Day Pass Child/Youth w/o SAF"/>
    <x v="4"/>
    <n v="2"/>
  </r>
  <r>
    <x v="37"/>
    <s v="Day Pass without SAF"/>
    <x v="4"/>
    <n v="11"/>
  </r>
  <r>
    <x v="37"/>
    <s v="Employee"/>
    <x v="4"/>
    <n v="9627"/>
  </r>
  <r>
    <x v="37"/>
    <s v="Free Travel"/>
    <x v="4"/>
    <n v="1974"/>
  </r>
  <r>
    <x v="37"/>
    <s v="School Student"/>
    <x v="4"/>
    <n v="93320"/>
  </r>
  <r>
    <x v="37"/>
    <s v="Senior/Pensioner"/>
    <x v="4"/>
    <n v="135069"/>
  </r>
  <r>
    <x v="37"/>
    <s v="Sgl Trip Rail Adult"/>
    <x v="4"/>
    <n v="8621"/>
  </r>
  <r>
    <x v="37"/>
    <s v="Sgl Trip Rail Child/Youth"/>
    <x v="4"/>
    <n v="3949"/>
  </r>
  <r>
    <x v="37"/>
    <s v="Adult"/>
    <x v="3"/>
    <n v="25583771"/>
  </r>
  <r>
    <x v="37"/>
    <s v="CTP"/>
    <x v="3"/>
    <n v="1113001"/>
  </r>
  <r>
    <x v="37"/>
    <s v="Child/Youth"/>
    <x v="3"/>
    <n v="948560"/>
  </r>
  <r>
    <x v="37"/>
    <s v="Concession"/>
    <x v="3"/>
    <n v="2374111"/>
  </r>
  <r>
    <x v="37"/>
    <s v="Day Pass Child/Youth w/o SAF"/>
    <x v="3"/>
    <n v="33"/>
  </r>
  <r>
    <x v="37"/>
    <s v="Day Pass without SAF"/>
    <x v="3"/>
    <n v="939"/>
  </r>
  <r>
    <x v="37"/>
    <s v="Employee"/>
    <x v="3"/>
    <n v="349886"/>
  </r>
  <r>
    <x v="37"/>
    <s v="Free Travel"/>
    <x v="3"/>
    <n v="35716"/>
  </r>
  <r>
    <x v="37"/>
    <s v="School Student"/>
    <x v="3"/>
    <n v="1273508"/>
  </r>
  <r>
    <x v="37"/>
    <s v="Senior/Pensioner"/>
    <x v="3"/>
    <n v="2993017"/>
  </r>
  <r>
    <x v="37"/>
    <s v="Sgl Trip Rail Adult"/>
    <x v="3"/>
    <n v="210421"/>
  </r>
  <r>
    <x v="37"/>
    <s v="Sgl Trip Rail Child/Youth"/>
    <x v="3"/>
    <n v="44548"/>
  </r>
  <r>
    <x v="38"/>
    <s v="Adult"/>
    <x v="0"/>
    <n v="15217496"/>
  </r>
  <r>
    <x v="38"/>
    <s v="Adult Single Bus Trip 1"/>
    <x v="0"/>
    <n v="69894"/>
  </r>
  <r>
    <x v="38"/>
    <s v="Adult Single Bus Trip 2"/>
    <x v="0"/>
    <n v="35769"/>
  </r>
  <r>
    <x v="38"/>
    <s v="Adult Single Bus Trip 3"/>
    <x v="0"/>
    <n v="8661"/>
  </r>
  <r>
    <x v="38"/>
    <s v="CTP"/>
    <x v="0"/>
    <n v="286305"/>
  </r>
  <r>
    <x v="38"/>
    <s v="Child/Youth"/>
    <x v="0"/>
    <n v="1230301"/>
  </r>
  <r>
    <x v="38"/>
    <s v="Child/Youth Single Bus Trip 1"/>
    <x v="0"/>
    <n v="18939"/>
  </r>
  <r>
    <x v="38"/>
    <s v="Child/Youth Single Bus Trip 2"/>
    <x v="0"/>
    <n v="12737"/>
  </r>
  <r>
    <x v="38"/>
    <s v="Child/Youth Single Bus Trip 3"/>
    <x v="0"/>
    <n v="3586"/>
  </r>
  <r>
    <x v="38"/>
    <s v="Concession"/>
    <x v="0"/>
    <n v="1651851"/>
  </r>
  <r>
    <x v="38"/>
    <s v="Day Pass Child/Youth w/o SAF"/>
    <x v="0"/>
    <n v="64"/>
  </r>
  <r>
    <x v="38"/>
    <s v="Day Pass without SAF"/>
    <x v="0"/>
    <n v="965"/>
  </r>
  <r>
    <x v="38"/>
    <s v="Employee"/>
    <x v="0"/>
    <n v="91530"/>
  </r>
  <r>
    <x v="38"/>
    <s v="Free Travel"/>
    <x v="0"/>
    <n v="39795"/>
  </r>
  <r>
    <x v="38"/>
    <s v="On Demand"/>
    <x v="0"/>
    <n v="23624"/>
  </r>
  <r>
    <x v="38"/>
    <s v="School Student"/>
    <x v="0"/>
    <n v="2788612"/>
  </r>
  <r>
    <x v="38"/>
    <s v="Senior/Pensioner"/>
    <x v="0"/>
    <n v="4146158"/>
  </r>
  <r>
    <x v="38"/>
    <s v="Adult"/>
    <x v="1"/>
    <n v="748378"/>
  </r>
  <r>
    <x v="38"/>
    <s v="CTP"/>
    <x v="1"/>
    <n v="81461"/>
  </r>
  <r>
    <x v="38"/>
    <s v="Child/Youth"/>
    <x v="1"/>
    <n v="83066"/>
  </r>
  <r>
    <x v="38"/>
    <s v="Concession"/>
    <x v="1"/>
    <n v="23149"/>
  </r>
  <r>
    <x v="38"/>
    <s v="Day Pass Child/Youth w/o SAF"/>
    <x v="1"/>
    <n v="273"/>
  </r>
  <r>
    <x v="38"/>
    <s v="Day Pass without SAF"/>
    <x v="1"/>
    <n v="35"/>
  </r>
  <r>
    <x v="38"/>
    <s v="Employee"/>
    <x v="1"/>
    <n v="4019"/>
  </r>
  <r>
    <x v="38"/>
    <s v="Free Travel"/>
    <x v="1"/>
    <n v="2031"/>
  </r>
  <r>
    <x v="38"/>
    <s v="School Student"/>
    <x v="1"/>
    <n v="2959"/>
  </r>
  <r>
    <x v="38"/>
    <s v="Senior/Pensioner"/>
    <x v="1"/>
    <n v="173519"/>
  </r>
  <r>
    <x v="38"/>
    <s v="Sgl Trip Ferry Adult"/>
    <x v="1"/>
    <n v="29810"/>
  </r>
  <r>
    <x v="38"/>
    <s v="Sgl Trip Ferry Child/Youth"/>
    <x v="1"/>
    <n v="7458"/>
  </r>
  <r>
    <x v="38"/>
    <s v="Adult"/>
    <x v="2"/>
    <n v="575721"/>
  </r>
  <r>
    <x v="38"/>
    <s v="CTP"/>
    <x v="2"/>
    <n v="47200"/>
  </r>
  <r>
    <x v="38"/>
    <s v="Child/Youth"/>
    <x v="2"/>
    <n v="36991"/>
  </r>
  <r>
    <x v="38"/>
    <s v="Concession"/>
    <x v="2"/>
    <n v="34294"/>
  </r>
  <r>
    <x v="38"/>
    <s v="Day Pass Child/Youth w/o SAF"/>
    <x v="2"/>
    <n v="67"/>
  </r>
  <r>
    <x v="38"/>
    <s v="Day Pass without SAF"/>
    <x v="2"/>
    <n v="32"/>
  </r>
  <r>
    <x v="38"/>
    <s v="Employee"/>
    <x v="2"/>
    <n v="1354"/>
  </r>
  <r>
    <x v="38"/>
    <s v="Free Travel"/>
    <x v="2"/>
    <n v="1094"/>
  </r>
  <r>
    <x v="38"/>
    <s v="School Student"/>
    <x v="2"/>
    <n v="9169"/>
  </r>
  <r>
    <x v="38"/>
    <s v="Senior/Pensioner"/>
    <x v="2"/>
    <n v="148612"/>
  </r>
  <r>
    <x v="38"/>
    <s v="Sgl Trip LR Adult"/>
    <x v="2"/>
    <n v="2291"/>
  </r>
  <r>
    <x v="38"/>
    <s v="Sgl Trip LR Child/Youth"/>
    <x v="2"/>
    <n v="543"/>
  </r>
  <r>
    <x v="38"/>
    <s v="Adult"/>
    <x v="4"/>
    <n v="1395364"/>
  </r>
  <r>
    <x v="38"/>
    <s v="CTP"/>
    <x v="4"/>
    <n v="78623"/>
  </r>
  <r>
    <x v="38"/>
    <s v="Child/Youth"/>
    <x v="4"/>
    <n v="87350"/>
  </r>
  <r>
    <x v="38"/>
    <s v="Concession"/>
    <x v="4"/>
    <n v="188829"/>
  </r>
  <r>
    <x v="38"/>
    <s v="Day Pass without SAF"/>
    <x v="4"/>
    <n v="8"/>
  </r>
  <r>
    <x v="38"/>
    <s v="Employee"/>
    <x v="4"/>
    <n v="9631"/>
  </r>
  <r>
    <x v="38"/>
    <s v="Free Travel"/>
    <x v="4"/>
    <n v="1872"/>
  </r>
  <r>
    <x v="38"/>
    <s v="School Student"/>
    <x v="4"/>
    <n v="88990"/>
  </r>
  <r>
    <x v="38"/>
    <s v="Senior/Pensioner"/>
    <x v="4"/>
    <n v="127687"/>
  </r>
  <r>
    <x v="38"/>
    <s v="Sgl Trip Rail Adult"/>
    <x v="4"/>
    <n v="7742"/>
  </r>
  <r>
    <x v="38"/>
    <s v="Sgl Trip Rail Child/Youth"/>
    <x v="4"/>
    <n v="3881"/>
  </r>
  <r>
    <x v="38"/>
    <s v="Adult"/>
    <x v="3"/>
    <n v="24439462"/>
  </r>
  <r>
    <x v="38"/>
    <s v="CTP"/>
    <x v="3"/>
    <n v="1419949"/>
  </r>
  <r>
    <x v="38"/>
    <s v="Child/Youth"/>
    <x v="3"/>
    <n v="958683"/>
  </r>
  <r>
    <x v="38"/>
    <s v="Concession"/>
    <x v="3"/>
    <n v="2030930"/>
  </r>
  <r>
    <x v="38"/>
    <s v="Day Pass Child/Youth w/o SAF"/>
    <x v="3"/>
    <n v="180"/>
  </r>
  <r>
    <x v="38"/>
    <s v="Day Pass without SAF"/>
    <x v="3"/>
    <n v="835"/>
  </r>
  <r>
    <x v="38"/>
    <s v="Employee"/>
    <x v="3"/>
    <n v="335156"/>
  </r>
  <r>
    <x v="38"/>
    <s v="Free Travel"/>
    <x v="3"/>
    <n v="34036"/>
  </r>
  <r>
    <x v="38"/>
    <s v="School Student"/>
    <x v="3"/>
    <n v="1156754"/>
  </r>
  <r>
    <x v="38"/>
    <s v="Senior/Pensioner"/>
    <x v="3"/>
    <n v="2906578"/>
  </r>
  <r>
    <x v="38"/>
    <s v="Sgl Trip Rail Adult"/>
    <x v="3"/>
    <n v="193064"/>
  </r>
  <r>
    <x v="38"/>
    <s v="Sgl Trip Rail Child/Youth"/>
    <x v="3"/>
    <n v="42711"/>
  </r>
  <r>
    <x v="39"/>
    <s v="Adult"/>
    <x v="0"/>
    <n v="15278827"/>
  </r>
  <r>
    <x v="39"/>
    <s v="Adult Single Bus Trip 1"/>
    <x v="0"/>
    <n v="68763"/>
  </r>
  <r>
    <x v="39"/>
    <s v="Adult Single Bus Trip 2"/>
    <x v="0"/>
    <n v="35689"/>
  </r>
  <r>
    <x v="39"/>
    <s v="Adult Single Bus Trip 3"/>
    <x v="0"/>
    <n v="8464"/>
  </r>
  <r>
    <x v="39"/>
    <s v="CTP"/>
    <x v="0"/>
    <n v="1367495"/>
  </r>
  <r>
    <x v="39"/>
    <s v="Child/Youth"/>
    <x v="0"/>
    <n v="1503845"/>
  </r>
  <r>
    <x v="39"/>
    <s v="Child/Youth Single Bus Trip 1"/>
    <x v="0"/>
    <n v="23363"/>
  </r>
  <r>
    <x v="39"/>
    <s v="Child/Youth Single Bus Trip 2"/>
    <x v="0"/>
    <n v="16736"/>
  </r>
  <r>
    <x v="39"/>
    <s v="Child/Youth Single Bus Trip 3"/>
    <x v="0"/>
    <n v="4514"/>
  </r>
  <r>
    <x v="39"/>
    <s v="Concession"/>
    <x v="0"/>
    <n v="1789622"/>
  </r>
  <r>
    <x v="39"/>
    <s v="Day Pass Child/Youth w/o SAF"/>
    <x v="0"/>
    <n v="94"/>
  </r>
  <r>
    <x v="39"/>
    <s v="Day Pass without SAF"/>
    <x v="0"/>
    <n v="1091"/>
  </r>
  <r>
    <x v="39"/>
    <s v="Employee"/>
    <x v="0"/>
    <n v="96225"/>
  </r>
  <r>
    <x v="39"/>
    <s v="Free Travel"/>
    <x v="0"/>
    <n v="42777"/>
  </r>
  <r>
    <x v="39"/>
    <s v="On Demand"/>
    <x v="0"/>
    <n v="25895"/>
  </r>
  <r>
    <x v="39"/>
    <s v="School Student"/>
    <x v="0"/>
    <n v="1933260"/>
  </r>
  <r>
    <x v="39"/>
    <s v="Senior/Pensioner"/>
    <x v="0"/>
    <n v="4467434"/>
  </r>
  <r>
    <x v="39"/>
    <s v="Adult"/>
    <x v="1"/>
    <n v="782712"/>
  </r>
  <r>
    <x v="39"/>
    <s v="CTP"/>
    <x v="1"/>
    <n v="144705"/>
  </r>
  <r>
    <x v="39"/>
    <s v="Child/Youth"/>
    <x v="1"/>
    <n v="121078"/>
  </r>
  <r>
    <x v="39"/>
    <s v="Concession"/>
    <x v="1"/>
    <n v="23124"/>
  </r>
  <r>
    <x v="39"/>
    <s v="Day Pass Child/Youth w/o SAF"/>
    <x v="1"/>
    <n v="528"/>
  </r>
  <r>
    <x v="39"/>
    <s v="Day Pass without SAF"/>
    <x v="1"/>
    <n v="76"/>
  </r>
  <r>
    <x v="39"/>
    <s v="Employee"/>
    <x v="1"/>
    <n v="5071"/>
  </r>
  <r>
    <x v="39"/>
    <s v="Free Travel"/>
    <x v="1"/>
    <n v="2311"/>
  </r>
  <r>
    <x v="39"/>
    <s v="School Student"/>
    <x v="1"/>
    <n v="2381"/>
  </r>
  <r>
    <x v="39"/>
    <s v="Senior/Pensioner"/>
    <x v="1"/>
    <n v="211866"/>
  </r>
  <r>
    <x v="39"/>
    <s v="Sgl Trip Ferry Adult"/>
    <x v="1"/>
    <n v="36475"/>
  </r>
  <r>
    <x v="39"/>
    <s v="Sgl Trip Ferry Child/Youth"/>
    <x v="1"/>
    <n v="10120"/>
  </r>
  <r>
    <x v="39"/>
    <s v="Adult"/>
    <x v="2"/>
    <n v="631702"/>
  </r>
  <r>
    <x v="39"/>
    <s v="CTP"/>
    <x v="2"/>
    <n v="82384"/>
  </r>
  <r>
    <x v="39"/>
    <s v="Child/Youth"/>
    <x v="2"/>
    <n v="56750"/>
  </r>
  <r>
    <x v="39"/>
    <s v="Concession"/>
    <x v="2"/>
    <n v="36384"/>
  </r>
  <r>
    <x v="39"/>
    <s v="Day Pass Child/Youth w/o SAF"/>
    <x v="2"/>
    <n v="13"/>
  </r>
  <r>
    <x v="39"/>
    <s v="Day Pass without SAF"/>
    <x v="2"/>
    <n v="20"/>
  </r>
  <r>
    <x v="39"/>
    <s v="Employee"/>
    <x v="2"/>
    <n v="1756"/>
  </r>
  <r>
    <x v="39"/>
    <s v="Free Travel"/>
    <x v="2"/>
    <n v="1323"/>
  </r>
  <r>
    <x v="39"/>
    <s v="School Student"/>
    <x v="2"/>
    <n v="6472"/>
  </r>
  <r>
    <x v="39"/>
    <s v="Senior/Pensioner"/>
    <x v="2"/>
    <n v="178727"/>
  </r>
  <r>
    <x v="39"/>
    <s v="Sgl Trip LR Adult"/>
    <x v="2"/>
    <n v="2286"/>
  </r>
  <r>
    <x v="39"/>
    <s v="Sgl Trip LR Child/Youth"/>
    <x v="2"/>
    <n v="848"/>
  </r>
  <r>
    <x v="39"/>
    <s v="Adult"/>
    <x v="4"/>
    <n v="1461547"/>
  </r>
  <r>
    <x v="39"/>
    <s v="CTP"/>
    <x v="4"/>
    <n v="148911"/>
  </r>
  <r>
    <x v="39"/>
    <s v="Child/Youth"/>
    <x v="4"/>
    <n v="139949"/>
  </r>
  <r>
    <x v="39"/>
    <s v="Concession"/>
    <x v="4"/>
    <n v="234295"/>
  </r>
  <r>
    <x v="39"/>
    <s v="Day Pass without SAF"/>
    <x v="4"/>
    <n v="12"/>
  </r>
  <r>
    <x v="39"/>
    <s v="Employee"/>
    <x v="4"/>
    <n v="9796"/>
  </r>
  <r>
    <x v="39"/>
    <s v="Free Travel"/>
    <x v="4"/>
    <n v="1994"/>
  </r>
  <r>
    <x v="39"/>
    <s v="School Student"/>
    <x v="4"/>
    <n v="58308"/>
  </r>
  <r>
    <x v="39"/>
    <s v="Senior/Pensioner"/>
    <x v="4"/>
    <n v="139063"/>
  </r>
  <r>
    <x v="39"/>
    <s v="Sgl Trip Rail Adult"/>
    <x v="4"/>
    <n v="7919"/>
  </r>
  <r>
    <x v="39"/>
    <s v="Sgl Trip Rail Child/Youth"/>
    <x v="4"/>
    <n v="5122"/>
  </r>
  <r>
    <x v="39"/>
    <s v="Adult"/>
    <x v="3"/>
    <n v="24651070"/>
  </r>
  <r>
    <x v="39"/>
    <s v="CTP"/>
    <x v="3"/>
    <n v="2485677"/>
  </r>
  <r>
    <x v="39"/>
    <s v="Child/Youth"/>
    <x v="3"/>
    <n v="1238755"/>
  </r>
  <r>
    <x v="39"/>
    <s v="Concession"/>
    <x v="3"/>
    <n v="2075291"/>
  </r>
  <r>
    <x v="39"/>
    <s v="Day Pass Child/Youth w/o SAF"/>
    <x v="3"/>
    <n v="258"/>
  </r>
  <r>
    <x v="39"/>
    <s v="Day Pass without SAF"/>
    <x v="3"/>
    <n v="895"/>
  </r>
  <r>
    <x v="39"/>
    <s v="Employee"/>
    <x v="3"/>
    <n v="353157"/>
  </r>
  <r>
    <x v="39"/>
    <s v="Free Travel"/>
    <x v="3"/>
    <n v="36726"/>
  </r>
  <r>
    <x v="39"/>
    <s v="School Student"/>
    <x v="3"/>
    <n v="771963"/>
  </r>
  <r>
    <x v="39"/>
    <s v="Senior/Pensioner"/>
    <x v="3"/>
    <n v="3130129"/>
  </r>
  <r>
    <x v="39"/>
    <s v="Sgl Trip Rail Adult"/>
    <x v="3"/>
    <n v="201464"/>
  </r>
  <r>
    <x v="39"/>
    <s v="Sgl Trip Rail Child/Youth"/>
    <x v="3"/>
    <n v="53099"/>
  </r>
  <r>
    <x v="40"/>
    <s v="Adult"/>
    <x v="0"/>
    <n v="14719303"/>
  </r>
  <r>
    <x v="40"/>
    <s v="Adult Single Bus Trip 1"/>
    <x v="0"/>
    <n v="52753"/>
  </r>
  <r>
    <x v="40"/>
    <s v="Adult Single Bus Trip 2"/>
    <x v="0"/>
    <n v="27310"/>
  </r>
  <r>
    <x v="40"/>
    <s v="Adult Single Bus Trip 3"/>
    <x v="0"/>
    <n v="7189"/>
  </r>
  <r>
    <x v="40"/>
    <s v="CTP"/>
    <x v="0"/>
    <n v="2036680"/>
  </r>
  <r>
    <x v="40"/>
    <s v="Child/Youth"/>
    <x v="0"/>
    <n v="1273847"/>
  </r>
  <r>
    <x v="40"/>
    <s v="Child/Youth Single Bus Trip 1"/>
    <x v="0"/>
    <n v="14456"/>
  </r>
  <r>
    <x v="40"/>
    <s v="Child/Youth Single Bus Trip 2"/>
    <x v="0"/>
    <n v="8991"/>
  </r>
  <r>
    <x v="40"/>
    <s v="Child/Youth Single Bus Trip 3"/>
    <x v="0"/>
    <n v="2881"/>
  </r>
  <r>
    <x v="40"/>
    <s v="Concession"/>
    <x v="0"/>
    <n v="1511797"/>
  </r>
  <r>
    <x v="40"/>
    <s v="Day Pass Child/Youth w/o SAF"/>
    <x v="0"/>
    <n v="81"/>
  </r>
  <r>
    <x v="40"/>
    <s v="Day Pass without SAF"/>
    <x v="0"/>
    <n v="998"/>
  </r>
  <r>
    <x v="40"/>
    <s v="Employee"/>
    <x v="0"/>
    <n v="95973"/>
  </r>
  <r>
    <x v="40"/>
    <s v="Free Travel"/>
    <x v="0"/>
    <n v="42709"/>
  </r>
  <r>
    <x v="40"/>
    <s v="On Demand"/>
    <x v="0"/>
    <n v="26304"/>
  </r>
  <r>
    <x v="40"/>
    <s v="School Student"/>
    <x v="0"/>
    <n v="2787603"/>
  </r>
  <r>
    <x v="40"/>
    <s v="Senior/Pensioner"/>
    <x v="0"/>
    <n v="4444174"/>
  </r>
  <r>
    <x v="40"/>
    <s v="Adult"/>
    <x v="1"/>
    <n v="754173"/>
  </r>
  <r>
    <x v="40"/>
    <s v="CTP"/>
    <x v="1"/>
    <n v="169582"/>
  </r>
  <r>
    <x v="40"/>
    <s v="Child/Youth"/>
    <x v="1"/>
    <n v="73879"/>
  </r>
  <r>
    <x v="40"/>
    <s v="Concession"/>
    <x v="1"/>
    <n v="20952"/>
  </r>
  <r>
    <x v="40"/>
    <s v="Day Pass Child/Youth w/o SAF"/>
    <x v="1"/>
    <n v="431"/>
  </r>
  <r>
    <x v="40"/>
    <s v="Day Pass without SAF"/>
    <x v="1"/>
    <n v="111"/>
  </r>
  <r>
    <x v="40"/>
    <s v="Employee"/>
    <x v="1"/>
    <n v="5303"/>
  </r>
  <r>
    <x v="40"/>
    <s v="Free Travel"/>
    <x v="1"/>
    <n v="2126"/>
  </r>
  <r>
    <x v="40"/>
    <s v="School Student"/>
    <x v="1"/>
    <n v="3425"/>
  </r>
  <r>
    <x v="40"/>
    <s v="Senior/Pensioner"/>
    <x v="1"/>
    <n v="194361"/>
  </r>
  <r>
    <x v="40"/>
    <s v="Sgl Trip Ferry Adult"/>
    <x v="1"/>
    <n v="36807"/>
  </r>
  <r>
    <x v="40"/>
    <s v="Sgl Trip Ferry Child/Youth"/>
    <x v="1"/>
    <n v="5826"/>
  </r>
  <r>
    <x v="40"/>
    <s v="Adult"/>
    <x v="2"/>
    <n v="613974"/>
  </r>
  <r>
    <x v="40"/>
    <s v="CTP"/>
    <x v="2"/>
    <n v="98306"/>
  </r>
  <r>
    <x v="40"/>
    <s v="Child/Youth"/>
    <x v="2"/>
    <n v="46507"/>
  </r>
  <r>
    <x v="40"/>
    <s v="Concession"/>
    <x v="2"/>
    <n v="32785"/>
  </r>
  <r>
    <x v="40"/>
    <s v="Day Pass without SAF"/>
    <x v="2"/>
    <n v="18"/>
  </r>
  <r>
    <x v="40"/>
    <s v="Employee"/>
    <x v="2"/>
    <n v="1751"/>
  </r>
  <r>
    <x v="40"/>
    <s v="Free Travel"/>
    <x v="2"/>
    <n v="1328"/>
  </r>
  <r>
    <x v="40"/>
    <s v="School Student"/>
    <x v="2"/>
    <n v="9377"/>
  </r>
  <r>
    <x v="40"/>
    <s v="Senior/Pensioner"/>
    <x v="2"/>
    <n v="170285"/>
  </r>
  <r>
    <x v="40"/>
    <s v="Sgl Trip LR Adult"/>
    <x v="2"/>
    <n v="1971"/>
  </r>
  <r>
    <x v="40"/>
    <s v="Sgl Trip LR Child/Youth"/>
    <x v="2"/>
    <n v="508"/>
  </r>
  <r>
    <x v="40"/>
    <s v="Adult"/>
    <x v="4"/>
    <n v="1368787"/>
  </r>
  <r>
    <x v="40"/>
    <s v="CTP"/>
    <x v="4"/>
    <n v="174479"/>
  </r>
  <r>
    <x v="40"/>
    <s v="Child/Youth"/>
    <x v="4"/>
    <n v="92154"/>
  </r>
  <r>
    <x v="40"/>
    <s v="Concession"/>
    <x v="4"/>
    <n v="168049"/>
  </r>
  <r>
    <x v="40"/>
    <s v="Day Pass Child/Youth w/o SAF"/>
    <x v="4"/>
    <n v="5"/>
  </r>
  <r>
    <x v="40"/>
    <s v="Day Pass without SAF"/>
    <x v="4"/>
    <n v="17"/>
  </r>
  <r>
    <x v="40"/>
    <s v="Employee"/>
    <x v="4"/>
    <n v="9411"/>
  </r>
  <r>
    <x v="40"/>
    <s v="Free Travel"/>
    <x v="4"/>
    <n v="1906"/>
  </r>
  <r>
    <x v="40"/>
    <s v="School Student"/>
    <x v="4"/>
    <n v="92178"/>
  </r>
  <r>
    <x v="40"/>
    <s v="Senior/Pensioner"/>
    <x v="4"/>
    <n v="130042"/>
  </r>
  <r>
    <x v="40"/>
    <s v="Sgl Trip Rail Adult"/>
    <x v="4"/>
    <n v="7271"/>
  </r>
  <r>
    <x v="40"/>
    <s v="Sgl Trip Rail Child/Youth"/>
    <x v="4"/>
    <n v="3238"/>
  </r>
  <r>
    <x v="40"/>
    <s v="Adult"/>
    <x v="3"/>
    <n v="23606323"/>
  </r>
  <r>
    <x v="40"/>
    <s v="CTP"/>
    <x v="3"/>
    <n v="3041703"/>
  </r>
  <r>
    <x v="40"/>
    <s v="Child/Youth"/>
    <x v="3"/>
    <n v="975672"/>
  </r>
  <r>
    <x v="40"/>
    <s v="Concession"/>
    <x v="3"/>
    <n v="1706591"/>
  </r>
  <r>
    <x v="40"/>
    <s v="Day Pass Child/Youth w/o SAF"/>
    <x v="3"/>
    <n v="429"/>
  </r>
  <r>
    <x v="40"/>
    <s v="Day Pass without SAF"/>
    <x v="3"/>
    <n v="1006"/>
  </r>
  <r>
    <x v="40"/>
    <s v="Employee"/>
    <x v="3"/>
    <n v="350623"/>
  </r>
  <r>
    <x v="40"/>
    <s v="Free Travel"/>
    <x v="3"/>
    <n v="35204"/>
  </r>
  <r>
    <x v="40"/>
    <s v="School Student"/>
    <x v="3"/>
    <n v="1140317"/>
  </r>
  <r>
    <x v="40"/>
    <s v="Senior/Pensioner"/>
    <x v="3"/>
    <n v="3041509"/>
  </r>
  <r>
    <x v="40"/>
    <s v="Sgl Trip Rail Adult"/>
    <x v="3"/>
    <n v="199332"/>
  </r>
  <r>
    <x v="40"/>
    <s v="Sgl Trip Rail Child/Youth"/>
    <x v="3"/>
    <n v="38441"/>
  </r>
  <r>
    <x v="41"/>
    <s v="Adult"/>
    <x v="0"/>
    <n v="12722252"/>
  </r>
  <r>
    <x v="41"/>
    <s v="Adult Single Bus Trip 1"/>
    <x v="0"/>
    <n v="51990"/>
  </r>
  <r>
    <x v="41"/>
    <s v="Adult Single Bus Trip 2"/>
    <x v="0"/>
    <n v="27391"/>
  </r>
  <r>
    <x v="41"/>
    <s v="Adult Single Bus Trip 3"/>
    <x v="0"/>
    <n v="7586"/>
  </r>
  <r>
    <x v="41"/>
    <s v="CTP"/>
    <x v="0"/>
    <n v="2232214"/>
  </r>
  <r>
    <x v="41"/>
    <s v="Child/Youth"/>
    <x v="0"/>
    <n v="1447321"/>
  </r>
  <r>
    <x v="41"/>
    <s v="Child/Youth Single Bus Trip 1"/>
    <x v="0"/>
    <n v="17165"/>
  </r>
  <r>
    <x v="41"/>
    <s v="Child/Youth Single Bus Trip 2"/>
    <x v="0"/>
    <n v="13106"/>
  </r>
  <r>
    <x v="41"/>
    <s v="Child/Youth Single Bus Trip 3"/>
    <x v="0"/>
    <n v="4314"/>
  </r>
  <r>
    <x v="41"/>
    <s v="Concession"/>
    <x v="0"/>
    <n v="1033031"/>
  </r>
  <r>
    <x v="41"/>
    <s v="Day Pass Child/Youth w/o SAF"/>
    <x v="0"/>
    <n v="84"/>
  </r>
  <r>
    <x v="41"/>
    <s v="Day Pass without SAF"/>
    <x v="0"/>
    <n v="850"/>
  </r>
  <r>
    <x v="41"/>
    <s v="Employee"/>
    <x v="0"/>
    <n v="89096"/>
  </r>
  <r>
    <x v="41"/>
    <s v="Free Travel"/>
    <x v="0"/>
    <n v="39503"/>
  </r>
  <r>
    <x v="41"/>
    <s v="On Demand"/>
    <x v="0"/>
    <n v="23818"/>
  </r>
  <r>
    <x v="41"/>
    <s v="School Student"/>
    <x v="0"/>
    <n v="1307381"/>
  </r>
  <r>
    <x v="41"/>
    <s v="Senior/Pensioner"/>
    <x v="0"/>
    <n v="4182665"/>
  </r>
  <r>
    <x v="41"/>
    <s v="Adult"/>
    <x v="1"/>
    <n v="830422"/>
  </r>
  <r>
    <x v="41"/>
    <s v="CTP"/>
    <x v="1"/>
    <n v="216150"/>
  </r>
  <r>
    <x v="41"/>
    <s v="Child/Youth"/>
    <x v="1"/>
    <n v="132933"/>
  </r>
  <r>
    <x v="41"/>
    <s v="Concession"/>
    <x v="1"/>
    <n v="23086"/>
  </r>
  <r>
    <x v="41"/>
    <s v="Day Pass Child/Youth w/o SAF"/>
    <x v="1"/>
    <n v="25"/>
  </r>
  <r>
    <x v="41"/>
    <s v="Day Pass without SAF"/>
    <x v="1"/>
    <n v="79"/>
  </r>
  <r>
    <x v="41"/>
    <s v="Employee"/>
    <x v="1"/>
    <n v="5047"/>
  </r>
  <r>
    <x v="41"/>
    <s v="Free Travel"/>
    <x v="1"/>
    <n v="2168"/>
  </r>
  <r>
    <x v="41"/>
    <s v="School Student"/>
    <x v="1"/>
    <n v="2510"/>
  </r>
  <r>
    <x v="41"/>
    <s v="Senior/Pensioner"/>
    <x v="1"/>
    <n v="182312"/>
  </r>
  <r>
    <x v="41"/>
    <s v="Sgl Trip Ferry Adult"/>
    <x v="1"/>
    <n v="47920"/>
  </r>
  <r>
    <x v="41"/>
    <s v="Sgl Trip Ferry Child/Youth"/>
    <x v="1"/>
    <n v="15074"/>
  </r>
  <r>
    <x v="41"/>
    <s v="Adult"/>
    <x v="2"/>
    <n v="1023861"/>
  </r>
  <r>
    <x v="41"/>
    <s v="CTP"/>
    <x v="2"/>
    <n v="203419"/>
  </r>
  <r>
    <x v="41"/>
    <s v="Child/Youth"/>
    <x v="2"/>
    <n v="118039"/>
  </r>
  <r>
    <x v="41"/>
    <s v="Concession"/>
    <x v="2"/>
    <n v="46274"/>
  </r>
  <r>
    <x v="41"/>
    <s v="Day Pass without SAF"/>
    <x v="2"/>
    <n v="16"/>
  </r>
  <r>
    <x v="41"/>
    <s v="Employee"/>
    <x v="2"/>
    <n v="3226"/>
  </r>
  <r>
    <x v="41"/>
    <s v="Free Travel"/>
    <x v="2"/>
    <n v="2233"/>
  </r>
  <r>
    <x v="41"/>
    <s v="School Student"/>
    <x v="2"/>
    <n v="7486"/>
  </r>
  <r>
    <x v="41"/>
    <s v="Senior/Pensioner"/>
    <x v="2"/>
    <n v="268570"/>
  </r>
  <r>
    <x v="41"/>
    <s v="Sgl Trip LR Adult"/>
    <x v="2"/>
    <n v="7585"/>
  </r>
  <r>
    <x v="41"/>
    <s v="Sgl Trip LR Child/Youth"/>
    <x v="2"/>
    <n v="2907"/>
  </r>
  <r>
    <x v="41"/>
    <s v="Adult"/>
    <x v="4"/>
    <n v="1240804"/>
  </r>
  <r>
    <x v="41"/>
    <s v="CTP"/>
    <x v="4"/>
    <n v="191824"/>
  </r>
  <r>
    <x v="41"/>
    <s v="Child/Youth"/>
    <x v="4"/>
    <n v="151506"/>
  </r>
  <r>
    <x v="41"/>
    <s v="Concession"/>
    <x v="4"/>
    <n v="117858"/>
  </r>
  <r>
    <x v="41"/>
    <s v="Day Pass without SAF"/>
    <x v="4"/>
    <n v="7"/>
  </r>
  <r>
    <x v="41"/>
    <s v="Employee"/>
    <x v="4"/>
    <n v="9472"/>
  </r>
  <r>
    <x v="41"/>
    <s v="Free Travel"/>
    <x v="4"/>
    <n v="1910"/>
  </r>
  <r>
    <x v="41"/>
    <s v="School Student"/>
    <x v="4"/>
    <n v="51793"/>
  </r>
  <r>
    <x v="41"/>
    <s v="Senior/Pensioner"/>
    <x v="4"/>
    <n v="140387"/>
  </r>
  <r>
    <x v="41"/>
    <s v="Sgl Trip Rail Adult"/>
    <x v="4"/>
    <n v="10143"/>
  </r>
  <r>
    <x v="41"/>
    <s v="Sgl Trip Rail Child/Youth"/>
    <x v="4"/>
    <n v="7114"/>
  </r>
  <r>
    <x v="41"/>
    <s v="Adult"/>
    <x v="3"/>
    <n v="20632690"/>
  </r>
  <r>
    <x v="41"/>
    <s v="CTP"/>
    <x v="3"/>
    <n v="3082829"/>
  </r>
  <r>
    <x v="41"/>
    <s v="Child/Youth"/>
    <x v="3"/>
    <n v="1248962"/>
  </r>
  <r>
    <x v="41"/>
    <s v="Concession"/>
    <x v="3"/>
    <n v="1293890"/>
  </r>
  <r>
    <x v="41"/>
    <s v="Day Pass Child/Youth w/o SAF"/>
    <x v="3"/>
    <n v="103"/>
  </r>
  <r>
    <x v="41"/>
    <s v="Day Pass without SAF"/>
    <x v="3"/>
    <n v="841"/>
  </r>
  <r>
    <x v="41"/>
    <s v="Employee"/>
    <x v="3"/>
    <n v="313184"/>
  </r>
  <r>
    <x v="41"/>
    <s v="Free Travel"/>
    <x v="3"/>
    <n v="30754"/>
  </r>
  <r>
    <x v="41"/>
    <s v="School Student"/>
    <x v="3"/>
    <n v="539145"/>
  </r>
  <r>
    <x v="41"/>
    <s v="Senior/Pensioner"/>
    <x v="3"/>
    <n v="2856582"/>
  </r>
  <r>
    <x v="41"/>
    <s v="Sgl Trip Rail Adult"/>
    <x v="3"/>
    <n v="212735"/>
  </r>
  <r>
    <x v="41"/>
    <s v="Sgl Trip Rail Child/Youth"/>
    <x v="3"/>
    <n v="63435"/>
  </r>
  <r>
    <x v="42"/>
    <s v="Adult"/>
    <x v="0"/>
    <n v="12404965"/>
  </r>
  <r>
    <x v="42"/>
    <s v="Adult Single Bus Trip 1"/>
    <x v="0"/>
    <n v="49458"/>
  </r>
  <r>
    <x v="42"/>
    <s v="Adult Single Bus Trip 2"/>
    <x v="0"/>
    <n v="25989"/>
  </r>
  <r>
    <x v="42"/>
    <s v="Adult Single Bus Trip 3"/>
    <x v="0"/>
    <n v="7329"/>
  </r>
  <r>
    <x v="42"/>
    <s v="CTP"/>
    <x v="0"/>
    <n v="2628423"/>
  </r>
  <r>
    <x v="42"/>
    <s v="Child/Youth"/>
    <x v="0"/>
    <n v="1611069"/>
  </r>
  <r>
    <x v="42"/>
    <s v="Child/Youth Single Bus Trip 1"/>
    <x v="0"/>
    <n v="18956"/>
  </r>
  <r>
    <x v="42"/>
    <s v="Child/Youth Single Bus Trip 2"/>
    <x v="0"/>
    <n v="14724"/>
  </r>
  <r>
    <x v="42"/>
    <s v="Child/Youth Single Bus Trip 3"/>
    <x v="0"/>
    <n v="5103"/>
  </r>
  <r>
    <x v="42"/>
    <s v="Concession"/>
    <x v="0"/>
    <n v="910944"/>
  </r>
  <r>
    <x v="42"/>
    <s v="Day Pass Child/Youth w/o SAF"/>
    <x v="0"/>
    <n v="67"/>
  </r>
  <r>
    <x v="42"/>
    <s v="Day Pass without SAF"/>
    <x v="0"/>
    <n v="908"/>
  </r>
  <r>
    <x v="42"/>
    <s v="Employee"/>
    <x v="0"/>
    <n v="86718"/>
  </r>
  <r>
    <x v="42"/>
    <s v="Free Travel"/>
    <x v="0"/>
    <n v="38216"/>
  </r>
  <r>
    <x v="42"/>
    <s v="On Demand"/>
    <x v="0"/>
    <n v="25607"/>
  </r>
  <r>
    <x v="42"/>
    <s v="School Student"/>
    <x v="0"/>
    <n v="336070"/>
  </r>
  <r>
    <x v="42"/>
    <s v="Senior/Pensioner"/>
    <x v="0"/>
    <n v="3965486"/>
  </r>
  <r>
    <x v="42"/>
    <s v="Adult"/>
    <x v="1"/>
    <n v="803124"/>
  </r>
  <r>
    <x v="42"/>
    <s v="CTP"/>
    <x v="1"/>
    <n v="232669"/>
  </r>
  <r>
    <x v="42"/>
    <s v="Child/Youth"/>
    <x v="1"/>
    <n v="180915"/>
  </r>
  <r>
    <x v="42"/>
    <s v="Concession"/>
    <x v="1"/>
    <n v="22170"/>
  </r>
  <r>
    <x v="42"/>
    <s v="Day Pass Child/Youth w/o SAF"/>
    <x v="1"/>
    <n v="4"/>
  </r>
  <r>
    <x v="42"/>
    <s v="Day Pass without SAF"/>
    <x v="1"/>
    <n v="29"/>
  </r>
  <r>
    <x v="42"/>
    <s v="Employee"/>
    <x v="1"/>
    <n v="5270"/>
  </r>
  <r>
    <x v="42"/>
    <s v="Free Travel"/>
    <x v="1"/>
    <n v="2192"/>
  </r>
  <r>
    <x v="42"/>
    <s v="School Student"/>
    <x v="1"/>
    <n v="914"/>
  </r>
  <r>
    <x v="42"/>
    <s v="Senior/Pensioner"/>
    <x v="1"/>
    <n v="208272"/>
  </r>
  <r>
    <x v="42"/>
    <s v="Sgl Trip Ferry Adult"/>
    <x v="1"/>
    <n v="48444"/>
  </r>
  <r>
    <x v="42"/>
    <s v="Sgl Trip Ferry Child/Youth"/>
    <x v="1"/>
    <n v="18322"/>
  </r>
  <r>
    <x v="42"/>
    <s v="Adult"/>
    <x v="2"/>
    <n v="1287340"/>
  </r>
  <r>
    <x v="42"/>
    <s v="CTP"/>
    <x v="2"/>
    <n v="288022"/>
  </r>
  <r>
    <x v="42"/>
    <s v="Child/Youth"/>
    <x v="2"/>
    <n v="185322"/>
  </r>
  <r>
    <x v="42"/>
    <s v="Concession"/>
    <x v="2"/>
    <n v="59744"/>
  </r>
  <r>
    <x v="42"/>
    <s v="Day Pass Child/Youth w/o SAF"/>
    <x v="2"/>
    <n v="2"/>
  </r>
  <r>
    <x v="42"/>
    <s v="Day Pass without SAF"/>
    <x v="2"/>
    <n v="24"/>
  </r>
  <r>
    <x v="42"/>
    <s v="Employee"/>
    <x v="2"/>
    <n v="3301"/>
  </r>
  <r>
    <x v="42"/>
    <s v="Free Travel"/>
    <x v="2"/>
    <n v="2769"/>
  </r>
  <r>
    <x v="42"/>
    <s v="School Student"/>
    <x v="2"/>
    <n v="5056"/>
  </r>
  <r>
    <x v="42"/>
    <s v="Senior/Pensioner"/>
    <x v="2"/>
    <n v="334259"/>
  </r>
  <r>
    <x v="42"/>
    <s v="Sgl Trip LR Adult"/>
    <x v="2"/>
    <n v="10700"/>
  </r>
  <r>
    <x v="42"/>
    <s v="Sgl Trip LR Child/Youth"/>
    <x v="2"/>
    <n v="4367"/>
  </r>
  <r>
    <x v="42"/>
    <s v="Adult"/>
    <x v="4"/>
    <n v="1222213"/>
  </r>
  <r>
    <x v="42"/>
    <s v="CTP"/>
    <x v="4"/>
    <n v="198421"/>
  </r>
  <r>
    <x v="42"/>
    <s v="Child/Youth"/>
    <x v="4"/>
    <n v="173317"/>
  </r>
  <r>
    <x v="42"/>
    <s v="Concession"/>
    <x v="4"/>
    <n v="108098"/>
  </r>
  <r>
    <x v="42"/>
    <s v="Day Pass Child/Youth w/o SAF"/>
    <x v="4"/>
    <n v="2"/>
  </r>
  <r>
    <x v="42"/>
    <s v="Day Pass without SAF"/>
    <x v="4"/>
    <n v="13"/>
  </r>
  <r>
    <x v="42"/>
    <s v="Employee"/>
    <x v="4"/>
    <n v="8277"/>
  </r>
  <r>
    <x v="42"/>
    <s v="Free Travel"/>
    <x v="4"/>
    <n v="1600"/>
  </r>
  <r>
    <x v="42"/>
    <s v="School Student"/>
    <x v="4"/>
    <n v="9594"/>
  </r>
  <r>
    <x v="42"/>
    <s v="Senior/Pensioner"/>
    <x v="4"/>
    <n v="130685"/>
  </r>
  <r>
    <x v="42"/>
    <s v="Sgl Trip Rail Adult"/>
    <x v="4"/>
    <n v="7000"/>
  </r>
  <r>
    <x v="42"/>
    <s v="Sgl Trip Rail Child/Youth"/>
    <x v="4"/>
    <n v="6226"/>
  </r>
  <r>
    <x v="42"/>
    <s v="Adult"/>
    <x v="3"/>
    <n v="20047422"/>
  </r>
  <r>
    <x v="42"/>
    <s v="CTP"/>
    <x v="3"/>
    <n v="3416625"/>
  </r>
  <r>
    <x v="42"/>
    <s v="Child/Youth"/>
    <x v="3"/>
    <n v="1383839"/>
  </r>
  <r>
    <x v="42"/>
    <s v="Concession"/>
    <x v="3"/>
    <n v="1177198"/>
  </r>
  <r>
    <x v="42"/>
    <s v="Day Pass Child/Youth w/o SAF"/>
    <x v="3"/>
    <n v="66"/>
  </r>
  <r>
    <x v="42"/>
    <s v="Day Pass without SAF"/>
    <x v="3"/>
    <n v="886"/>
  </r>
  <r>
    <x v="42"/>
    <s v="Employee"/>
    <x v="3"/>
    <n v="303539"/>
  </r>
  <r>
    <x v="42"/>
    <s v="Free Travel"/>
    <x v="3"/>
    <n v="29692"/>
  </r>
  <r>
    <x v="42"/>
    <s v="School Student"/>
    <x v="3"/>
    <n v="135534"/>
  </r>
  <r>
    <x v="42"/>
    <s v="Senior/Pensioner"/>
    <x v="3"/>
    <n v="2660591"/>
  </r>
  <r>
    <x v="42"/>
    <s v="Sgl Trip Rail Adult"/>
    <x v="3"/>
    <n v="176497"/>
  </r>
  <r>
    <x v="42"/>
    <s v="Sgl Trip Rail Child/Youth"/>
    <x v="3"/>
    <n v="67572"/>
  </r>
  <r>
    <x v="43"/>
    <s v="Adult"/>
    <x v="0"/>
    <n v="12587420"/>
  </r>
  <r>
    <x v="43"/>
    <s v="Adult Single Bus Trip 1"/>
    <x v="0"/>
    <n v="46306"/>
  </r>
  <r>
    <x v="43"/>
    <s v="Adult Single Bus Trip 2"/>
    <x v="0"/>
    <n v="23497"/>
  </r>
  <r>
    <x v="43"/>
    <s v="Adult Single Bus Trip 3"/>
    <x v="0"/>
    <n v="6781"/>
  </r>
  <r>
    <x v="43"/>
    <s v="CTP"/>
    <x v="0"/>
    <n v="2889541"/>
  </r>
  <r>
    <x v="43"/>
    <s v="Child/Youth"/>
    <x v="0"/>
    <n v="1267671"/>
  </r>
  <r>
    <x v="43"/>
    <s v="Child/Youth Single Bus Trip 1"/>
    <x v="0"/>
    <n v="11037"/>
  </r>
  <r>
    <x v="43"/>
    <s v="Child/Youth Single Bus Trip 2"/>
    <x v="0"/>
    <n v="7638"/>
  </r>
  <r>
    <x v="43"/>
    <s v="Child/Youth Single Bus Trip 3"/>
    <x v="0"/>
    <n v="2825"/>
  </r>
  <r>
    <x v="43"/>
    <s v="Concession"/>
    <x v="0"/>
    <n v="1322299"/>
  </r>
  <r>
    <x v="43"/>
    <s v="Day Pass Child/Youth w/o SAF"/>
    <x v="0"/>
    <n v="48"/>
  </r>
  <r>
    <x v="43"/>
    <s v="Day Pass without SAF"/>
    <x v="0"/>
    <n v="1070"/>
  </r>
  <r>
    <x v="43"/>
    <s v="Employee"/>
    <x v="0"/>
    <n v="88938"/>
  </r>
  <r>
    <x v="43"/>
    <s v="Free Travel"/>
    <x v="0"/>
    <n v="39465"/>
  </r>
  <r>
    <x v="43"/>
    <s v="On Demand"/>
    <x v="0"/>
    <n v="25615"/>
  </r>
  <r>
    <x v="43"/>
    <s v="School Student"/>
    <x v="0"/>
    <n v="2961680"/>
  </r>
  <r>
    <x v="43"/>
    <s v="Senior/Pensioner"/>
    <x v="0"/>
    <n v="3924662"/>
  </r>
  <r>
    <x v="43"/>
    <s v="Adult"/>
    <x v="1"/>
    <n v="594851"/>
  </r>
  <r>
    <x v="43"/>
    <s v="CTP"/>
    <x v="1"/>
    <n v="192978"/>
  </r>
  <r>
    <x v="43"/>
    <s v="Child/Youth"/>
    <x v="1"/>
    <n v="47403"/>
  </r>
  <r>
    <x v="43"/>
    <s v="Concession"/>
    <x v="1"/>
    <n v="19386"/>
  </r>
  <r>
    <x v="43"/>
    <s v="Day Pass without SAF"/>
    <x v="1"/>
    <n v="21"/>
  </r>
  <r>
    <x v="43"/>
    <s v="Employee"/>
    <x v="1"/>
    <n v="4206"/>
  </r>
  <r>
    <x v="43"/>
    <s v="Free Travel"/>
    <x v="1"/>
    <n v="1854"/>
  </r>
  <r>
    <x v="43"/>
    <s v="School Student"/>
    <x v="1"/>
    <n v="6360"/>
  </r>
  <r>
    <x v="43"/>
    <s v="Senior/Pensioner"/>
    <x v="1"/>
    <n v="160799"/>
  </r>
  <r>
    <x v="43"/>
    <s v="Sgl Trip Ferry Adult"/>
    <x v="1"/>
    <n v="31263"/>
  </r>
  <r>
    <x v="43"/>
    <s v="Sgl Trip Ferry Child/Youth"/>
    <x v="1"/>
    <n v="4187"/>
  </r>
  <r>
    <x v="43"/>
    <s v="Adult"/>
    <x v="2"/>
    <n v="1153361"/>
  </r>
  <r>
    <x v="43"/>
    <s v="CTP"/>
    <x v="2"/>
    <n v="288259"/>
  </r>
  <r>
    <x v="43"/>
    <s v="Child/Youth"/>
    <x v="2"/>
    <n v="74902"/>
  </r>
  <r>
    <x v="43"/>
    <s v="Concession"/>
    <x v="2"/>
    <n v="90573"/>
  </r>
  <r>
    <x v="43"/>
    <s v="Day Pass without SAF"/>
    <x v="2"/>
    <n v="61"/>
  </r>
  <r>
    <x v="43"/>
    <s v="Employee"/>
    <x v="2"/>
    <n v="2953"/>
  </r>
  <r>
    <x v="43"/>
    <s v="Free Travel"/>
    <x v="2"/>
    <n v="2461"/>
  </r>
  <r>
    <x v="43"/>
    <s v="School Student"/>
    <x v="2"/>
    <n v="50375"/>
  </r>
  <r>
    <x v="43"/>
    <s v="Senior/Pensioner"/>
    <x v="2"/>
    <n v="279333"/>
  </r>
  <r>
    <x v="43"/>
    <s v="Sgl Trip LR Adult"/>
    <x v="2"/>
    <n v="7394"/>
  </r>
  <r>
    <x v="43"/>
    <s v="Sgl Trip LR Child/Youth"/>
    <x v="2"/>
    <n v="1087"/>
  </r>
  <r>
    <x v="43"/>
    <s v="Adult"/>
    <x v="4"/>
    <n v="1210442"/>
  </r>
  <r>
    <x v="43"/>
    <s v="CTP"/>
    <x v="4"/>
    <n v="213212"/>
  </r>
  <r>
    <x v="43"/>
    <s v="Child/Youth"/>
    <x v="4"/>
    <n v="104015"/>
  </r>
  <r>
    <x v="43"/>
    <s v="Concession"/>
    <x v="4"/>
    <n v="148953"/>
  </r>
  <r>
    <x v="43"/>
    <s v="Day Pass without SAF"/>
    <x v="4"/>
    <n v="25"/>
  </r>
  <r>
    <x v="43"/>
    <s v="Employee"/>
    <x v="4"/>
    <n v="9771"/>
  </r>
  <r>
    <x v="43"/>
    <s v="Free Travel"/>
    <x v="4"/>
    <n v="1583"/>
  </r>
  <r>
    <x v="43"/>
    <s v="School Student"/>
    <x v="4"/>
    <n v="95832"/>
  </r>
  <r>
    <x v="43"/>
    <s v="Senior/Pensioner"/>
    <x v="4"/>
    <n v="107389"/>
  </r>
  <r>
    <x v="43"/>
    <s v="Sgl Trip Rail Adult"/>
    <x v="4"/>
    <n v="5660"/>
  </r>
  <r>
    <x v="43"/>
    <s v="Sgl Trip Rail Child/Youth"/>
    <x v="4"/>
    <n v="3213"/>
  </r>
  <r>
    <x v="43"/>
    <s v="Adult"/>
    <x v="3"/>
    <n v="19921172"/>
  </r>
  <r>
    <x v="43"/>
    <s v="CTP"/>
    <x v="3"/>
    <n v="3621285"/>
  </r>
  <r>
    <x v="43"/>
    <s v="Child/Youth"/>
    <x v="3"/>
    <n v="851652"/>
  </r>
  <r>
    <x v="43"/>
    <s v="Concession"/>
    <x v="3"/>
    <n v="1536386"/>
  </r>
  <r>
    <x v="43"/>
    <s v="Day Pass Child/Youth w/o SAF"/>
    <x v="3"/>
    <n v="38"/>
  </r>
  <r>
    <x v="43"/>
    <s v="Day Pass without SAF"/>
    <x v="3"/>
    <n v="1062"/>
  </r>
  <r>
    <x v="43"/>
    <s v="Employee"/>
    <x v="3"/>
    <n v="314197"/>
  </r>
  <r>
    <x v="43"/>
    <s v="Free Travel"/>
    <x v="3"/>
    <n v="31272"/>
  </r>
  <r>
    <x v="43"/>
    <s v="School Student"/>
    <x v="3"/>
    <n v="1164671"/>
  </r>
  <r>
    <x v="43"/>
    <s v="Senior/Pensioner"/>
    <x v="3"/>
    <n v="2533490"/>
  </r>
  <r>
    <x v="43"/>
    <s v="Sgl Trip Rail Adult"/>
    <x v="3"/>
    <n v="159957"/>
  </r>
  <r>
    <x v="43"/>
    <s v="Sgl Trip Rail Child/Youth"/>
    <x v="3"/>
    <n v="33628"/>
  </r>
  <r>
    <x v="44"/>
    <s v="Adult"/>
    <x v="0"/>
    <n v="9373131"/>
  </r>
  <r>
    <x v="44"/>
    <s v="Adult Single Bus Trip 1"/>
    <x v="0"/>
    <n v="27590"/>
  </r>
  <r>
    <x v="44"/>
    <s v="Adult Single Bus Trip 2"/>
    <x v="0"/>
    <n v="13872"/>
  </r>
  <r>
    <x v="44"/>
    <s v="Adult Single Bus Trip 3"/>
    <x v="0"/>
    <n v="4215"/>
  </r>
  <r>
    <x v="44"/>
    <s v="CTP"/>
    <x v="0"/>
    <n v="2271222"/>
  </r>
  <r>
    <x v="44"/>
    <s v="Child/Youth"/>
    <x v="0"/>
    <n v="831831"/>
  </r>
  <r>
    <x v="44"/>
    <s v="Child/Youth Single Bus Trip 1"/>
    <x v="0"/>
    <n v="6788"/>
  </r>
  <r>
    <x v="44"/>
    <s v="Child/Youth Single Bus Trip 2"/>
    <x v="0"/>
    <n v="4348"/>
  </r>
  <r>
    <x v="44"/>
    <s v="Child/Youth Single Bus Trip 3"/>
    <x v="0"/>
    <n v="1689"/>
  </r>
  <r>
    <x v="44"/>
    <s v="Concession"/>
    <x v="0"/>
    <n v="1281861"/>
  </r>
  <r>
    <x v="44"/>
    <s v="Day Pass Child/Youth w/o SAF"/>
    <x v="0"/>
    <n v="61"/>
  </r>
  <r>
    <x v="44"/>
    <s v="Day Pass without SAF"/>
    <x v="0"/>
    <n v="953"/>
  </r>
  <r>
    <x v="44"/>
    <s v="Employee"/>
    <x v="0"/>
    <n v="74277"/>
  </r>
  <r>
    <x v="44"/>
    <s v="Free Travel"/>
    <x v="0"/>
    <n v="30754"/>
  </r>
  <r>
    <x v="44"/>
    <s v="On Demand"/>
    <x v="0"/>
    <n v="19475"/>
  </r>
  <r>
    <x v="44"/>
    <s v="School Student"/>
    <x v="0"/>
    <n v="2180536"/>
  </r>
  <r>
    <x v="44"/>
    <s v="Senior/Pensioner"/>
    <x v="0"/>
    <n v="3068966"/>
  </r>
  <r>
    <x v="44"/>
    <s v="Adult"/>
    <x v="1"/>
    <n v="379294"/>
  </r>
  <r>
    <x v="44"/>
    <s v="CTP"/>
    <x v="1"/>
    <n v="132810"/>
  </r>
  <r>
    <x v="44"/>
    <s v="Child/Youth"/>
    <x v="1"/>
    <n v="26660"/>
  </r>
  <r>
    <x v="44"/>
    <s v="Concession"/>
    <x v="1"/>
    <n v="14976"/>
  </r>
  <r>
    <x v="44"/>
    <s v="Day Pass without SAF"/>
    <x v="1"/>
    <n v="17"/>
  </r>
  <r>
    <x v="44"/>
    <s v="Employee"/>
    <x v="1"/>
    <n v="2832"/>
  </r>
  <r>
    <x v="44"/>
    <s v="Free Travel"/>
    <x v="1"/>
    <n v="1216"/>
  </r>
  <r>
    <x v="44"/>
    <s v="School Student"/>
    <x v="1"/>
    <n v="5374"/>
  </r>
  <r>
    <x v="44"/>
    <s v="Senior/Pensioner"/>
    <x v="1"/>
    <n v="95471"/>
  </r>
  <r>
    <x v="44"/>
    <s v="Sgl Trip Ferry Adult"/>
    <x v="1"/>
    <n v="16082"/>
  </r>
  <r>
    <x v="44"/>
    <s v="Sgl Trip Ferry Child/Youth"/>
    <x v="1"/>
    <n v="2533"/>
  </r>
  <r>
    <x v="44"/>
    <s v="Adult"/>
    <x v="2"/>
    <n v="750599"/>
  </r>
  <r>
    <x v="44"/>
    <s v="CTP"/>
    <x v="2"/>
    <n v="194518"/>
  </r>
  <r>
    <x v="44"/>
    <s v="Child/Youth"/>
    <x v="2"/>
    <n v="36004"/>
  </r>
  <r>
    <x v="44"/>
    <s v="Concession"/>
    <x v="2"/>
    <n v="74522"/>
  </r>
  <r>
    <x v="44"/>
    <s v="Day Pass Child/Youth w/o SAF"/>
    <x v="2"/>
    <n v="1"/>
  </r>
  <r>
    <x v="44"/>
    <s v="Day Pass without SAF"/>
    <x v="2"/>
    <n v="20"/>
  </r>
  <r>
    <x v="44"/>
    <s v="Employee"/>
    <x v="2"/>
    <n v="2236"/>
  </r>
  <r>
    <x v="44"/>
    <s v="Free Travel"/>
    <x v="2"/>
    <n v="1552"/>
  </r>
  <r>
    <x v="44"/>
    <s v="School Student"/>
    <x v="2"/>
    <n v="35191"/>
  </r>
  <r>
    <x v="44"/>
    <s v="Senior/Pensioner"/>
    <x v="2"/>
    <n v="164755"/>
  </r>
  <r>
    <x v="44"/>
    <s v="Sgl Trip LR Adult"/>
    <x v="2"/>
    <n v="4738"/>
  </r>
  <r>
    <x v="44"/>
    <s v="Sgl Trip LR Child/Youth"/>
    <x v="2"/>
    <n v="547"/>
  </r>
  <r>
    <x v="44"/>
    <s v="Adult"/>
    <x v="4"/>
    <n v="870038"/>
  </r>
  <r>
    <x v="44"/>
    <s v="CTP"/>
    <x v="4"/>
    <n v="161357"/>
  </r>
  <r>
    <x v="44"/>
    <s v="Child/Youth"/>
    <x v="4"/>
    <n v="58273"/>
  </r>
  <r>
    <x v="44"/>
    <s v="Concession"/>
    <x v="4"/>
    <n v="169730"/>
  </r>
  <r>
    <x v="44"/>
    <s v="Day Pass without SAF"/>
    <x v="4"/>
    <n v="17"/>
  </r>
  <r>
    <x v="44"/>
    <s v="Employee"/>
    <x v="4"/>
    <n v="8133"/>
  </r>
  <r>
    <x v="44"/>
    <s v="Free Travel"/>
    <x v="4"/>
    <n v="1152"/>
  </r>
  <r>
    <x v="44"/>
    <s v="School Student"/>
    <x v="4"/>
    <n v="67738"/>
  </r>
  <r>
    <x v="44"/>
    <s v="Senior/Pensioner"/>
    <x v="4"/>
    <n v="66483"/>
  </r>
  <r>
    <x v="44"/>
    <s v="Sgl Trip Rail Adult"/>
    <x v="4"/>
    <n v="3309"/>
  </r>
  <r>
    <x v="44"/>
    <s v="Sgl Trip Rail Child/Youth"/>
    <x v="4"/>
    <n v="2270"/>
  </r>
  <r>
    <x v="44"/>
    <s v="Adult"/>
    <x v="3"/>
    <n v="14771583"/>
  </r>
  <r>
    <x v="44"/>
    <s v="CTP"/>
    <x v="3"/>
    <n v="2677062"/>
  </r>
  <r>
    <x v="44"/>
    <s v="Child/Youth"/>
    <x v="3"/>
    <n v="509401"/>
  </r>
  <r>
    <x v="44"/>
    <s v="Concession"/>
    <x v="3"/>
    <n v="1470619"/>
  </r>
  <r>
    <x v="44"/>
    <s v="Day Pass Child/Youth w/o SAF"/>
    <x v="3"/>
    <n v="70"/>
  </r>
  <r>
    <x v="44"/>
    <s v="Day Pass without SAF"/>
    <x v="3"/>
    <n v="915"/>
  </r>
  <r>
    <x v="44"/>
    <s v="Employee"/>
    <x v="3"/>
    <n v="277750"/>
  </r>
  <r>
    <x v="44"/>
    <s v="Free Travel"/>
    <x v="3"/>
    <n v="22363"/>
  </r>
  <r>
    <x v="44"/>
    <s v="School Student"/>
    <x v="3"/>
    <n v="854274"/>
  </r>
  <r>
    <x v="44"/>
    <s v="Senior/Pensioner"/>
    <x v="3"/>
    <n v="1801124"/>
  </r>
  <r>
    <x v="44"/>
    <s v="Sgl Trip Rail Adult"/>
    <x v="3"/>
    <n v="97199"/>
  </r>
  <r>
    <x v="44"/>
    <s v="Sgl Trip Rail Child/Youth"/>
    <x v="3"/>
    <n v="23918"/>
  </r>
  <r>
    <x v="45"/>
    <s v="Adult"/>
    <x v="0"/>
    <n v="3003345"/>
  </r>
  <r>
    <x v="45"/>
    <s v="Adult Single Bus Trip 1"/>
    <x v="0"/>
    <n v="153"/>
  </r>
  <r>
    <x v="45"/>
    <s v="Adult Single Bus Trip 2"/>
    <x v="0"/>
    <n v="71"/>
  </r>
  <r>
    <x v="45"/>
    <s v="Adult Single Bus Trip 3"/>
    <x v="0"/>
    <n v="23"/>
  </r>
  <r>
    <x v="45"/>
    <s v="CTP"/>
    <x v="0"/>
    <n v="734339"/>
  </r>
  <r>
    <x v="45"/>
    <s v="Child/Youth"/>
    <x v="0"/>
    <n v="156022"/>
  </r>
  <r>
    <x v="45"/>
    <s v="Child/Youth Single Bus Trip 1"/>
    <x v="0"/>
    <n v="19"/>
  </r>
  <r>
    <x v="45"/>
    <s v="Child/Youth Single Bus Trip 2"/>
    <x v="0"/>
    <n v="15"/>
  </r>
  <r>
    <x v="45"/>
    <s v="Child/Youth Single Bus Trip 3"/>
    <x v="0"/>
    <n v="7"/>
  </r>
  <r>
    <x v="45"/>
    <s v="Concession"/>
    <x v="0"/>
    <n v="180150"/>
  </r>
  <r>
    <x v="45"/>
    <s v="Day Pass Child/Youth w/o SAF"/>
    <x v="0"/>
    <n v="6"/>
  </r>
  <r>
    <x v="45"/>
    <s v="Day Pass without SAF"/>
    <x v="0"/>
    <n v="444"/>
  </r>
  <r>
    <x v="45"/>
    <s v="Employee"/>
    <x v="0"/>
    <n v="34370"/>
  </r>
  <r>
    <x v="45"/>
    <s v="Free Travel"/>
    <x v="0"/>
    <n v="11618"/>
  </r>
  <r>
    <x v="45"/>
    <s v="On Demand"/>
    <x v="0"/>
    <n v="7039"/>
  </r>
  <r>
    <x v="45"/>
    <s v="School Student"/>
    <x v="0"/>
    <n v="28417"/>
  </r>
  <r>
    <x v="45"/>
    <s v="Senior/Pensioner"/>
    <x v="0"/>
    <n v="1348784"/>
  </r>
  <r>
    <x v="45"/>
    <s v="Adult"/>
    <x v="1"/>
    <n v="46951"/>
  </r>
  <r>
    <x v="45"/>
    <s v="CTP"/>
    <x v="1"/>
    <n v="19718"/>
  </r>
  <r>
    <x v="45"/>
    <s v="Child/Youth"/>
    <x v="1"/>
    <n v="2268"/>
  </r>
  <r>
    <x v="45"/>
    <s v="Concession"/>
    <x v="1"/>
    <n v="1639"/>
  </r>
  <r>
    <x v="45"/>
    <s v="Day Pass without SAF"/>
    <x v="1"/>
    <n v="2"/>
  </r>
  <r>
    <x v="45"/>
    <s v="Employee"/>
    <x v="1"/>
    <n v="1112"/>
  </r>
  <r>
    <x v="45"/>
    <s v="Free Travel"/>
    <x v="1"/>
    <n v="348"/>
  </r>
  <r>
    <x v="45"/>
    <s v="School Student"/>
    <x v="1"/>
    <n v="89"/>
  </r>
  <r>
    <x v="45"/>
    <s v="Senior/Pensioner"/>
    <x v="1"/>
    <n v="18287"/>
  </r>
  <r>
    <x v="45"/>
    <s v="Sgl Trip Ferry Adult"/>
    <x v="1"/>
    <n v="522"/>
  </r>
  <r>
    <x v="45"/>
    <s v="Sgl Trip Ferry Child/Youth"/>
    <x v="1"/>
    <n v="294"/>
  </r>
  <r>
    <x v="45"/>
    <s v="Adult"/>
    <x v="2"/>
    <n v="146481"/>
  </r>
  <r>
    <x v="45"/>
    <s v="CTP"/>
    <x v="2"/>
    <n v="37047"/>
  </r>
  <r>
    <x v="45"/>
    <s v="Child/Youth"/>
    <x v="2"/>
    <n v="3438"/>
  </r>
  <r>
    <x v="45"/>
    <s v="Concession"/>
    <x v="2"/>
    <n v="6589"/>
  </r>
  <r>
    <x v="45"/>
    <s v="Day Pass without SAF"/>
    <x v="2"/>
    <n v="11"/>
  </r>
  <r>
    <x v="45"/>
    <s v="Employee"/>
    <x v="2"/>
    <n v="825"/>
  </r>
  <r>
    <x v="45"/>
    <s v="Free Travel"/>
    <x v="2"/>
    <n v="258"/>
  </r>
  <r>
    <x v="45"/>
    <s v="School Student"/>
    <x v="2"/>
    <n v="237"/>
  </r>
  <r>
    <x v="45"/>
    <s v="Senior/Pensioner"/>
    <x v="2"/>
    <n v="36977"/>
  </r>
  <r>
    <x v="45"/>
    <s v="Sgl Trip LR Adult"/>
    <x v="2"/>
    <n v="122"/>
  </r>
  <r>
    <x v="45"/>
    <s v="Sgl Trip LR Child/Youth"/>
    <x v="2"/>
    <n v="47"/>
  </r>
  <r>
    <x v="45"/>
    <s v="Adult"/>
    <x v="4"/>
    <n v="187366"/>
  </r>
  <r>
    <x v="45"/>
    <s v="CTP"/>
    <x v="4"/>
    <n v="36251"/>
  </r>
  <r>
    <x v="45"/>
    <s v="Child/Youth"/>
    <x v="4"/>
    <n v="5426"/>
  </r>
  <r>
    <x v="45"/>
    <s v="Concession"/>
    <x v="4"/>
    <n v="12484"/>
  </r>
  <r>
    <x v="45"/>
    <s v="Day Pass without SAF"/>
    <x v="4"/>
    <n v="5"/>
  </r>
  <r>
    <x v="45"/>
    <s v="Employee"/>
    <x v="4"/>
    <n v="3234"/>
  </r>
  <r>
    <x v="45"/>
    <s v="Free Travel"/>
    <x v="4"/>
    <n v="194"/>
  </r>
  <r>
    <x v="45"/>
    <s v="School Student"/>
    <x v="4"/>
    <n v="787"/>
  </r>
  <r>
    <x v="45"/>
    <s v="Senior/Pensioner"/>
    <x v="4"/>
    <n v="15988"/>
  </r>
  <r>
    <x v="45"/>
    <s v="Sgl Trip Rail Adult"/>
    <x v="4"/>
    <n v="554"/>
  </r>
  <r>
    <x v="45"/>
    <s v="Sgl Trip Rail Child/Youth"/>
    <x v="4"/>
    <n v="563"/>
  </r>
  <r>
    <x v="45"/>
    <s v="Adult"/>
    <x v="3"/>
    <n v="4344129"/>
  </r>
  <r>
    <x v="45"/>
    <s v="CTP"/>
    <x v="3"/>
    <n v="703420"/>
  </r>
  <r>
    <x v="45"/>
    <s v="Child/Youth"/>
    <x v="3"/>
    <n v="69680"/>
  </r>
  <r>
    <x v="45"/>
    <s v="Concession"/>
    <x v="3"/>
    <n v="169942"/>
  </r>
  <r>
    <x v="45"/>
    <s v="Day Pass Child/Youth w/o SAF"/>
    <x v="3"/>
    <n v="4"/>
  </r>
  <r>
    <x v="45"/>
    <s v="Day Pass without SAF"/>
    <x v="3"/>
    <n v="489"/>
  </r>
  <r>
    <x v="45"/>
    <s v="Employee"/>
    <x v="3"/>
    <n v="155620"/>
  </r>
  <r>
    <x v="45"/>
    <s v="Free Travel"/>
    <x v="3"/>
    <n v="6323"/>
  </r>
  <r>
    <x v="45"/>
    <s v="School Student"/>
    <x v="3"/>
    <n v="7775"/>
  </r>
  <r>
    <x v="45"/>
    <s v="Senior/Pensioner"/>
    <x v="3"/>
    <n v="617589"/>
  </r>
  <r>
    <x v="45"/>
    <s v="Sgl Trip Rail Adult"/>
    <x v="3"/>
    <n v="13577"/>
  </r>
  <r>
    <x v="45"/>
    <s v="Sgl Trip Rail Child/Youth"/>
    <x v="3"/>
    <n v="7177"/>
  </r>
  <r>
    <x v="46"/>
    <s v="Adult"/>
    <x v="0"/>
    <n v="4107310"/>
  </r>
  <r>
    <x v="46"/>
    <s v="Adult Single Bus Trip 1"/>
    <x v="0"/>
    <n v="138"/>
  </r>
  <r>
    <x v="46"/>
    <s v="Adult Single Bus Trip 2"/>
    <x v="0"/>
    <n v="40"/>
  </r>
  <r>
    <x v="46"/>
    <s v="Adult Single Bus Trip 3"/>
    <x v="0"/>
    <n v="25"/>
  </r>
  <r>
    <x v="46"/>
    <s v="CTP"/>
    <x v="0"/>
    <n v="1156729"/>
  </r>
  <r>
    <x v="46"/>
    <s v="Child/Youth"/>
    <x v="0"/>
    <n v="357558"/>
  </r>
  <r>
    <x v="46"/>
    <s v="Child/Youth Single Bus Trip 1"/>
    <x v="0"/>
    <n v="25"/>
  </r>
  <r>
    <x v="46"/>
    <s v="Child/Youth Single Bus Trip 2"/>
    <x v="0"/>
    <n v="8"/>
  </r>
  <r>
    <x v="46"/>
    <s v="Child/Youth Single Bus Trip 3"/>
    <x v="0"/>
    <n v="4"/>
  </r>
  <r>
    <x v="46"/>
    <s v="Concession"/>
    <x v="0"/>
    <n v="289775"/>
  </r>
  <r>
    <x v="46"/>
    <s v="Day Pass Child/Youth w/o SAF"/>
    <x v="0"/>
    <n v="1"/>
  </r>
  <r>
    <x v="46"/>
    <s v="Day Pass without SAF"/>
    <x v="0"/>
    <n v="393"/>
  </r>
  <r>
    <x v="46"/>
    <s v="Employee"/>
    <x v="0"/>
    <n v="41491"/>
  </r>
  <r>
    <x v="46"/>
    <s v="Free Travel"/>
    <x v="0"/>
    <n v="15935"/>
  </r>
  <r>
    <x v="46"/>
    <s v="On Demand"/>
    <x v="0"/>
    <n v="10192"/>
  </r>
  <r>
    <x v="46"/>
    <s v="School Student"/>
    <x v="0"/>
    <n v="727918"/>
  </r>
  <r>
    <x v="46"/>
    <s v="Senior/Pensioner"/>
    <x v="0"/>
    <n v="1842193"/>
  </r>
  <r>
    <x v="46"/>
    <s v="Adult"/>
    <x v="1"/>
    <n v="101720"/>
  </r>
  <r>
    <x v="46"/>
    <s v="CTP"/>
    <x v="1"/>
    <n v="44239"/>
  </r>
  <r>
    <x v="46"/>
    <s v="Child/Youth"/>
    <x v="1"/>
    <n v="7998"/>
  </r>
  <r>
    <x v="46"/>
    <s v="Concession"/>
    <x v="1"/>
    <n v="4289"/>
  </r>
  <r>
    <x v="46"/>
    <s v="Day Pass without SAF"/>
    <x v="1"/>
    <n v="2"/>
  </r>
  <r>
    <x v="46"/>
    <s v="Employee"/>
    <x v="1"/>
    <n v="1370"/>
  </r>
  <r>
    <x v="46"/>
    <s v="Free Travel"/>
    <x v="1"/>
    <n v="551"/>
  </r>
  <r>
    <x v="46"/>
    <s v="School Student"/>
    <x v="1"/>
    <n v="1919"/>
  </r>
  <r>
    <x v="46"/>
    <s v="Senior/Pensioner"/>
    <x v="1"/>
    <n v="39819"/>
  </r>
  <r>
    <x v="46"/>
    <s v="Sgl Trip Ferry Adult"/>
    <x v="1"/>
    <n v="1162"/>
  </r>
  <r>
    <x v="46"/>
    <s v="Sgl Trip Ferry Child/Youth"/>
    <x v="1"/>
    <n v="659"/>
  </r>
  <r>
    <x v="46"/>
    <s v="Adult"/>
    <x v="2"/>
    <n v="254202"/>
  </r>
  <r>
    <x v="46"/>
    <s v="CTP"/>
    <x v="2"/>
    <n v="76246"/>
  </r>
  <r>
    <x v="46"/>
    <s v="Child/Youth"/>
    <x v="2"/>
    <n v="11489"/>
  </r>
  <r>
    <x v="46"/>
    <s v="Concession"/>
    <x v="2"/>
    <n v="14619"/>
  </r>
  <r>
    <x v="46"/>
    <s v="Day Pass without SAF"/>
    <x v="2"/>
    <n v="10"/>
  </r>
  <r>
    <x v="46"/>
    <s v="Employee"/>
    <x v="2"/>
    <n v="1119"/>
  </r>
  <r>
    <x v="46"/>
    <s v="Free Travel"/>
    <x v="2"/>
    <n v="640"/>
  </r>
  <r>
    <x v="46"/>
    <s v="School Student"/>
    <x v="2"/>
    <n v="17905"/>
  </r>
  <r>
    <x v="46"/>
    <s v="Senior/Pensioner"/>
    <x v="2"/>
    <n v="67053"/>
  </r>
  <r>
    <x v="46"/>
    <s v="Sgl Trip LR Adult"/>
    <x v="2"/>
    <n v="387"/>
  </r>
  <r>
    <x v="46"/>
    <s v="Sgl Trip LR Child/Youth"/>
    <x v="2"/>
    <n v="163"/>
  </r>
  <r>
    <x v="46"/>
    <s v="Adult"/>
    <x v="4"/>
    <n v="279666"/>
  </r>
  <r>
    <x v="46"/>
    <s v="CTP"/>
    <x v="4"/>
    <n v="62148"/>
  </r>
  <r>
    <x v="46"/>
    <s v="Child/Youth"/>
    <x v="4"/>
    <n v="18828"/>
  </r>
  <r>
    <x v="46"/>
    <s v="Concession"/>
    <x v="4"/>
    <n v="23677"/>
  </r>
  <r>
    <x v="46"/>
    <s v="Day Pass without SAF"/>
    <x v="4"/>
    <n v="8"/>
  </r>
  <r>
    <x v="46"/>
    <s v="Employee"/>
    <x v="4"/>
    <n v="4482"/>
  </r>
  <r>
    <x v="46"/>
    <s v="Free Travel"/>
    <x v="4"/>
    <n v="375"/>
  </r>
  <r>
    <x v="46"/>
    <s v="School Student"/>
    <x v="4"/>
    <n v="28670"/>
  </r>
  <r>
    <x v="46"/>
    <s v="Senior/Pensioner"/>
    <x v="4"/>
    <n v="29411"/>
  </r>
  <r>
    <x v="46"/>
    <s v="Sgl Trip Rail Adult"/>
    <x v="4"/>
    <n v="841"/>
  </r>
  <r>
    <x v="46"/>
    <s v="Sgl Trip Rail Child/Youth"/>
    <x v="4"/>
    <n v="1221"/>
  </r>
  <r>
    <x v="46"/>
    <s v="Adult"/>
    <x v="3"/>
    <n v="6117204"/>
  </r>
  <r>
    <x v="46"/>
    <s v="CTP"/>
    <x v="3"/>
    <n v="1195199"/>
  </r>
  <r>
    <x v="46"/>
    <s v="Child/Youth"/>
    <x v="3"/>
    <n v="199113"/>
  </r>
  <r>
    <x v="46"/>
    <s v="Concession"/>
    <x v="3"/>
    <n v="303299"/>
  </r>
  <r>
    <x v="46"/>
    <s v="Day Pass without SAF"/>
    <x v="3"/>
    <n v="446"/>
  </r>
  <r>
    <x v="46"/>
    <s v="Employee"/>
    <x v="3"/>
    <n v="179768"/>
  </r>
  <r>
    <x v="46"/>
    <s v="Free Travel"/>
    <x v="3"/>
    <n v="9664"/>
  </r>
  <r>
    <x v="46"/>
    <s v="School Student"/>
    <x v="3"/>
    <n v="345854"/>
  </r>
  <r>
    <x v="46"/>
    <s v="Senior/Pensioner"/>
    <x v="3"/>
    <n v="938107"/>
  </r>
  <r>
    <x v="46"/>
    <s v="Sgl Trip Rail Adult"/>
    <x v="3"/>
    <n v="21690"/>
  </r>
  <r>
    <x v="46"/>
    <s v="Sgl Trip Rail Child/Youth"/>
    <x v="3"/>
    <n v="13330"/>
  </r>
  <r>
    <x v="47"/>
    <s v="Adult"/>
    <x v="0"/>
    <n v="5296996"/>
  </r>
  <r>
    <x v="47"/>
    <s v="Adult Single Bus Trip 1"/>
    <x v="0"/>
    <n v="107"/>
  </r>
  <r>
    <x v="47"/>
    <s v="Adult Single Bus Trip 2"/>
    <x v="0"/>
    <n v="61"/>
  </r>
  <r>
    <x v="47"/>
    <s v="Adult Single Bus Trip 3"/>
    <x v="0"/>
    <n v="17"/>
  </r>
  <r>
    <x v="47"/>
    <s v="CTP"/>
    <x v="0"/>
    <n v="1664174"/>
  </r>
  <r>
    <x v="47"/>
    <s v="Child/Youth"/>
    <x v="0"/>
    <n v="605522"/>
  </r>
  <r>
    <x v="47"/>
    <s v="Child/Youth Single Bus Trip 1"/>
    <x v="0"/>
    <n v="15"/>
  </r>
  <r>
    <x v="47"/>
    <s v="Child/Youth Single Bus Trip 2"/>
    <x v="0"/>
    <n v="21"/>
  </r>
  <r>
    <x v="47"/>
    <s v="Child/Youth Single Bus Trip 3"/>
    <x v="0"/>
    <n v="4"/>
  </r>
  <r>
    <x v="47"/>
    <s v="Concession"/>
    <x v="0"/>
    <n v="456231"/>
  </r>
  <r>
    <x v="47"/>
    <s v="Day Pass Child/Youth w/o SAF"/>
    <x v="0"/>
    <n v="22"/>
  </r>
  <r>
    <x v="47"/>
    <s v="Day Pass without SAF"/>
    <x v="0"/>
    <n v="464"/>
  </r>
  <r>
    <x v="47"/>
    <s v="Employee"/>
    <x v="0"/>
    <n v="50008"/>
  </r>
  <r>
    <x v="47"/>
    <s v="Free Travel"/>
    <x v="0"/>
    <n v="21672"/>
  </r>
  <r>
    <x v="47"/>
    <s v="On Demand"/>
    <x v="0"/>
    <n v="13690"/>
  </r>
  <r>
    <x v="47"/>
    <s v="School Student"/>
    <x v="0"/>
    <n v="1891322"/>
  </r>
  <r>
    <x v="47"/>
    <s v="Senior/Pensioner"/>
    <x v="0"/>
    <n v="2385697"/>
  </r>
  <r>
    <x v="47"/>
    <s v="Adult"/>
    <x v="1"/>
    <n v="177637"/>
  </r>
  <r>
    <x v="47"/>
    <s v="CTP"/>
    <x v="1"/>
    <n v="83342"/>
  </r>
  <r>
    <x v="47"/>
    <s v="Child/Youth"/>
    <x v="1"/>
    <n v="20127"/>
  </r>
  <r>
    <x v="47"/>
    <s v="Concession"/>
    <x v="1"/>
    <n v="9065"/>
  </r>
  <r>
    <x v="47"/>
    <s v="Day Pass Child/Youth w/o SAF"/>
    <x v="1"/>
    <n v="2"/>
  </r>
  <r>
    <x v="47"/>
    <s v="Day Pass without SAF"/>
    <x v="1"/>
    <n v="3"/>
  </r>
  <r>
    <x v="47"/>
    <s v="Employee"/>
    <x v="1"/>
    <n v="2289"/>
  </r>
  <r>
    <x v="47"/>
    <s v="Free Travel"/>
    <x v="1"/>
    <n v="1034"/>
  </r>
  <r>
    <x v="47"/>
    <s v="School Student"/>
    <x v="1"/>
    <n v="5401"/>
  </r>
  <r>
    <x v="47"/>
    <s v="Senior/Pensioner"/>
    <x v="1"/>
    <n v="72560"/>
  </r>
  <r>
    <x v="47"/>
    <s v="Sgl Trip Ferry Adult"/>
    <x v="1"/>
    <n v="3592"/>
  </r>
  <r>
    <x v="47"/>
    <s v="Sgl Trip Ferry Child/Youth"/>
    <x v="1"/>
    <n v="2299"/>
  </r>
  <r>
    <x v="47"/>
    <s v="Adult"/>
    <x v="2"/>
    <n v="406393"/>
  </r>
  <r>
    <x v="47"/>
    <s v="CTP"/>
    <x v="2"/>
    <n v="140495"/>
  </r>
  <r>
    <x v="47"/>
    <s v="Child/Youth"/>
    <x v="2"/>
    <n v="25510"/>
  </r>
  <r>
    <x v="47"/>
    <s v="Concession"/>
    <x v="2"/>
    <n v="32459"/>
  </r>
  <r>
    <x v="47"/>
    <s v="Day Pass without SAF"/>
    <x v="2"/>
    <n v="32"/>
  </r>
  <r>
    <x v="47"/>
    <s v="Employee"/>
    <x v="2"/>
    <n v="1743"/>
  </r>
  <r>
    <x v="47"/>
    <s v="Free Travel"/>
    <x v="2"/>
    <n v="1138"/>
  </r>
  <r>
    <x v="47"/>
    <s v="School Student"/>
    <x v="2"/>
    <n v="45025"/>
  </r>
  <r>
    <x v="47"/>
    <s v="Senior/Pensioner"/>
    <x v="2"/>
    <n v="118312"/>
  </r>
  <r>
    <x v="47"/>
    <s v="Sgl Trip LR Adult"/>
    <x v="2"/>
    <n v="762"/>
  </r>
  <r>
    <x v="47"/>
    <s v="Sgl Trip LR Child/Youth"/>
    <x v="2"/>
    <n v="410"/>
  </r>
  <r>
    <x v="47"/>
    <s v="Adult"/>
    <x v="4"/>
    <n v="444552"/>
  </r>
  <r>
    <x v="47"/>
    <s v="CTP"/>
    <x v="4"/>
    <n v="112387"/>
  </r>
  <r>
    <x v="47"/>
    <s v="Child/Youth"/>
    <x v="4"/>
    <n v="46163"/>
  </r>
  <r>
    <x v="47"/>
    <s v="Concession"/>
    <x v="4"/>
    <n v="48461"/>
  </r>
  <r>
    <x v="47"/>
    <s v="Day Pass Child/Youth w/o SAF"/>
    <x v="4"/>
    <n v="4"/>
  </r>
  <r>
    <x v="47"/>
    <s v="Day Pass without SAF"/>
    <x v="4"/>
    <n v="4"/>
  </r>
  <r>
    <x v="47"/>
    <s v="Employee"/>
    <x v="4"/>
    <n v="5725"/>
  </r>
  <r>
    <x v="47"/>
    <s v="Free Travel"/>
    <x v="4"/>
    <n v="734"/>
  </r>
  <r>
    <x v="47"/>
    <s v="School Student"/>
    <x v="4"/>
    <n v="80422"/>
  </r>
  <r>
    <x v="47"/>
    <s v="Senior/Pensioner"/>
    <x v="4"/>
    <n v="52746"/>
  </r>
  <r>
    <x v="47"/>
    <s v="Sgl Trip Rail Adult"/>
    <x v="4"/>
    <n v="1921"/>
  </r>
  <r>
    <x v="47"/>
    <s v="Sgl Trip Rail Child/Youth"/>
    <x v="4"/>
    <n v="2508"/>
  </r>
  <r>
    <x v="47"/>
    <s v="Adult"/>
    <x v="3"/>
    <n v="8357270"/>
  </r>
  <r>
    <x v="47"/>
    <s v="CTP"/>
    <x v="3"/>
    <n v="1900026"/>
  </r>
  <r>
    <x v="47"/>
    <s v="Child/Youth"/>
    <x v="3"/>
    <n v="380309"/>
  </r>
  <r>
    <x v="47"/>
    <s v="Concession"/>
    <x v="3"/>
    <n v="554058"/>
  </r>
  <r>
    <x v="47"/>
    <s v="Day Pass Child/Youth w/o SAF"/>
    <x v="3"/>
    <n v="11"/>
  </r>
  <r>
    <x v="47"/>
    <s v="Day Pass without SAF"/>
    <x v="3"/>
    <n v="543"/>
  </r>
  <r>
    <x v="47"/>
    <s v="Employee"/>
    <x v="3"/>
    <n v="203267"/>
  </r>
  <r>
    <x v="47"/>
    <s v="Free Travel"/>
    <x v="3"/>
    <n v="14546"/>
  </r>
  <r>
    <x v="47"/>
    <s v="School Student"/>
    <x v="3"/>
    <n v="936253"/>
  </r>
  <r>
    <x v="47"/>
    <s v="Senior/Pensioner"/>
    <x v="3"/>
    <n v="1360337"/>
  </r>
  <r>
    <x v="47"/>
    <s v="Sgl Trip Rail Adult"/>
    <x v="3"/>
    <n v="35863"/>
  </r>
  <r>
    <x v="47"/>
    <s v="Sgl Trip Rail Child/Youth"/>
    <x v="3"/>
    <n v="20187"/>
  </r>
  <r>
    <x v="48"/>
    <s v="Adult"/>
    <x v="0"/>
    <n v="5980811"/>
  </r>
  <r>
    <x v="48"/>
    <s v="Adult Single Bus Trip 1"/>
    <x v="0"/>
    <n v="142"/>
  </r>
  <r>
    <x v="48"/>
    <s v="Adult Single Bus Trip 2"/>
    <x v="0"/>
    <n v="76"/>
  </r>
  <r>
    <x v="48"/>
    <s v="Adult Single Bus Trip 3"/>
    <x v="0"/>
    <n v="18"/>
  </r>
  <r>
    <x v="48"/>
    <s v="CTP"/>
    <x v="0"/>
    <n v="2013614"/>
  </r>
  <r>
    <x v="48"/>
    <s v="Child/Youth"/>
    <x v="0"/>
    <n v="863848"/>
  </r>
  <r>
    <x v="48"/>
    <s v="Child/Youth Single Bus Trip 1"/>
    <x v="0"/>
    <n v="34"/>
  </r>
  <r>
    <x v="48"/>
    <s v="Child/Youth Single Bus Trip 2"/>
    <x v="0"/>
    <n v="31"/>
  </r>
  <r>
    <x v="48"/>
    <s v="Child/Youth Single Bus Trip 3"/>
    <x v="0"/>
    <n v="5"/>
  </r>
  <r>
    <x v="48"/>
    <s v="Concession"/>
    <x v="0"/>
    <n v="581048"/>
  </r>
  <r>
    <x v="48"/>
    <s v="Day Pass Child/Youth w/o SAF"/>
    <x v="0"/>
    <n v="62"/>
  </r>
  <r>
    <x v="48"/>
    <s v="Day Pass without SAF"/>
    <x v="0"/>
    <n v="559"/>
  </r>
  <r>
    <x v="48"/>
    <s v="Employee"/>
    <x v="0"/>
    <n v="54732"/>
  </r>
  <r>
    <x v="48"/>
    <s v="Free Travel"/>
    <x v="0"/>
    <n v="24073"/>
  </r>
  <r>
    <x v="48"/>
    <s v="On Demand"/>
    <x v="0"/>
    <n v="16368"/>
  </r>
  <r>
    <x v="48"/>
    <s v="School Student"/>
    <x v="0"/>
    <n v="1033486"/>
  </r>
  <r>
    <x v="48"/>
    <s v="Senior/Pensioner"/>
    <x v="0"/>
    <n v="2563464"/>
  </r>
  <r>
    <x v="48"/>
    <s v="Adult"/>
    <x v="1"/>
    <n v="202450"/>
  </r>
  <r>
    <x v="48"/>
    <s v="CTP"/>
    <x v="1"/>
    <n v="101923"/>
  </r>
  <r>
    <x v="48"/>
    <s v="Child/Youth"/>
    <x v="1"/>
    <n v="48004"/>
  </r>
  <r>
    <x v="48"/>
    <s v="Concession"/>
    <x v="1"/>
    <n v="12344"/>
  </r>
  <r>
    <x v="48"/>
    <s v="Day Pass without SAF"/>
    <x v="1"/>
    <n v="14"/>
  </r>
  <r>
    <x v="48"/>
    <s v="Employee"/>
    <x v="1"/>
    <n v="2701"/>
  </r>
  <r>
    <x v="48"/>
    <s v="Free Travel"/>
    <x v="1"/>
    <n v="1215"/>
  </r>
  <r>
    <x v="48"/>
    <s v="School Student"/>
    <x v="1"/>
    <n v="2989"/>
  </r>
  <r>
    <x v="48"/>
    <s v="Senior/Pensioner"/>
    <x v="1"/>
    <n v="80353"/>
  </r>
  <r>
    <x v="48"/>
    <s v="Sgl Trip Ferry Adult"/>
    <x v="1"/>
    <n v="6021"/>
  </r>
  <r>
    <x v="48"/>
    <s v="Sgl Trip Ferry Child/Youth"/>
    <x v="1"/>
    <n v="5740"/>
  </r>
  <r>
    <x v="48"/>
    <s v="Adult"/>
    <x v="2"/>
    <n v="521409"/>
  </r>
  <r>
    <x v="48"/>
    <s v="CTP"/>
    <x v="2"/>
    <n v="194622"/>
  </r>
  <r>
    <x v="48"/>
    <s v="Child/Youth"/>
    <x v="2"/>
    <n v="57156"/>
  </r>
  <r>
    <x v="48"/>
    <s v="Concession"/>
    <x v="2"/>
    <n v="47485"/>
  </r>
  <r>
    <x v="48"/>
    <s v="Day Pass without SAF"/>
    <x v="2"/>
    <n v="30"/>
  </r>
  <r>
    <x v="48"/>
    <s v="Employee"/>
    <x v="2"/>
    <n v="3323"/>
  </r>
  <r>
    <x v="48"/>
    <s v="Free Travel"/>
    <x v="2"/>
    <n v="1336"/>
  </r>
  <r>
    <x v="48"/>
    <s v="School Student"/>
    <x v="2"/>
    <n v="24956"/>
  </r>
  <r>
    <x v="48"/>
    <s v="Senior/Pensioner"/>
    <x v="2"/>
    <n v="141973"/>
  </r>
  <r>
    <x v="48"/>
    <s v="Sgl Trip LR Adult"/>
    <x v="2"/>
    <n v="1077"/>
  </r>
  <r>
    <x v="48"/>
    <s v="Sgl Trip LR Child/Youth"/>
    <x v="2"/>
    <n v="1003"/>
  </r>
  <r>
    <x v="48"/>
    <s v="Adult"/>
    <x v="4"/>
    <n v="522269"/>
  </r>
  <r>
    <x v="48"/>
    <s v="CTP"/>
    <x v="4"/>
    <n v="139350"/>
  </r>
  <r>
    <x v="48"/>
    <s v="Child/Youth"/>
    <x v="4"/>
    <n v="89378"/>
  </r>
  <r>
    <x v="48"/>
    <s v="Concession"/>
    <x v="4"/>
    <n v="72925"/>
  </r>
  <r>
    <x v="48"/>
    <s v="Day Pass without SAF"/>
    <x v="4"/>
    <n v="4"/>
  </r>
  <r>
    <x v="48"/>
    <s v="Employee"/>
    <x v="4"/>
    <n v="6046"/>
  </r>
  <r>
    <x v="48"/>
    <s v="Free Travel"/>
    <x v="4"/>
    <n v="826"/>
  </r>
  <r>
    <x v="48"/>
    <s v="School Student"/>
    <x v="4"/>
    <n v="48768"/>
  </r>
  <r>
    <x v="48"/>
    <s v="Senior/Pensioner"/>
    <x v="4"/>
    <n v="58530"/>
  </r>
  <r>
    <x v="48"/>
    <s v="Sgl Trip Rail Adult"/>
    <x v="4"/>
    <n v="2016"/>
  </r>
  <r>
    <x v="48"/>
    <s v="Sgl Trip Rail Child/Youth"/>
    <x v="4"/>
    <n v="3662"/>
  </r>
  <r>
    <x v="48"/>
    <s v="Adult"/>
    <x v="3"/>
    <n v="9499639"/>
  </r>
  <r>
    <x v="48"/>
    <s v="CTP"/>
    <x v="3"/>
    <n v="2292077"/>
  </r>
  <r>
    <x v="48"/>
    <s v="Child/Youth"/>
    <x v="3"/>
    <n v="643641"/>
  </r>
  <r>
    <x v="48"/>
    <s v="Concession"/>
    <x v="3"/>
    <n v="722855"/>
  </r>
  <r>
    <x v="48"/>
    <s v="Day Pass Child/Youth w/o SAF"/>
    <x v="3"/>
    <n v="47"/>
  </r>
  <r>
    <x v="48"/>
    <s v="Day Pass without SAF"/>
    <x v="3"/>
    <n v="579"/>
  </r>
  <r>
    <x v="48"/>
    <s v="Employee"/>
    <x v="3"/>
    <n v="216720"/>
  </r>
  <r>
    <x v="48"/>
    <s v="Free Travel"/>
    <x v="3"/>
    <n v="16171"/>
  </r>
  <r>
    <x v="48"/>
    <s v="School Student"/>
    <x v="3"/>
    <n v="519597"/>
  </r>
  <r>
    <x v="48"/>
    <s v="Senior/Pensioner"/>
    <x v="3"/>
    <n v="1466814"/>
  </r>
  <r>
    <x v="48"/>
    <s v="Sgl Trip Rail Adult"/>
    <x v="3"/>
    <n v="39724"/>
  </r>
  <r>
    <x v="48"/>
    <s v="Sgl Trip Rail Child/Youth"/>
    <x v="3"/>
    <n v="29040"/>
  </r>
  <r>
    <x v="49"/>
    <s v="Adult"/>
    <x v="0"/>
    <n v="5609631"/>
  </r>
  <r>
    <x v="49"/>
    <s v="Adult Single Bus Trip 1"/>
    <x v="0"/>
    <n v="114"/>
  </r>
  <r>
    <x v="49"/>
    <s v="Adult Single Bus Trip 2"/>
    <x v="0"/>
    <n v="41"/>
  </r>
  <r>
    <x v="49"/>
    <s v="Adult Single Bus Trip 3"/>
    <x v="0"/>
    <n v="22"/>
  </r>
  <r>
    <x v="49"/>
    <s v="CTP"/>
    <x v="0"/>
    <n v="1939712"/>
  </r>
  <r>
    <x v="49"/>
    <s v="Child/Youth"/>
    <x v="0"/>
    <n v="628201"/>
  </r>
  <r>
    <x v="49"/>
    <s v="Child/Youth Single Bus Trip 1"/>
    <x v="0"/>
    <n v="9"/>
  </r>
  <r>
    <x v="49"/>
    <s v="Child/Youth Single Bus Trip 2"/>
    <x v="0"/>
    <n v="7"/>
  </r>
  <r>
    <x v="49"/>
    <s v="Child/Youth Single Bus Trip 3"/>
    <x v="0"/>
    <n v="5"/>
  </r>
  <r>
    <x v="49"/>
    <s v="Concession"/>
    <x v="0"/>
    <n v="622654"/>
  </r>
  <r>
    <x v="49"/>
    <s v="Day Pass Child/Youth w/o SAF"/>
    <x v="0"/>
    <n v="1"/>
  </r>
  <r>
    <x v="49"/>
    <s v="Day Pass without SAF"/>
    <x v="0"/>
    <n v="422"/>
  </r>
  <r>
    <x v="49"/>
    <s v="Employee"/>
    <x v="0"/>
    <n v="51775"/>
  </r>
  <r>
    <x v="49"/>
    <s v="Free Travel"/>
    <x v="0"/>
    <n v="22685"/>
  </r>
  <r>
    <x v="49"/>
    <s v="On Demand"/>
    <x v="0"/>
    <n v="14999"/>
  </r>
  <r>
    <x v="49"/>
    <s v="School Student"/>
    <x v="0"/>
    <n v="1806836"/>
  </r>
  <r>
    <x v="49"/>
    <s v="Senior/Pensioner"/>
    <x v="0"/>
    <n v="2410075"/>
  </r>
  <r>
    <x v="49"/>
    <s v="Adult"/>
    <x v="1"/>
    <n v="170746"/>
  </r>
  <r>
    <x v="49"/>
    <s v="CTP"/>
    <x v="1"/>
    <n v="90937"/>
  </r>
  <r>
    <x v="49"/>
    <s v="Child/Youth"/>
    <x v="1"/>
    <n v="16218"/>
  </r>
  <r>
    <x v="49"/>
    <s v="Concession"/>
    <x v="1"/>
    <n v="11428"/>
  </r>
  <r>
    <x v="49"/>
    <s v="Day Pass without SAF"/>
    <x v="1"/>
    <n v="1"/>
  </r>
  <r>
    <x v="49"/>
    <s v="Employee"/>
    <x v="1"/>
    <n v="2368"/>
  </r>
  <r>
    <x v="49"/>
    <s v="Free Travel"/>
    <x v="1"/>
    <n v="939"/>
  </r>
  <r>
    <x v="49"/>
    <s v="School Student"/>
    <x v="1"/>
    <n v="5201"/>
  </r>
  <r>
    <x v="49"/>
    <s v="Senior/Pensioner"/>
    <x v="1"/>
    <n v="68959"/>
  </r>
  <r>
    <x v="49"/>
    <s v="Sgl Trip Ferry Adult"/>
    <x v="1"/>
    <n v="1898"/>
  </r>
  <r>
    <x v="49"/>
    <s v="Sgl Trip Ferry Child/Youth"/>
    <x v="1"/>
    <n v="1282"/>
  </r>
  <r>
    <x v="49"/>
    <s v="Adult"/>
    <x v="2"/>
    <n v="513778"/>
  </r>
  <r>
    <x v="49"/>
    <s v="CTP"/>
    <x v="2"/>
    <n v="192136"/>
  </r>
  <r>
    <x v="49"/>
    <s v="Child/Youth"/>
    <x v="2"/>
    <n v="27831"/>
  </r>
  <r>
    <x v="49"/>
    <s v="Concession"/>
    <x v="2"/>
    <n v="54331"/>
  </r>
  <r>
    <x v="49"/>
    <s v="Day Pass without SAF"/>
    <x v="2"/>
    <n v="20"/>
  </r>
  <r>
    <x v="49"/>
    <s v="Employee"/>
    <x v="2"/>
    <n v="4067"/>
  </r>
  <r>
    <x v="49"/>
    <s v="Free Travel"/>
    <x v="2"/>
    <n v="1148"/>
  </r>
  <r>
    <x v="49"/>
    <s v="School Student"/>
    <x v="2"/>
    <n v="39183"/>
  </r>
  <r>
    <x v="49"/>
    <s v="Senior/Pensioner"/>
    <x v="2"/>
    <n v="132272"/>
  </r>
  <r>
    <x v="49"/>
    <s v="Sgl Trip LR Adult"/>
    <x v="2"/>
    <n v="451"/>
  </r>
  <r>
    <x v="49"/>
    <s v="Sgl Trip LR Child/Youth"/>
    <x v="2"/>
    <n v="251"/>
  </r>
  <r>
    <x v="49"/>
    <s v="Adult"/>
    <x v="4"/>
    <n v="503923"/>
  </r>
  <r>
    <x v="49"/>
    <s v="CTP"/>
    <x v="4"/>
    <n v="148270"/>
  </r>
  <r>
    <x v="49"/>
    <s v="Child/Youth"/>
    <x v="4"/>
    <n v="47188"/>
  </r>
  <r>
    <x v="49"/>
    <s v="Concession"/>
    <x v="4"/>
    <n v="104706"/>
  </r>
  <r>
    <x v="49"/>
    <s v="Day Pass without SAF"/>
    <x v="4"/>
    <n v="5"/>
  </r>
  <r>
    <x v="49"/>
    <s v="Employee"/>
    <x v="4"/>
    <n v="5770"/>
  </r>
  <r>
    <x v="49"/>
    <s v="Free Travel"/>
    <x v="4"/>
    <n v="844"/>
  </r>
  <r>
    <x v="49"/>
    <s v="School Student"/>
    <x v="4"/>
    <n v="80446"/>
  </r>
  <r>
    <x v="49"/>
    <s v="Senior/Pensioner"/>
    <x v="4"/>
    <n v="53995"/>
  </r>
  <r>
    <x v="49"/>
    <s v="Sgl Trip Rail Adult"/>
    <x v="4"/>
    <n v="1613"/>
  </r>
  <r>
    <x v="49"/>
    <s v="Sgl Trip Rail Child/Youth"/>
    <x v="4"/>
    <n v="2142"/>
  </r>
  <r>
    <x v="49"/>
    <s v="Adult"/>
    <x v="3"/>
    <n v="8635155"/>
  </r>
  <r>
    <x v="49"/>
    <s v="CTP"/>
    <x v="3"/>
    <n v="2128878"/>
  </r>
  <r>
    <x v="49"/>
    <s v="Child/Youth"/>
    <x v="3"/>
    <n v="376987"/>
  </r>
  <r>
    <x v="49"/>
    <s v="Concession"/>
    <x v="3"/>
    <n v="756263"/>
  </r>
  <r>
    <x v="49"/>
    <s v="Day Pass Child/Youth w/o SAF"/>
    <x v="3"/>
    <n v="7"/>
  </r>
  <r>
    <x v="49"/>
    <s v="Day Pass without SAF"/>
    <x v="3"/>
    <n v="514"/>
  </r>
  <r>
    <x v="49"/>
    <s v="Employee"/>
    <x v="3"/>
    <n v="203844"/>
  </r>
  <r>
    <x v="49"/>
    <s v="Free Travel"/>
    <x v="3"/>
    <n v="15100"/>
  </r>
  <r>
    <x v="49"/>
    <s v="School Student"/>
    <x v="3"/>
    <n v="891939"/>
  </r>
  <r>
    <x v="49"/>
    <s v="Senior/Pensioner"/>
    <x v="3"/>
    <n v="1333085"/>
  </r>
  <r>
    <x v="49"/>
    <s v="Sgl Trip Rail Adult"/>
    <x v="3"/>
    <n v="26791"/>
  </r>
  <r>
    <x v="49"/>
    <s v="Sgl Trip Rail Child/Youth"/>
    <x v="3"/>
    <n v="16736"/>
  </r>
  <r>
    <x v="50"/>
    <s v="Adult"/>
    <x v="0"/>
    <n v="5844392"/>
  </r>
  <r>
    <x v="50"/>
    <s v="Adult Single Bus Trip 1"/>
    <x v="0"/>
    <n v="76"/>
  </r>
  <r>
    <x v="50"/>
    <s v="Adult Single Bus Trip 2"/>
    <x v="0"/>
    <n v="36"/>
  </r>
  <r>
    <x v="50"/>
    <s v="Adult Single Bus Trip 3"/>
    <x v="0"/>
    <n v="24"/>
  </r>
  <r>
    <x v="50"/>
    <s v="CTP"/>
    <x v="0"/>
    <n v="2131509"/>
  </r>
  <r>
    <x v="50"/>
    <s v="Child/Youth"/>
    <x v="0"/>
    <n v="715957"/>
  </r>
  <r>
    <x v="50"/>
    <s v="Child/Youth Single Bus Trip 1"/>
    <x v="0"/>
    <n v="5"/>
  </r>
  <r>
    <x v="50"/>
    <s v="Child/Youth Single Bus Trip 2"/>
    <x v="0"/>
    <n v="1"/>
  </r>
  <r>
    <x v="50"/>
    <s v="Child/Youth Single Bus Trip 3"/>
    <x v="0"/>
    <n v="5"/>
  </r>
  <r>
    <x v="50"/>
    <s v="Concession"/>
    <x v="0"/>
    <n v="674595"/>
  </r>
  <r>
    <x v="50"/>
    <s v="Day Pass Child/Youth w/o SAF"/>
    <x v="0"/>
    <n v="1"/>
  </r>
  <r>
    <x v="50"/>
    <s v="Day Pass without SAF"/>
    <x v="0"/>
    <n v="436"/>
  </r>
  <r>
    <x v="50"/>
    <s v="Employee"/>
    <x v="0"/>
    <n v="53927"/>
  </r>
  <r>
    <x v="50"/>
    <s v="Free Travel"/>
    <x v="0"/>
    <n v="23695"/>
  </r>
  <r>
    <x v="50"/>
    <s v="On Demand"/>
    <x v="0"/>
    <n v="16714"/>
  </r>
  <r>
    <x v="50"/>
    <s v="School Student"/>
    <x v="0"/>
    <n v="1625421"/>
  </r>
  <r>
    <x v="50"/>
    <s v="Senior/Pensioner"/>
    <x v="0"/>
    <n v="2603832"/>
  </r>
  <r>
    <x v="50"/>
    <s v="Adult"/>
    <x v="1"/>
    <n v="192004"/>
  </r>
  <r>
    <x v="50"/>
    <s v="CTP"/>
    <x v="1"/>
    <n v="104920"/>
  </r>
  <r>
    <x v="50"/>
    <s v="Child/Youth"/>
    <x v="1"/>
    <n v="28018"/>
  </r>
  <r>
    <x v="50"/>
    <s v="Concession"/>
    <x v="1"/>
    <n v="12944"/>
  </r>
  <r>
    <x v="50"/>
    <s v="Day Pass without SAF"/>
    <x v="1"/>
    <n v="4"/>
  </r>
  <r>
    <x v="50"/>
    <s v="Employee"/>
    <x v="1"/>
    <n v="3019"/>
  </r>
  <r>
    <x v="50"/>
    <s v="Free Travel"/>
    <x v="1"/>
    <n v="1163"/>
  </r>
  <r>
    <x v="50"/>
    <s v="School Student"/>
    <x v="1"/>
    <n v="5788"/>
  </r>
  <r>
    <x v="50"/>
    <s v="Senior/Pensioner"/>
    <x v="1"/>
    <n v="89053"/>
  </r>
  <r>
    <x v="50"/>
    <s v="Sgl Trip Ferry Adult"/>
    <x v="1"/>
    <n v="2772"/>
  </r>
  <r>
    <x v="50"/>
    <s v="Sgl Trip Ferry Child/Youth"/>
    <x v="1"/>
    <n v="2306"/>
  </r>
  <r>
    <x v="50"/>
    <s v="Adult"/>
    <x v="2"/>
    <n v="539264"/>
  </r>
  <r>
    <x v="50"/>
    <s v="CTP"/>
    <x v="2"/>
    <n v="214718"/>
  </r>
  <r>
    <x v="50"/>
    <s v="Child/Youth"/>
    <x v="2"/>
    <n v="36925"/>
  </r>
  <r>
    <x v="50"/>
    <s v="Concession"/>
    <x v="2"/>
    <n v="68439"/>
  </r>
  <r>
    <x v="50"/>
    <s v="Day Pass without SAF"/>
    <x v="2"/>
    <n v="13"/>
  </r>
  <r>
    <x v="50"/>
    <s v="Employee"/>
    <x v="2"/>
    <n v="4332"/>
  </r>
  <r>
    <x v="50"/>
    <s v="Free Travel"/>
    <x v="2"/>
    <n v="1379"/>
  </r>
  <r>
    <x v="50"/>
    <s v="School Student"/>
    <x v="2"/>
    <n v="39608"/>
  </r>
  <r>
    <x v="50"/>
    <s v="Senior/Pensioner"/>
    <x v="2"/>
    <n v="153899"/>
  </r>
  <r>
    <x v="50"/>
    <s v="Sgl Trip LR Adult"/>
    <x v="2"/>
    <n v="634"/>
  </r>
  <r>
    <x v="50"/>
    <s v="Sgl Trip LR Child/Youth"/>
    <x v="2"/>
    <n v="394"/>
  </r>
  <r>
    <x v="50"/>
    <s v="Adult"/>
    <x v="4"/>
    <n v="533927"/>
  </r>
  <r>
    <x v="50"/>
    <s v="CTP"/>
    <x v="4"/>
    <n v="159481"/>
  </r>
  <r>
    <x v="50"/>
    <s v="Child/Youth"/>
    <x v="4"/>
    <n v="61501"/>
  </r>
  <r>
    <x v="50"/>
    <s v="Concession"/>
    <x v="4"/>
    <n v="94107"/>
  </r>
  <r>
    <x v="50"/>
    <s v="Day Pass without SAF"/>
    <x v="4"/>
    <n v="6"/>
  </r>
  <r>
    <x v="50"/>
    <s v="Employee"/>
    <x v="4"/>
    <n v="6245"/>
  </r>
  <r>
    <x v="50"/>
    <s v="Free Travel"/>
    <x v="4"/>
    <n v="878"/>
  </r>
  <r>
    <x v="50"/>
    <s v="School Student"/>
    <x v="4"/>
    <n v="80811"/>
  </r>
  <r>
    <x v="50"/>
    <s v="Senior/Pensioner"/>
    <x v="4"/>
    <n v="62527"/>
  </r>
  <r>
    <x v="50"/>
    <s v="Sgl Trip Rail Adult"/>
    <x v="4"/>
    <n v="1676"/>
  </r>
  <r>
    <x v="50"/>
    <s v="Sgl Trip Rail Child/Youth"/>
    <x v="4"/>
    <n v="2653"/>
  </r>
  <r>
    <x v="50"/>
    <s v="Adult"/>
    <x v="3"/>
    <n v="9172681"/>
  </r>
  <r>
    <x v="50"/>
    <s v="CTP"/>
    <x v="3"/>
    <n v="2433375"/>
  </r>
  <r>
    <x v="50"/>
    <s v="Child/Youth"/>
    <x v="3"/>
    <n v="481158"/>
  </r>
  <r>
    <x v="50"/>
    <s v="Concession"/>
    <x v="3"/>
    <n v="836827"/>
  </r>
  <r>
    <x v="50"/>
    <s v="Day Pass Child/Youth w/o SAF"/>
    <x v="3"/>
    <n v="17"/>
  </r>
  <r>
    <x v="50"/>
    <s v="Day Pass without SAF"/>
    <x v="3"/>
    <n v="470"/>
  </r>
  <r>
    <x v="50"/>
    <s v="Employee"/>
    <x v="3"/>
    <n v="213889"/>
  </r>
  <r>
    <x v="50"/>
    <s v="Free Travel"/>
    <x v="3"/>
    <n v="16910"/>
  </r>
  <r>
    <x v="50"/>
    <s v="School Student"/>
    <x v="3"/>
    <n v="846898"/>
  </r>
  <r>
    <x v="50"/>
    <s v="Senior/Pensioner"/>
    <x v="3"/>
    <n v="1501862"/>
  </r>
  <r>
    <x v="50"/>
    <s v="Sgl Trip Rail Adult"/>
    <x v="3"/>
    <n v="31229"/>
  </r>
  <r>
    <x v="50"/>
    <s v="Sgl Trip Rail Child/Youth"/>
    <x v="3"/>
    <n v="20973"/>
  </r>
  <r>
    <x v="51"/>
    <s v="Adult"/>
    <x v="0"/>
    <n v="6006332"/>
  </r>
  <r>
    <x v="51"/>
    <s v="Adult Single Bus Trip 1"/>
    <x v="0"/>
    <n v="107"/>
  </r>
  <r>
    <x v="51"/>
    <s v="Adult Single Bus Trip 2"/>
    <x v="0"/>
    <n v="46"/>
  </r>
  <r>
    <x v="51"/>
    <s v="Adult Single Bus Trip 3"/>
    <x v="0"/>
    <n v="25"/>
  </r>
  <r>
    <x v="51"/>
    <s v="CTP"/>
    <x v="0"/>
    <n v="2395589"/>
  </r>
  <r>
    <x v="51"/>
    <s v="Child/Youth"/>
    <x v="0"/>
    <n v="838452"/>
  </r>
  <r>
    <x v="51"/>
    <s v="Child/Youth Single Bus Trip 1"/>
    <x v="0"/>
    <n v="17"/>
  </r>
  <r>
    <x v="51"/>
    <s v="Child/Youth Single Bus Trip 2"/>
    <x v="0"/>
    <n v="10"/>
  </r>
  <r>
    <x v="51"/>
    <s v="Child/Youth Single Bus Trip 3"/>
    <x v="0"/>
    <n v="7"/>
  </r>
  <r>
    <x v="51"/>
    <s v="Concession"/>
    <x v="0"/>
    <n v="691561"/>
  </r>
  <r>
    <x v="51"/>
    <s v="Day Pass Child/Youth w/o SAF"/>
    <x v="0"/>
    <n v="1"/>
  </r>
  <r>
    <x v="51"/>
    <s v="Day Pass without SAF"/>
    <x v="0"/>
    <n v="527"/>
  </r>
  <r>
    <x v="51"/>
    <s v="Employee"/>
    <x v="0"/>
    <n v="56430"/>
  </r>
  <r>
    <x v="51"/>
    <s v="Free Travel"/>
    <x v="0"/>
    <n v="24881"/>
  </r>
  <r>
    <x v="51"/>
    <s v="On Demand"/>
    <x v="0"/>
    <n v="16944"/>
  </r>
  <r>
    <x v="51"/>
    <s v="School Student"/>
    <x v="0"/>
    <n v="1261371"/>
  </r>
  <r>
    <x v="51"/>
    <s v="Senior/Pensioner"/>
    <x v="0"/>
    <n v="2766738"/>
  </r>
  <r>
    <x v="51"/>
    <s v="Adult"/>
    <x v="1"/>
    <n v="232826"/>
  </r>
  <r>
    <x v="51"/>
    <s v="CTP"/>
    <x v="1"/>
    <n v="128751"/>
  </r>
  <r>
    <x v="51"/>
    <s v="Child/Youth"/>
    <x v="1"/>
    <n v="57850"/>
  </r>
  <r>
    <x v="51"/>
    <s v="Concession"/>
    <x v="1"/>
    <n v="14082"/>
  </r>
  <r>
    <x v="51"/>
    <s v="Day Pass Child/Youth w/o SAF"/>
    <x v="1"/>
    <n v="4"/>
  </r>
  <r>
    <x v="51"/>
    <s v="Day Pass without SAF"/>
    <x v="1"/>
    <n v="20"/>
  </r>
  <r>
    <x v="51"/>
    <s v="Employee"/>
    <x v="1"/>
    <n v="3562"/>
  </r>
  <r>
    <x v="51"/>
    <s v="Free Travel"/>
    <x v="1"/>
    <n v="1425"/>
  </r>
  <r>
    <x v="51"/>
    <s v="School Student"/>
    <x v="1"/>
    <n v="4702"/>
  </r>
  <r>
    <x v="51"/>
    <s v="Senior/Pensioner"/>
    <x v="1"/>
    <n v="106677"/>
  </r>
  <r>
    <x v="51"/>
    <s v="Sgl Trip Ferry Adult"/>
    <x v="1"/>
    <n v="5593"/>
  </r>
  <r>
    <x v="51"/>
    <s v="Sgl Trip Ferry Child/Youth"/>
    <x v="1"/>
    <n v="5240"/>
  </r>
  <r>
    <x v="51"/>
    <s v="Adult"/>
    <x v="2"/>
    <n v="632151"/>
  </r>
  <r>
    <x v="51"/>
    <s v="CTP"/>
    <x v="2"/>
    <n v="274808"/>
  </r>
  <r>
    <x v="51"/>
    <s v="Child/Youth"/>
    <x v="2"/>
    <n v="58974"/>
  </r>
  <r>
    <x v="51"/>
    <s v="Concession"/>
    <x v="2"/>
    <n v="85187"/>
  </r>
  <r>
    <x v="51"/>
    <s v="Day Pass without SAF"/>
    <x v="2"/>
    <n v="30"/>
  </r>
  <r>
    <x v="51"/>
    <s v="Employee"/>
    <x v="2"/>
    <n v="5719"/>
  </r>
  <r>
    <x v="51"/>
    <s v="Free Travel"/>
    <x v="2"/>
    <n v="1541"/>
  </r>
  <r>
    <x v="51"/>
    <s v="School Student"/>
    <x v="2"/>
    <n v="28522"/>
  </r>
  <r>
    <x v="51"/>
    <s v="Senior/Pensioner"/>
    <x v="2"/>
    <n v="188672"/>
  </r>
  <r>
    <x v="51"/>
    <s v="Sgl Trip LR Adult"/>
    <x v="2"/>
    <n v="1075"/>
  </r>
  <r>
    <x v="51"/>
    <s v="Sgl Trip LR Child/Youth"/>
    <x v="2"/>
    <n v="866"/>
  </r>
  <r>
    <x v="51"/>
    <s v="Adult"/>
    <x v="4"/>
    <n v="552180"/>
  </r>
  <r>
    <x v="51"/>
    <s v="CTP"/>
    <x v="4"/>
    <n v="173066"/>
  </r>
  <r>
    <x v="51"/>
    <s v="Child/Youth"/>
    <x v="4"/>
    <n v="80137"/>
  </r>
  <r>
    <x v="51"/>
    <s v="Concession"/>
    <x v="4"/>
    <n v="102905"/>
  </r>
  <r>
    <x v="51"/>
    <s v="Day Pass without SAF"/>
    <x v="4"/>
    <n v="13"/>
  </r>
  <r>
    <x v="51"/>
    <s v="Employee"/>
    <x v="4"/>
    <n v="6414"/>
  </r>
  <r>
    <x v="51"/>
    <s v="Free Travel"/>
    <x v="4"/>
    <n v="945"/>
  </r>
  <r>
    <x v="51"/>
    <s v="School Student"/>
    <x v="4"/>
    <n v="63594"/>
  </r>
  <r>
    <x v="51"/>
    <s v="Senior/Pensioner"/>
    <x v="4"/>
    <n v="68481"/>
  </r>
  <r>
    <x v="51"/>
    <s v="Sgl Trip Rail Adult"/>
    <x v="4"/>
    <n v="2060"/>
  </r>
  <r>
    <x v="51"/>
    <s v="Sgl Trip Rail Child/Youth"/>
    <x v="4"/>
    <n v="3007"/>
  </r>
  <r>
    <x v="51"/>
    <s v="Adult"/>
    <x v="3"/>
    <n v="9591778"/>
  </r>
  <r>
    <x v="51"/>
    <s v="CTP"/>
    <x v="3"/>
    <n v="2817668"/>
  </r>
  <r>
    <x v="51"/>
    <s v="Child/Youth"/>
    <x v="3"/>
    <n v="638173"/>
  </r>
  <r>
    <x v="51"/>
    <s v="Concession"/>
    <x v="3"/>
    <n v="859401"/>
  </r>
  <r>
    <x v="51"/>
    <s v="Day Pass Child/Youth w/o SAF"/>
    <x v="3"/>
    <n v="11"/>
  </r>
  <r>
    <x v="51"/>
    <s v="Day Pass without SAF"/>
    <x v="3"/>
    <n v="523"/>
  </r>
  <r>
    <x v="51"/>
    <s v="Employee"/>
    <x v="3"/>
    <n v="217613"/>
  </r>
  <r>
    <x v="51"/>
    <s v="Free Travel"/>
    <x v="3"/>
    <n v="18019"/>
  </r>
  <r>
    <x v="51"/>
    <s v="School Student"/>
    <x v="3"/>
    <n v="646636"/>
  </r>
  <r>
    <x v="51"/>
    <s v="Senior/Pensioner"/>
    <x v="3"/>
    <n v="1644798"/>
  </r>
  <r>
    <x v="51"/>
    <s v="Sgl Trip Rail Adult"/>
    <x v="3"/>
    <n v="39312"/>
  </r>
  <r>
    <x v="51"/>
    <s v="Sgl Trip Rail Child/Youth"/>
    <x v="3"/>
    <n v="28525"/>
  </r>
  <r>
    <x v="52"/>
    <s v="Adult"/>
    <x v="0"/>
    <n v="6166389"/>
  </r>
  <r>
    <x v="52"/>
    <s v="Adult Single Bus Trip 1"/>
    <x v="0"/>
    <n v="78"/>
  </r>
  <r>
    <x v="52"/>
    <s v="Adult Single Bus Trip 2"/>
    <x v="0"/>
    <n v="30"/>
  </r>
  <r>
    <x v="52"/>
    <s v="Adult Single Bus Trip 3"/>
    <x v="0"/>
    <n v="13"/>
  </r>
  <r>
    <x v="52"/>
    <s v="CTP"/>
    <x v="0"/>
    <n v="2558091"/>
  </r>
  <r>
    <x v="52"/>
    <s v="Child/Youth"/>
    <x v="0"/>
    <n v="704689"/>
  </r>
  <r>
    <x v="52"/>
    <s v="Child/Youth Single Bus Trip 1"/>
    <x v="0"/>
    <n v="4"/>
  </r>
  <r>
    <x v="52"/>
    <s v="Child/Youth Single Bus Trip 2"/>
    <x v="0"/>
    <n v="7"/>
  </r>
  <r>
    <x v="52"/>
    <s v="Child/Youth Single Bus Trip 3"/>
    <x v="0"/>
    <n v="4"/>
  </r>
  <r>
    <x v="52"/>
    <s v="Concession"/>
    <x v="0"/>
    <n v="678187"/>
  </r>
  <r>
    <x v="52"/>
    <s v="Day Pass Child/Youth w/o SAF"/>
    <x v="0"/>
    <n v="17"/>
  </r>
  <r>
    <x v="52"/>
    <s v="Day Pass without SAF"/>
    <x v="0"/>
    <n v="563"/>
  </r>
  <r>
    <x v="52"/>
    <s v="Employee"/>
    <x v="0"/>
    <n v="59168"/>
  </r>
  <r>
    <x v="52"/>
    <s v="Free Travel"/>
    <x v="0"/>
    <n v="26771"/>
  </r>
  <r>
    <x v="52"/>
    <s v="On Demand"/>
    <x v="0"/>
    <n v="17146"/>
  </r>
  <r>
    <x v="52"/>
    <s v="School Student"/>
    <x v="0"/>
    <n v="1701786"/>
  </r>
  <r>
    <x v="52"/>
    <s v="Senior/Pensioner"/>
    <x v="0"/>
    <n v="2896802"/>
  </r>
  <r>
    <x v="52"/>
    <s v="Adult"/>
    <x v="1"/>
    <n v="219061"/>
  </r>
  <r>
    <x v="52"/>
    <s v="CTP"/>
    <x v="1"/>
    <n v="132605"/>
  </r>
  <r>
    <x v="52"/>
    <s v="Child/Youth"/>
    <x v="1"/>
    <n v="28016"/>
  </r>
  <r>
    <x v="52"/>
    <s v="Concession"/>
    <x v="1"/>
    <n v="13061"/>
  </r>
  <r>
    <x v="52"/>
    <s v="Day Pass without SAF"/>
    <x v="1"/>
    <n v="12"/>
  </r>
  <r>
    <x v="52"/>
    <s v="Employee"/>
    <x v="1"/>
    <n v="3443"/>
  </r>
  <r>
    <x v="52"/>
    <s v="Free Travel"/>
    <x v="1"/>
    <n v="1514"/>
  </r>
  <r>
    <x v="52"/>
    <s v="School Student"/>
    <x v="1"/>
    <n v="7451"/>
  </r>
  <r>
    <x v="52"/>
    <s v="Senior/Pensioner"/>
    <x v="1"/>
    <n v="116804"/>
  </r>
  <r>
    <x v="52"/>
    <s v="Sgl Trip Ferry Adult"/>
    <x v="1"/>
    <n v="4573"/>
  </r>
  <r>
    <x v="52"/>
    <s v="Sgl Trip Ferry Child/Youth"/>
    <x v="1"/>
    <n v="2573"/>
  </r>
  <r>
    <x v="52"/>
    <s v="Adult"/>
    <x v="2"/>
    <n v="685141"/>
  </r>
  <r>
    <x v="52"/>
    <s v="CTP"/>
    <x v="2"/>
    <n v="314136"/>
  </r>
  <r>
    <x v="52"/>
    <s v="Child/Youth"/>
    <x v="2"/>
    <n v="45912"/>
  </r>
  <r>
    <x v="52"/>
    <s v="Concession"/>
    <x v="2"/>
    <n v="85355"/>
  </r>
  <r>
    <x v="52"/>
    <s v="Day Pass without SAF"/>
    <x v="2"/>
    <n v="23"/>
  </r>
  <r>
    <x v="52"/>
    <s v="Employee"/>
    <x v="2"/>
    <n v="5995"/>
  </r>
  <r>
    <x v="52"/>
    <s v="Free Travel"/>
    <x v="2"/>
    <n v="1759"/>
  </r>
  <r>
    <x v="52"/>
    <s v="School Student"/>
    <x v="2"/>
    <n v="38838"/>
  </r>
  <r>
    <x v="52"/>
    <s v="Senior/Pensioner"/>
    <x v="2"/>
    <n v="213033"/>
  </r>
  <r>
    <x v="52"/>
    <s v="Sgl Trip LR Adult"/>
    <x v="2"/>
    <n v="1026"/>
  </r>
  <r>
    <x v="52"/>
    <s v="Sgl Trip LR Child/Youth"/>
    <x v="2"/>
    <n v="597"/>
  </r>
  <r>
    <x v="52"/>
    <s v="Adult"/>
    <x v="4"/>
    <n v="617476"/>
  </r>
  <r>
    <x v="52"/>
    <s v="CTP"/>
    <x v="4"/>
    <n v="201491"/>
  </r>
  <r>
    <x v="52"/>
    <s v="Child/Youth"/>
    <x v="4"/>
    <n v="66747"/>
  </r>
  <r>
    <x v="52"/>
    <s v="Concession"/>
    <x v="4"/>
    <n v="86880"/>
  </r>
  <r>
    <x v="52"/>
    <s v="Day Pass without SAF"/>
    <x v="4"/>
    <n v="1"/>
  </r>
  <r>
    <x v="52"/>
    <s v="Employee"/>
    <x v="4"/>
    <n v="7401"/>
  </r>
  <r>
    <x v="52"/>
    <s v="Free Travel"/>
    <x v="4"/>
    <n v="1081"/>
  </r>
  <r>
    <x v="52"/>
    <s v="School Student"/>
    <x v="4"/>
    <n v="93904"/>
  </r>
  <r>
    <x v="52"/>
    <s v="Senior/Pensioner"/>
    <x v="4"/>
    <n v="81964"/>
  </r>
  <r>
    <x v="52"/>
    <s v="Sgl Trip Rail Adult"/>
    <x v="4"/>
    <n v="2462"/>
  </r>
  <r>
    <x v="52"/>
    <s v="Sgl Trip Rail Child/Youth"/>
    <x v="4"/>
    <n v="2839"/>
  </r>
  <r>
    <x v="52"/>
    <s v="Adult"/>
    <x v="3"/>
    <n v="9919415"/>
  </r>
  <r>
    <x v="52"/>
    <s v="CTP"/>
    <x v="3"/>
    <n v="3065452"/>
  </r>
  <r>
    <x v="52"/>
    <s v="Child/Youth"/>
    <x v="3"/>
    <n v="514868"/>
  </r>
  <r>
    <x v="52"/>
    <s v="Concession"/>
    <x v="3"/>
    <n v="837790"/>
  </r>
  <r>
    <x v="52"/>
    <s v="Day Pass Child/Youth w/o SAF"/>
    <x v="3"/>
    <n v="29"/>
  </r>
  <r>
    <x v="52"/>
    <s v="Day Pass without SAF"/>
    <x v="3"/>
    <n v="522"/>
  </r>
  <r>
    <x v="52"/>
    <s v="Employee"/>
    <x v="3"/>
    <n v="226179"/>
  </r>
  <r>
    <x v="52"/>
    <s v="Free Travel"/>
    <x v="3"/>
    <n v="19717"/>
  </r>
  <r>
    <x v="52"/>
    <s v="School Student"/>
    <x v="3"/>
    <n v="900820"/>
  </r>
  <r>
    <x v="52"/>
    <s v="Senior/Pensioner"/>
    <x v="3"/>
    <n v="1767809"/>
  </r>
  <r>
    <x v="52"/>
    <s v="Sgl Trip Rail Adult"/>
    <x v="3"/>
    <n v="41236"/>
  </r>
  <r>
    <x v="52"/>
    <s v="Sgl Trip Rail Child/Youth"/>
    <x v="3"/>
    <n v="23433"/>
  </r>
  <r>
    <x v="53"/>
    <s v="Adult"/>
    <x v="0"/>
    <n v="5739175"/>
  </r>
  <r>
    <x v="53"/>
    <s v="Adult Single Bus Trip 1"/>
    <x v="0"/>
    <n v="96"/>
  </r>
  <r>
    <x v="53"/>
    <s v="Adult Single Bus Trip 2"/>
    <x v="0"/>
    <n v="30"/>
  </r>
  <r>
    <x v="53"/>
    <s v="Adult Single Bus Trip 3"/>
    <x v="0"/>
    <n v="6"/>
  </r>
  <r>
    <x v="53"/>
    <s v="CTP"/>
    <x v="0"/>
    <n v="2549345"/>
  </r>
  <r>
    <x v="53"/>
    <s v="Child/Youth"/>
    <x v="0"/>
    <n v="800460"/>
  </r>
  <r>
    <x v="53"/>
    <s v="Child/Youth Single Bus Trip 1"/>
    <x v="0"/>
    <n v="1"/>
  </r>
  <r>
    <x v="53"/>
    <s v="Child/Youth Single Bus Trip 2"/>
    <x v="0"/>
    <n v="6"/>
  </r>
  <r>
    <x v="53"/>
    <s v="Child/Youth Single Bus Trip 3"/>
    <x v="0"/>
    <n v="2"/>
  </r>
  <r>
    <x v="53"/>
    <s v="Concession"/>
    <x v="0"/>
    <n v="580697"/>
  </r>
  <r>
    <x v="53"/>
    <s v="Day Pass Child/Youth w/o SAF"/>
    <x v="0"/>
    <n v="11"/>
  </r>
  <r>
    <x v="53"/>
    <s v="Day Pass without SAF"/>
    <x v="0"/>
    <n v="618"/>
  </r>
  <r>
    <x v="53"/>
    <s v="Employee"/>
    <x v="0"/>
    <n v="56361"/>
  </r>
  <r>
    <x v="53"/>
    <s v="Free Travel"/>
    <x v="0"/>
    <n v="25512"/>
  </r>
  <r>
    <x v="53"/>
    <s v="On Demand"/>
    <x v="0"/>
    <n v="17201"/>
  </r>
  <r>
    <x v="53"/>
    <s v="School Student"/>
    <x v="0"/>
    <n v="780929"/>
  </r>
  <r>
    <x v="53"/>
    <s v="Senior/Pensioner"/>
    <x v="0"/>
    <n v="2841423"/>
  </r>
  <r>
    <x v="53"/>
    <s v="Adult"/>
    <x v="1"/>
    <n v="197131"/>
  </r>
  <r>
    <x v="53"/>
    <s v="CTP"/>
    <x v="1"/>
    <n v="126639"/>
  </r>
  <r>
    <x v="53"/>
    <s v="Child/Youth"/>
    <x v="1"/>
    <n v="34165"/>
  </r>
  <r>
    <x v="53"/>
    <s v="Concession"/>
    <x v="1"/>
    <n v="11777"/>
  </r>
  <r>
    <x v="53"/>
    <s v="Day Pass without SAF"/>
    <x v="1"/>
    <n v="15"/>
  </r>
  <r>
    <x v="53"/>
    <s v="Employee"/>
    <x v="1"/>
    <n v="2932"/>
  </r>
  <r>
    <x v="53"/>
    <s v="Free Travel"/>
    <x v="1"/>
    <n v="1292"/>
  </r>
  <r>
    <x v="53"/>
    <s v="School Student"/>
    <x v="1"/>
    <n v="4291"/>
  </r>
  <r>
    <x v="53"/>
    <s v="Senior/Pensioner"/>
    <x v="1"/>
    <n v="93970"/>
  </r>
  <r>
    <x v="53"/>
    <s v="Sgl Trip Ferry Adult"/>
    <x v="1"/>
    <n v="5608"/>
  </r>
  <r>
    <x v="53"/>
    <s v="Sgl Trip Ferry Child/Youth"/>
    <x v="1"/>
    <n v="3470"/>
  </r>
  <r>
    <x v="53"/>
    <s v="Adult"/>
    <x v="2"/>
    <n v="716948"/>
  </r>
  <r>
    <x v="53"/>
    <s v="CTP"/>
    <x v="2"/>
    <n v="350597"/>
  </r>
  <r>
    <x v="53"/>
    <s v="Child/Youth"/>
    <x v="2"/>
    <n v="64923"/>
  </r>
  <r>
    <x v="53"/>
    <s v="Concession"/>
    <x v="2"/>
    <n v="71350"/>
  </r>
  <r>
    <x v="53"/>
    <s v="Day Pass Child/Youth w/o SAF"/>
    <x v="2"/>
    <n v="2"/>
  </r>
  <r>
    <x v="53"/>
    <s v="Day Pass without SAF"/>
    <x v="2"/>
    <n v="21"/>
  </r>
  <r>
    <x v="53"/>
    <s v="Employee"/>
    <x v="2"/>
    <n v="6826"/>
  </r>
  <r>
    <x v="53"/>
    <s v="Free Travel"/>
    <x v="2"/>
    <n v="1830"/>
  </r>
  <r>
    <x v="53"/>
    <s v="School Student"/>
    <x v="2"/>
    <n v="20519"/>
  </r>
  <r>
    <x v="53"/>
    <s v="Senior/Pensioner"/>
    <x v="2"/>
    <n v="216952"/>
  </r>
  <r>
    <x v="53"/>
    <s v="Sgl Trip LR Adult"/>
    <x v="2"/>
    <n v="1418"/>
  </r>
  <r>
    <x v="53"/>
    <s v="Sgl Trip LR Child/Youth"/>
    <x v="2"/>
    <n v="860"/>
  </r>
  <r>
    <x v="53"/>
    <s v="Adult"/>
    <x v="4"/>
    <n v="583500"/>
  </r>
  <r>
    <x v="53"/>
    <s v="CTP"/>
    <x v="4"/>
    <n v="215788"/>
  </r>
  <r>
    <x v="53"/>
    <s v="Child/Youth"/>
    <x v="4"/>
    <n v="94959"/>
  </r>
  <r>
    <x v="53"/>
    <s v="Concession"/>
    <x v="4"/>
    <n v="78503"/>
  </r>
  <r>
    <x v="53"/>
    <s v="Day Pass without SAF"/>
    <x v="4"/>
    <n v="9"/>
  </r>
  <r>
    <x v="53"/>
    <s v="Employee"/>
    <x v="4"/>
    <n v="7699"/>
  </r>
  <r>
    <x v="53"/>
    <s v="Free Travel"/>
    <x v="4"/>
    <n v="1082"/>
  </r>
  <r>
    <x v="53"/>
    <s v="School Student"/>
    <x v="4"/>
    <n v="51121"/>
  </r>
  <r>
    <x v="53"/>
    <s v="Senior/Pensioner"/>
    <x v="4"/>
    <n v="77723"/>
  </r>
  <r>
    <x v="53"/>
    <s v="Sgl Trip Rail Adult"/>
    <x v="4"/>
    <n v="3080"/>
  </r>
  <r>
    <x v="53"/>
    <s v="Sgl Trip Rail Child/Youth"/>
    <x v="4"/>
    <n v="4100"/>
  </r>
  <r>
    <x v="53"/>
    <s v="Adult"/>
    <x v="3"/>
    <n v="9225046"/>
  </r>
  <r>
    <x v="53"/>
    <s v="CTP"/>
    <x v="3"/>
    <n v="3091734"/>
  </r>
  <r>
    <x v="53"/>
    <s v="Child/Youth"/>
    <x v="3"/>
    <n v="635972"/>
  </r>
  <r>
    <x v="53"/>
    <s v="Concession"/>
    <x v="3"/>
    <n v="756484"/>
  </r>
  <r>
    <x v="53"/>
    <s v="Day Pass Child/Youth w/o SAF"/>
    <x v="3"/>
    <n v="12"/>
  </r>
  <r>
    <x v="53"/>
    <s v="Day Pass without SAF"/>
    <x v="3"/>
    <n v="641"/>
  </r>
  <r>
    <x v="53"/>
    <s v="Employee"/>
    <x v="3"/>
    <n v="226494"/>
  </r>
  <r>
    <x v="53"/>
    <s v="Free Travel"/>
    <x v="3"/>
    <n v="18057"/>
  </r>
  <r>
    <x v="53"/>
    <s v="School Student"/>
    <x v="3"/>
    <n v="429805"/>
  </r>
  <r>
    <x v="53"/>
    <s v="Senior/Pensioner"/>
    <x v="3"/>
    <n v="1706291"/>
  </r>
  <r>
    <x v="53"/>
    <s v="Sgl Trip Rail Adult"/>
    <x v="3"/>
    <n v="51766"/>
  </r>
  <r>
    <x v="53"/>
    <s v="Sgl Trip Rail Child/Youth"/>
    <x v="3"/>
    <n v="31494"/>
  </r>
  <r>
    <x v="54"/>
    <s v="Adult"/>
    <x v="0"/>
    <n v="5148624"/>
  </r>
  <r>
    <x v="54"/>
    <s v="Adult Single Bus Trip 1"/>
    <x v="0"/>
    <n v="61"/>
  </r>
  <r>
    <x v="54"/>
    <s v="Adult Single Bus Trip 2"/>
    <x v="0"/>
    <n v="23"/>
  </r>
  <r>
    <x v="54"/>
    <s v="Adult Single Bus Trip 3"/>
    <x v="0"/>
    <n v="9"/>
  </r>
  <r>
    <x v="54"/>
    <s v="CTP"/>
    <x v="0"/>
    <n v="2416896"/>
  </r>
  <r>
    <x v="54"/>
    <s v="Child/Youth"/>
    <x v="0"/>
    <n v="887024"/>
  </r>
  <r>
    <x v="54"/>
    <s v="Child/Youth Single Bus Trip 1"/>
    <x v="0"/>
    <n v="17"/>
  </r>
  <r>
    <x v="54"/>
    <s v="Child/Youth Single Bus Trip 2"/>
    <x v="0"/>
    <n v="2"/>
  </r>
  <r>
    <x v="54"/>
    <s v="Concession"/>
    <x v="0"/>
    <n v="499048"/>
  </r>
  <r>
    <x v="54"/>
    <s v="Day Pass Child/Youth w/o SAF"/>
    <x v="0"/>
    <n v="2"/>
  </r>
  <r>
    <x v="54"/>
    <s v="Day Pass without SAF"/>
    <x v="0"/>
    <n v="604"/>
  </r>
  <r>
    <x v="54"/>
    <s v="Employee"/>
    <x v="0"/>
    <n v="48782"/>
  </r>
  <r>
    <x v="54"/>
    <s v="Free Travel"/>
    <x v="0"/>
    <n v="21806"/>
  </r>
  <r>
    <x v="54"/>
    <s v="On Demand"/>
    <x v="0"/>
    <n v="15373"/>
  </r>
  <r>
    <x v="54"/>
    <s v="School Student"/>
    <x v="0"/>
    <n v="81935"/>
  </r>
  <r>
    <x v="54"/>
    <s v="Senior/Pensioner"/>
    <x v="0"/>
    <n v="2447119"/>
  </r>
  <r>
    <x v="54"/>
    <s v="Adult"/>
    <x v="1"/>
    <n v="211318"/>
  </r>
  <r>
    <x v="54"/>
    <s v="CTP"/>
    <x v="1"/>
    <n v="141585"/>
  </r>
  <r>
    <x v="54"/>
    <s v="Child/Youth"/>
    <x v="1"/>
    <n v="62949"/>
  </r>
  <r>
    <x v="54"/>
    <s v="Concession"/>
    <x v="1"/>
    <n v="13986"/>
  </r>
  <r>
    <x v="54"/>
    <s v="Day Pass Child/Youth w/o SAF"/>
    <x v="1"/>
    <n v="1"/>
  </r>
  <r>
    <x v="54"/>
    <s v="Day Pass without SAF"/>
    <x v="1"/>
    <n v="18"/>
  </r>
  <r>
    <x v="54"/>
    <s v="Employee"/>
    <x v="1"/>
    <n v="3292"/>
  </r>
  <r>
    <x v="54"/>
    <s v="Free Travel"/>
    <x v="1"/>
    <n v="1329"/>
  </r>
  <r>
    <x v="54"/>
    <s v="School Student"/>
    <x v="1"/>
    <n v="730"/>
  </r>
  <r>
    <x v="54"/>
    <s v="Senior/Pensioner"/>
    <x v="1"/>
    <n v="94831"/>
  </r>
  <r>
    <x v="54"/>
    <s v="Sgl Trip Ferry Adult"/>
    <x v="1"/>
    <n v="4247"/>
  </r>
  <r>
    <x v="54"/>
    <s v="Sgl Trip Ferry Child/Youth"/>
    <x v="1"/>
    <n v="4985"/>
  </r>
  <r>
    <x v="54"/>
    <s v="Adult"/>
    <x v="2"/>
    <n v="627839"/>
  </r>
  <r>
    <x v="54"/>
    <s v="CTP"/>
    <x v="2"/>
    <n v="309592"/>
  </r>
  <r>
    <x v="54"/>
    <s v="Child/Youth"/>
    <x v="2"/>
    <n v="77802"/>
  </r>
  <r>
    <x v="54"/>
    <s v="Concession"/>
    <x v="2"/>
    <n v="64830"/>
  </r>
  <r>
    <x v="54"/>
    <s v="Day Pass without SAF"/>
    <x v="2"/>
    <n v="27"/>
  </r>
  <r>
    <x v="54"/>
    <s v="Employee"/>
    <x v="2"/>
    <n v="5735"/>
  </r>
  <r>
    <x v="54"/>
    <s v="Free Travel"/>
    <x v="2"/>
    <n v="1690"/>
  </r>
  <r>
    <x v="54"/>
    <s v="School Student"/>
    <x v="2"/>
    <n v="2499"/>
  </r>
  <r>
    <x v="54"/>
    <s v="Senior/Pensioner"/>
    <x v="2"/>
    <n v="181710"/>
  </r>
  <r>
    <x v="54"/>
    <s v="Sgl Trip LR Adult"/>
    <x v="2"/>
    <n v="918"/>
  </r>
  <r>
    <x v="54"/>
    <s v="Sgl Trip LR Child/Youth"/>
    <x v="2"/>
    <n v="987"/>
  </r>
  <r>
    <x v="54"/>
    <s v="Adult"/>
    <x v="4"/>
    <n v="489531"/>
  </r>
  <r>
    <x v="54"/>
    <s v="CTP"/>
    <x v="4"/>
    <n v="180974"/>
  </r>
  <r>
    <x v="54"/>
    <s v="Child/Youth"/>
    <x v="4"/>
    <n v="105764"/>
  </r>
  <r>
    <x v="54"/>
    <s v="Concession"/>
    <x v="4"/>
    <n v="67660"/>
  </r>
  <r>
    <x v="54"/>
    <s v="Day Pass without SAF"/>
    <x v="4"/>
    <n v="6"/>
  </r>
  <r>
    <x v="54"/>
    <s v="Employee"/>
    <x v="4"/>
    <n v="6574"/>
  </r>
  <r>
    <x v="54"/>
    <s v="Free Travel"/>
    <x v="4"/>
    <n v="812"/>
  </r>
  <r>
    <x v="54"/>
    <s v="School Student"/>
    <x v="4"/>
    <n v="5223"/>
  </r>
  <r>
    <x v="54"/>
    <s v="Senior/Pensioner"/>
    <x v="4"/>
    <n v="62489"/>
  </r>
  <r>
    <x v="54"/>
    <s v="Sgl Trip Rail Adult"/>
    <x v="4"/>
    <n v="1901"/>
  </r>
  <r>
    <x v="54"/>
    <s v="Sgl Trip Rail Child/Youth"/>
    <x v="4"/>
    <n v="3751"/>
  </r>
  <r>
    <x v="54"/>
    <s v="Adult"/>
    <x v="3"/>
    <n v="7869191"/>
  </r>
  <r>
    <x v="54"/>
    <s v="CTP"/>
    <x v="3"/>
    <n v="2686459"/>
  </r>
  <r>
    <x v="54"/>
    <s v="Child/Youth"/>
    <x v="3"/>
    <n v="715610"/>
  </r>
  <r>
    <x v="54"/>
    <s v="Concession"/>
    <x v="3"/>
    <n v="628940"/>
  </r>
  <r>
    <x v="54"/>
    <s v="Day Pass Child/Youth w/o SAF"/>
    <x v="3"/>
    <n v="1"/>
  </r>
  <r>
    <x v="54"/>
    <s v="Day Pass without SAF"/>
    <x v="3"/>
    <n v="721"/>
  </r>
  <r>
    <x v="54"/>
    <s v="Employee"/>
    <x v="3"/>
    <n v="205188"/>
  </r>
  <r>
    <x v="54"/>
    <s v="Free Travel"/>
    <x v="3"/>
    <n v="13909"/>
  </r>
  <r>
    <x v="54"/>
    <s v="School Student"/>
    <x v="3"/>
    <n v="50576"/>
  </r>
  <r>
    <x v="54"/>
    <s v="Senior/Pensioner"/>
    <x v="3"/>
    <n v="1384427"/>
  </r>
  <r>
    <x v="54"/>
    <s v="Sgl Trip Rail Adult"/>
    <x v="3"/>
    <n v="31739"/>
  </r>
  <r>
    <x v="54"/>
    <s v="Sgl Trip Rail Child/Youth"/>
    <x v="3"/>
    <n v="29775"/>
  </r>
  <r>
    <x v="55"/>
    <s v="Adult"/>
    <x v="0"/>
    <n v="5907430"/>
  </r>
  <r>
    <x v="55"/>
    <s v="Adult Single Bus Trip 1"/>
    <x v="0"/>
    <n v="152"/>
  </r>
  <r>
    <x v="55"/>
    <s v="Adult Single Bus Trip 2"/>
    <x v="0"/>
    <n v="33"/>
  </r>
  <r>
    <x v="55"/>
    <s v="Adult Single Bus Trip 3"/>
    <x v="0"/>
    <n v="11"/>
  </r>
  <r>
    <x v="55"/>
    <s v="CTP"/>
    <x v="0"/>
    <n v="2714548"/>
  </r>
  <r>
    <x v="55"/>
    <s v="Child/Youth"/>
    <x v="0"/>
    <n v="737454"/>
  </r>
  <r>
    <x v="55"/>
    <s v="Child/Youth Single Bus Trip 1"/>
    <x v="0"/>
    <n v="3"/>
  </r>
  <r>
    <x v="55"/>
    <s v="Child/Youth Single Bus Trip 3"/>
    <x v="0"/>
    <n v="2"/>
  </r>
  <r>
    <x v="55"/>
    <s v="Concession"/>
    <x v="0"/>
    <n v="707314"/>
  </r>
  <r>
    <x v="55"/>
    <s v="Day Pass Child/Youth w/o SAF"/>
    <x v="0"/>
    <n v="15"/>
  </r>
  <r>
    <x v="55"/>
    <s v="Day Pass without SAF"/>
    <x v="0"/>
    <n v="667"/>
  </r>
  <r>
    <x v="55"/>
    <s v="Employee"/>
    <x v="0"/>
    <n v="55329"/>
  </r>
  <r>
    <x v="55"/>
    <s v="Free Travel"/>
    <x v="0"/>
    <n v="26110"/>
  </r>
  <r>
    <x v="55"/>
    <s v="On Demand"/>
    <x v="0"/>
    <n v="18068"/>
  </r>
  <r>
    <x v="55"/>
    <s v="School Student"/>
    <x v="0"/>
    <n v="1989485"/>
  </r>
  <r>
    <x v="55"/>
    <s v="Senior/Pensioner"/>
    <x v="0"/>
    <n v="2808255"/>
  </r>
  <r>
    <x v="55"/>
    <s v="Adult"/>
    <x v="1"/>
    <n v="218010"/>
  </r>
  <r>
    <x v="55"/>
    <s v="CTP"/>
    <x v="1"/>
    <n v="148965"/>
  </r>
  <r>
    <x v="55"/>
    <s v="Child/Youth"/>
    <x v="1"/>
    <n v="25386"/>
  </r>
  <r>
    <x v="55"/>
    <s v="Concession"/>
    <x v="1"/>
    <n v="15515"/>
  </r>
  <r>
    <x v="55"/>
    <s v="Day Pass without SAF"/>
    <x v="1"/>
    <n v="6"/>
  </r>
  <r>
    <x v="55"/>
    <s v="Employee"/>
    <x v="1"/>
    <n v="3479"/>
  </r>
  <r>
    <x v="55"/>
    <s v="Free Travel"/>
    <x v="1"/>
    <n v="1444"/>
  </r>
  <r>
    <x v="55"/>
    <s v="School Student"/>
    <x v="1"/>
    <n v="9873"/>
  </r>
  <r>
    <x v="55"/>
    <s v="Senior/Pensioner"/>
    <x v="1"/>
    <n v="118035"/>
  </r>
  <r>
    <x v="55"/>
    <s v="Sgl Trip Ferry Adult"/>
    <x v="1"/>
    <n v="4346"/>
  </r>
  <r>
    <x v="55"/>
    <s v="Sgl Trip Ferry Child/Youth"/>
    <x v="1"/>
    <n v="2201"/>
  </r>
  <r>
    <x v="55"/>
    <s v="Adult"/>
    <x v="2"/>
    <n v="759987"/>
  </r>
  <r>
    <x v="55"/>
    <s v="CTP"/>
    <x v="2"/>
    <n v="385649"/>
  </r>
  <r>
    <x v="55"/>
    <s v="Child/Youth"/>
    <x v="2"/>
    <n v="67431"/>
  </r>
  <r>
    <x v="55"/>
    <s v="Concession"/>
    <x v="2"/>
    <n v="159731"/>
  </r>
  <r>
    <x v="55"/>
    <s v="Day Pass without SAF"/>
    <x v="2"/>
    <n v="21"/>
  </r>
  <r>
    <x v="55"/>
    <s v="Employee"/>
    <x v="2"/>
    <n v="5960"/>
  </r>
  <r>
    <x v="55"/>
    <s v="Free Travel"/>
    <x v="2"/>
    <n v="1983"/>
  </r>
  <r>
    <x v="55"/>
    <s v="School Student"/>
    <x v="2"/>
    <n v="52130"/>
  </r>
  <r>
    <x v="55"/>
    <s v="Senior/Pensioner"/>
    <x v="2"/>
    <n v="228925"/>
  </r>
  <r>
    <x v="55"/>
    <s v="Sgl Trip LR Adult"/>
    <x v="2"/>
    <n v="884"/>
  </r>
  <r>
    <x v="55"/>
    <s v="Sgl Trip LR Child/Youth"/>
    <x v="2"/>
    <n v="506"/>
  </r>
  <r>
    <x v="55"/>
    <s v="Adult"/>
    <x v="4"/>
    <n v="642411"/>
  </r>
  <r>
    <x v="55"/>
    <s v="CTP"/>
    <x v="4"/>
    <n v="236161"/>
  </r>
  <r>
    <x v="55"/>
    <s v="Child/Youth"/>
    <x v="4"/>
    <n v="77584"/>
  </r>
  <r>
    <x v="55"/>
    <s v="Concession"/>
    <x v="4"/>
    <n v="104930"/>
  </r>
  <r>
    <x v="55"/>
    <s v="Day Pass without SAF"/>
    <x v="4"/>
    <n v="10"/>
  </r>
  <r>
    <x v="55"/>
    <s v="Employee"/>
    <x v="4"/>
    <n v="7230"/>
  </r>
  <r>
    <x v="55"/>
    <s v="Free Travel"/>
    <x v="4"/>
    <n v="1117"/>
  </r>
  <r>
    <x v="55"/>
    <s v="School Student"/>
    <x v="4"/>
    <n v="103196"/>
  </r>
  <r>
    <x v="55"/>
    <s v="Senior/Pensioner"/>
    <x v="4"/>
    <n v="85141"/>
  </r>
  <r>
    <x v="55"/>
    <s v="Sgl Trip Rail Adult"/>
    <x v="4"/>
    <n v="2486"/>
  </r>
  <r>
    <x v="55"/>
    <s v="Sgl Trip Rail Child/Youth"/>
    <x v="4"/>
    <n v="2792"/>
  </r>
  <r>
    <x v="55"/>
    <s v="Adult"/>
    <x v="3"/>
    <n v="9681207"/>
  </r>
  <r>
    <x v="55"/>
    <s v="CTP"/>
    <x v="3"/>
    <n v="3440694"/>
  </r>
  <r>
    <x v="55"/>
    <s v="Child/Youth"/>
    <x v="3"/>
    <n v="556563"/>
  </r>
  <r>
    <x v="55"/>
    <s v="Concession"/>
    <x v="3"/>
    <n v="980597"/>
  </r>
  <r>
    <x v="55"/>
    <s v="Day Pass Child/Youth w/o SAF"/>
    <x v="3"/>
    <n v="3"/>
  </r>
  <r>
    <x v="55"/>
    <s v="Day Pass without SAF"/>
    <x v="3"/>
    <n v="605"/>
  </r>
  <r>
    <x v="55"/>
    <s v="Employee"/>
    <x v="3"/>
    <n v="221297"/>
  </r>
  <r>
    <x v="55"/>
    <s v="Free Travel"/>
    <x v="3"/>
    <n v="20426"/>
  </r>
  <r>
    <x v="55"/>
    <s v="School Student"/>
    <x v="3"/>
    <n v="1037993"/>
  </r>
  <r>
    <x v="55"/>
    <s v="Senior/Pensioner"/>
    <x v="3"/>
    <n v="1758361"/>
  </r>
  <r>
    <x v="55"/>
    <s v="Sgl Trip Rail Adult"/>
    <x v="3"/>
    <n v="44261"/>
  </r>
  <r>
    <x v="55"/>
    <s v="Sgl Trip Rail Child/Youth"/>
    <x v="3"/>
    <n v="23446"/>
  </r>
  <r>
    <x v="56"/>
    <s v="Adult"/>
    <x v="0"/>
    <n v="6661997"/>
  </r>
  <r>
    <x v="56"/>
    <s v="Adult Single Bus Trip 1"/>
    <x v="0"/>
    <n v="92"/>
  </r>
  <r>
    <x v="56"/>
    <s v="Adult Single Bus Trip 2"/>
    <x v="0"/>
    <n v="35"/>
  </r>
  <r>
    <x v="56"/>
    <s v="Adult Single Bus Trip 3"/>
    <x v="0"/>
    <n v="19"/>
  </r>
  <r>
    <x v="56"/>
    <s v="CTP"/>
    <x v="0"/>
    <n v="3112024"/>
  </r>
  <r>
    <x v="56"/>
    <s v="Child/Youth"/>
    <x v="0"/>
    <n v="697395"/>
  </r>
  <r>
    <x v="56"/>
    <s v="Concession"/>
    <x v="0"/>
    <n v="1076821"/>
  </r>
  <r>
    <x v="56"/>
    <s v="Day Pass Child/Youth w/o SAF"/>
    <x v="0"/>
    <n v="31"/>
  </r>
  <r>
    <x v="56"/>
    <s v="Day Pass without SAF"/>
    <x v="0"/>
    <n v="725"/>
  </r>
  <r>
    <x v="56"/>
    <s v="Employee"/>
    <x v="0"/>
    <n v="62780"/>
  </r>
  <r>
    <x v="56"/>
    <s v="Free Travel"/>
    <x v="0"/>
    <n v="29437"/>
  </r>
  <r>
    <x v="56"/>
    <s v="On Demand"/>
    <x v="0"/>
    <n v="21078"/>
  </r>
  <r>
    <x v="56"/>
    <s v="School Student"/>
    <x v="0"/>
    <n v="2153901"/>
  </r>
  <r>
    <x v="56"/>
    <s v="Senior/Pensioner"/>
    <x v="0"/>
    <n v="3215739"/>
  </r>
  <r>
    <x v="56"/>
    <s v="Adult"/>
    <x v="1"/>
    <n v="237686"/>
  </r>
  <r>
    <x v="56"/>
    <s v="CTP"/>
    <x v="1"/>
    <n v="165859"/>
  </r>
  <r>
    <x v="56"/>
    <s v="Child/Youth"/>
    <x v="1"/>
    <n v="31065"/>
  </r>
  <r>
    <x v="56"/>
    <s v="Concession"/>
    <x v="1"/>
    <n v="16842"/>
  </r>
  <r>
    <x v="56"/>
    <s v="Day Pass without SAF"/>
    <x v="1"/>
    <n v="16"/>
  </r>
  <r>
    <x v="56"/>
    <s v="Employee"/>
    <x v="1"/>
    <n v="3991"/>
  </r>
  <r>
    <x v="56"/>
    <s v="Free Travel"/>
    <x v="1"/>
    <n v="1492"/>
  </r>
  <r>
    <x v="56"/>
    <s v="School Student"/>
    <x v="1"/>
    <n v="10491"/>
  </r>
  <r>
    <x v="56"/>
    <s v="Senior/Pensioner"/>
    <x v="1"/>
    <n v="133259"/>
  </r>
  <r>
    <x v="56"/>
    <s v="Sgl Trip Ferry Adult"/>
    <x v="1"/>
    <n v="6248"/>
  </r>
  <r>
    <x v="56"/>
    <s v="Sgl Trip Ferry Child/Youth"/>
    <x v="1"/>
    <n v="3014"/>
  </r>
  <r>
    <x v="56"/>
    <s v="Adult"/>
    <x v="2"/>
    <n v="801365"/>
  </r>
  <r>
    <x v="56"/>
    <s v="CTP"/>
    <x v="2"/>
    <n v="413285"/>
  </r>
  <r>
    <x v="56"/>
    <s v="Child/Youth"/>
    <x v="2"/>
    <n v="52309"/>
  </r>
  <r>
    <x v="56"/>
    <s v="Concession"/>
    <x v="2"/>
    <n v="229557"/>
  </r>
  <r>
    <x v="56"/>
    <s v="Day Pass without SAF"/>
    <x v="2"/>
    <n v="27"/>
  </r>
  <r>
    <x v="56"/>
    <s v="Employee"/>
    <x v="2"/>
    <n v="6407"/>
  </r>
  <r>
    <x v="56"/>
    <s v="Free Travel"/>
    <x v="2"/>
    <n v="2132"/>
  </r>
  <r>
    <x v="56"/>
    <s v="School Student"/>
    <x v="2"/>
    <n v="50776"/>
  </r>
  <r>
    <x v="56"/>
    <s v="Senior/Pensioner"/>
    <x v="2"/>
    <n v="259203"/>
  </r>
  <r>
    <x v="56"/>
    <s v="Sgl Trip LR Adult"/>
    <x v="2"/>
    <n v="1081"/>
  </r>
  <r>
    <x v="56"/>
    <s v="Sgl Trip LR Child/Youth"/>
    <x v="2"/>
    <n v="492"/>
  </r>
  <r>
    <x v="56"/>
    <s v="Adult"/>
    <x v="4"/>
    <n v="753250"/>
  </r>
  <r>
    <x v="56"/>
    <s v="CTP"/>
    <x v="4"/>
    <n v="282204"/>
  </r>
  <r>
    <x v="56"/>
    <s v="Child/Youth"/>
    <x v="4"/>
    <n v="69779"/>
  </r>
  <r>
    <x v="56"/>
    <s v="Concession"/>
    <x v="4"/>
    <n v="202933"/>
  </r>
  <r>
    <x v="56"/>
    <s v="Day Pass without SAF"/>
    <x v="4"/>
    <n v="3"/>
  </r>
  <r>
    <x v="56"/>
    <s v="Employee"/>
    <x v="4"/>
    <n v="8584"/>
  </r>
  <r>
    <x v="56"/>
    <s v="Free Travel"/>
    <x v="4"/>
    <n v="1271"/>
  </r>
  <r>
    <x v="56"/>
    <s v="School Student"/>
    <x v="4"/>
    <n v="122144"/>
  </r>
  <r>
    <x v="56"/>
    <s v="Senior/Pensioner"/>
    <x v="4"/>
    <n v="100401"/>
  </r>
  <r>
    <x v="56"/>
    <s v="Sgl Trip Rail Adult"/>
    <x v="4"/>
    <n v="2989"/>
  </r>
  <r>
    <x v="56"/>
    <s v="Sgl Trip Rail Child/Youth"/>
    <x v="4"/>
    <n v="2756"/>
  </r>
  <r>
    <x v="56"/>
    <s v="Adult"/>
    <x v="3"/>
    <n v="11142431"/>
  </r>
  <r>
    <x v="56"/>
    <s v="CTP"/>
    <x v="3"/>
    <n v="4083006"/>
  </r>
  <r>
    <x v="56"/>
    <s v="Child/Youth"/>
    <x v="3"/>
    <n v="532750"/>
  </r>
  <r>
    <x v="56"/>
    <s v="Concession"/>
    <x v="3"/>
    <n v="1540913"/>
  </r>
  <r>
    <x v="56"/>
    <s v="Day Pass Child/Youth w/o SAF"/>
    <x v="3"/>
    <n v="27"/>
  </r>
  <r>
    <x v="56"/>
    <s v="Day Pass without SAF"/>
    <x v="3"/>
    <n v="725"/>
  </r>
  <r>
    <x v="56"/>
    <s v="Employee"/>
    <x v="3"/>
    <n v="251744"/>
  </r>
  <r>
    <x v="56"/>
    <s v="Free Travel"/>
    <x v="3"/>
    <n v="23298"/>
  </r>
  <r>
    <x v="56"/>
    <s v="School Student"/>
    <x v="3"/>
    <n v="1190300"/>
  </r>
  <r>
    <x v="56"/>
    <s v="Senior/Pensioner"/>
    <x v="3"/>
    <n v="2071838"/>
  </r>
  <r>
    <x v="56"/>
    <s v="Sgl Trip Rail Adult"/>
    <x v="3"/>
    <n v="60743"/>
  </r>
  <r>
    <x v="56"/>
    <s v="Sgl Trip Rail Child/Youth"/>
    <x v="3"/>
    <n v="28028"/>
  </r>
  <r>
    <x v="57"/>
    <s v="Adult"/>
    <x v="0"/>
    <n v="6250652"/>
  </r>
  <r>
    <x v="57"/>
    <s v="Adult Single Bus Trip 1"/>
    <x v="0"/>
    <n v="73"/>
  </r>
  <r>
    <x v="57"/>
    <s v="Adult Single Bus Trip 2"/>
    <x v="0"/>
    <n v="70"/>
  </r>
  <r>
    <x v="57"/>
    <s v="Adult Single Bus Trip 3"/>
    <x v="0"/>
    <n v="17"/>
  </r>
  <r>
    <x v="57"/>
    <s v="CTP"/>
    <x v="0"/>
    <n v="3177099"/>
  </r>
  <r>
    <x v="57"/>
    <s v="Child/Youth"/>
    <x v="0"/>
    <n v="936865"/>
  </r>
  <r>
    <x v="57"/>
    <s v="Child/Youth Single Bus Trip 1"/>
    <x v="0"/>
    <n v="5"/>
  </r>
  <r>
    <x v="57"/>
    <s v="Child/Youth Single Bus Trip 2"/>
    <x v="0"/>
    <n v="9"/>
  </r>
  <r>
    <x v="57"/>
    <s v="Child/Youth Single Bus Trip 3"/>
    <x v="0"/>
    <n v="1"/>
  </r>
  <r>
    <x v="57"/>
    <s v="Concession"/>
    <x v="0"/>
    <n v="846573"/>
  </r>
  <r>
    <x v="57"/>
    <s v="Day Pass Child/Youth w/o SAF"/>
    <x v="0"/>
    <n v="5"/>
  </r>
  <r>
    <x v="57"/>
    <s v="Day Pass without SAF"/>
    <x v="0"/>
    <n v="502"/>
  </r>
  <r>
    <x v="57"/>
    <s v="Employee"/>
    <x v="0"/>
    <n v="60810"/>
  </r>
  <r>
    <x v="57"/>
    <s v="Free Travel"/>
    <x v="0"/>
    <n v="28799"/>
  </r>
  <r>
    <x v="57"/>
    <s v="On Demand"/>
    <x v="0"/>
    <n v="19530"/>
  </r>
  <r>
    <x v="57"/>
    <s v="School Student"/>
    <x v="0"/>
    <n v="946897"/>
  </r>
  <r>
    <x v="57"/>
    <s v="Senior/Pensioner"/>
    <x v="0"/>
    <n v="3203204"/>
  </r>
  <r>
    <x v="57"/>
    <s v="Adult"/>
    <x v="1"/>
    <n v="340228"/>
  </r>
  <r>
    <x v="57"/>
    <s v="CTP"/>
    <x v="1"/>
    <n v="247035"/>
  </r>
  <r>
    <x v="57"/>
    <s v="Child/Youth"/>
    <x v="1"/>
    <n v="96891"/>
  </r>
  <r>
    <x v="57"/>
    <s v="Concession"/>
    <x v="1"/>
    <n v="17490"/>
  </r>
  <r>
    <x v="57"/>
    <s v="Day Pass without SAF"/>
    <x v="1"/>
    <n v="15"/>
  </r>
  <r>
    <x v="57"/>
    <s v="Employee"/>
    <x v="1"/>
    <n v="4982"/>
  </r>
  <r>
    <x v="57"/>
    <s v="Free Travel"/>
    <x v="1"/>
    <n v="1974"/>
  </r>
  <r>
    <x v="57"/>
    <s v="School Student"/>
    <x v="1"/>
    <n v="4864"/>
  </r>
  <r>
    <x v="57"/>
    <s v="Senior/Pensioner"/>
    <x v="1"/>
    <n v="178749"/>
  </r>
  <r>
    <x v="57"/>
    <s v="Sgl Trip Ferry Adult"/>
    <x v="1"/>
    <n v="18735"/>
  </r>
  <r>
    <x v="57"/>
    <s v="Sgl Trip Ferry Child/Youth"/>
    <x v="1"/>
    <n v="15144"/>
  </r>
  <r>
    <x v="57"/>
    <s v="Adult"/>
    <x v="2"/>
    <n v="934599"/>
  </r>
  <r>
    <x v="57"/>
    <s v="CTP"/>
    <x v="2"/>
    <n v="521713"/>
  </r>
  <r>
    <x v="57"/>
    <s v="Child/Youth"/>
    <x v="2"/>
    <n v="125713"/>
  </r>
  <r>
    <x v="57"/>
    <s v="Concession"/>
    <x v="2"/>
    <n v="196902"/>
  </r>
  <r>
    <x v="57"/>
    <s v="Day Pass without SAF"/>
    <x v="2"/>
    <n v="19"/>
  </r>
  <r>
    <x v="57"/>
    <s v="Employee"/>
    <x v="2"/>
    <n v="7916"/>
  </r>
  <r>
    <x v="57"/>
    <s v="Free Travel"/>
    <x v="2"/>
    <n v="2956"/>
  </r>
  <r>
    <x v="57"/>
    <s v="School Student"/>
    <x v="2"/>
    <n v="22281"/>
  </r>
  <r>
    <x v="57"/>
    <s v="Senior/Pensioner"/>
    <x v="2"/>
    <n v="330539"/>
  </r>
  <r>
    <x v="57"/>
    <s v="Sgl Trip LR Adult"/>
    <x v="2"/>
    <n v="2765"/>
  </r>
  <r>
    <x v="57"/>
    <s v="Sgl Trip LR Child/Youth"/>
    <x v="2"/>
    <n v="2219"/>
  </r>
  <r>
    <x v="57"/>
    <s v="Adult"/>
    <x v="4"/>
    <n v="724933"/>
  </r>
  <r>
    <x v="57"/>
    <s v="CTP"/>
    <x v="4"/>
    <n v="294486"/>
  </r>
  <r>
    <x v="57"/>
    <s v="Child/Youth"/>
    <x v="4"/>
    <n v="112888"/>
  </r>
  <r>
    <x v="57"/>
    <s v="Concession"/>
    <x v="4"/>
    <n v="139038"/>
  </r>
  <r>
    <x v="57"/>
    <s v="Day Pass without SAF"/>
    <x v="4"/>
    <n v="7"/>
  </r>
  <r>
    <x v="57"/>
    <s v="Employee"/>
    <x v="4"/>
    <n v="8072"/>
  </r>
  <r>
    <x v="57"/>
    <s v="Free Travel"/>
    <x v="4"/>
    <n v="1412"/>
  </r>
  <r>
    <x v="57"/>
    <s v="School Student"/>
    <x v="4"/>
    <n v="56909"/>
  </r>
  <r>
    <x v="57"/>
    <s v="Senior/Pensioner"/>
    <x v="4"/>
    <n v="107808"/>
  </r>
  <r>
    <x v="57"/>
    <s v="Sgl Trip Rail Adult"/>
    <x v="4"/>
    <n v="3971"/>
  </r>
  <r>
    <x v="57"/>
    <s v="Sgl Trip Rail Child/Youth"/>
    <x v="4"/>
    <n v="5286"/>
  </r>
  <r>
    <x v="57"/>
    <s v="Adult"/>
    <x v="3"/>
    <n v="10852255"/>
  </r>
  <r>
    <x v="57"/>
    <s v="CTP"/>
    <x v="3"/>
    <n v="4379493"/>
  </r>
  <r>
    <x v="57"/>
    <s v="Child/Youth"/>
    <x v="3"/>
    <n v="935882"/>
  </r>
  <r>
    <x v="57"/>
    <s v="Concession"/>
    <x v="3"/>
    <n v="1227628"/>
  </r>
  <r>
    <x v="57"/>
    <s v="Day Pass Child/Youth w/o SAF"/>
    <x v="3"/>
    <n v="8"/>
  </r>
  <r>
    <x v="57"/>
    <s v="Day Pass without SAF"/>
    <x v="3"/>
    <n v="584"/>
  </r>
  <r>
    <x v="57"/>
    <s v="Employee"/>
    <x v="3"/>
    <n v="239457"/>
  </r>
  <r>
    <x v="57"/>
    <s v="Free Travel"/>
    <x v="3"/>
    <n v="23328"/>
  </r>
  <r>
    <x v="57"/>
    <s v="School Student"/>
    <x v="3"/>
    <n v="534720"/>
  </r>
  <r>
    <x v="57"/>
    <s v="Senior/Pensioner"/>
    <x v="3"/>
    <n v="2218946"/>
  </r>
  <r>
    <x v="57"/>
    <s v="Sgl Trip Rail Adult"/>
    <x v="3"/>
    <n v="83270"/>
  </r>
  <r>
    <x v="57"/>
    <s v="Sgl Trip Rail Child/Youth"/>
    <x v="3"/>
    <n v="56928"/>
  </r>
  <r>
    <x v="58"/>
    <s v="Adult"/>
    <x v="0"/>
    <n v="6504495"/>
  </r>
  <r>
    <x v="58"/>
    <s v="Adult Single Bus Trip 1"/>
    <x v="0"/>
    <n v="89"/>
  </r>
  <r>
    <x v="58"/>
    <s v="Adult Single Bus Trip 2"/>
    <x v="0"/>
    <n v="22"/>
  </r>
  <r>
    <x v="58"/>
    <s v="Adult Single Bus Trip 3"/>
    <x v="0"/>
    <n v="15"/>
  </r>
  <r>
    <x v="58"/>
    <s v="CTP"/>
    <x v="0"/>
    <n v="3319276"/>
  </r>
  <r>
    <x v="58"/>
    <s v="Child/Youth"/>
    <x v="0"/>
    <n v="684511"/>
  </r>
  <r>
    <x v="58"/>
    <s v="Child/Youth Single Bus Trip 1"/>
    <x v="0"/>
    <n v="7"/>
  </r>
  <r>
    <x v="58"/>
    <s v="Child/Youth Single Bus Trip 2"/>
    <x v="0"/>
    <n v="1"/>
  </r>
  <r>
    <x v="58"/>
    <s v="Child/Youth Single Bus Trip 3"/>
    <x v="0"/>
    <n v="3"/>
  </r>
  <r>
    <x v="58"/>
    <s v="Concession"/>
    <x v="0"/>
    <n v="920032"/>
  </r>
  <r>
    <x v="58"/>
    <s v="Day Pass Child/Youth w/o SAF"/>
    <x v="0"/>
    <n v="5"/>
  </r>
  <r>
    <x v="58"/>
    <s v="Day Pass without SAF"/>
    <x v="0"/>
    <n v="727"/>
  </r>
  <r>
    <x v="58"/>
    <s v="Employee"/>
    <x v="0"/>
    <n v="63334"/>
  </r>
  <r>
    <x v="58"/>
    <s v="Free Travel"/>
    <x v="0"/>
    <n v="28884"/>
  </r>
  <r>
    <x v="58"/>
    <s v="On Demand"/>
    <x v="0"/>
    <n v="20804"/>
  </r>
  <r>
    <x v="58"/>
    <s v="School Student"/>
    <x v="0"/>
    <n v="1849310"/>
  </r>
  <r>
    <x v="58"/>
    <s v="Senior/Pensioner"/>
    <x v="0"/>
    <n v="3258937"/>
  </r>
  <r>
    <x v="58"/>
    <s v="Adult"/>
    <x v="1"/>
    <n v="246613"/>
  </r>
  <r>
    <x v="58"/>
    <s v="CTP"/>
    <x v="1"/>
    <n v="192875"/>
  </r>
  <r>
    <x v="58"/>
    <s v="Child/Youth"/>
    <x v="1"/>
    <n v="31202"/>
  </r>
  <r>
    <x v="58"/>
    <s v="Concession"/>
    <x v="1"/>
    <n v="14721"/>
  </r>
  <r>
    <x v="58"/>
    <s v="Day Pass Child/Youth w/o SAF"/>
    <x v="1"/>
    <n v="612"/>
  </r>
  <r>
    <x v="58"/>
    <s v="Day Pass without SAF"/>
    <x v="1"/>
    <n v="38"/>
  </r>
  <r>
    <x v="58"/>
    <s v="Employee"/>
    <x v="1"/>
    <n v="4583"/>
  </r>
  <r>
    <x v="58"/>
    <s v="Free Travel"/>
    <x v="1"/>
    <n v="1648"/>
  </r>
  <r>
    <x v="58"/>
    <s v="School Student"/>
    <x v="1"/>
    <n v="8929"/>
  </r>
  <r>
    <x v="58"/>
    <s v="Senior/Pensioner"/>
    <x v="1"/>
    <n v="146719"/>
  </r>
  <r>
    <x v="58"/>
    <s v="Sgl Trip Ferry Adult"/>
    <x v="1"/>
    <n v="8717"/>
  </r>
  <r>
    <x v="58"/>
    <s v="Sgl Trip Ferry Child/Youth"/>
    <x v="1"/>
    <n v="4322"/>
  </r>
  <r>
    <x v="58"/>
    <s v="Adult"/>
    <x v="2"/>
    <n v="911130"/>
  </r>
  <r>
    <x v="58"/>
    <s v="CTP"/>
    <x v="2"/>
    <n v="520234"/>
  </r>
  <r>
    <x v="58"/>
    <s v="Child/Youth"/>
    <x v="2"/>
    <n v="60324"/>
  </r>
  <r>
    <x v="58"/>
    <s v="Concession"/>
    <x v="2"/>
    <n v="143357"/>
  </r>
  <r>
    <x v="58"/>
    <s v="Day Pass Child/Youth w/o SAF"/>
    <x v="2"/>
    <n v="87"/>
  </r>
  <r>
    <x v="58"/>
    <s v="Day Pass without SAF"/>
    <x v="2"/>
    <n v="25"/>
  </r>
  <r>
    <x v="58"/>
    <s v="Employee"/>
    <x v="2"/>
    <n v="7962"/>
  </r>
  <r>
    <x v="58"/>
    <s v="Free Travel"/>
    <x v="2"/>
    <n v="2610"/>
  </r>
  <r>
    <x v="58"/>
    <s v="School Student"/>
    <x v="2"/>
    <n v="41673"/>
  </r>
  <r>
    <x v="58"/>
    <s v="Senior/Pensioner"/>
    <x v="2"/>
    <n v="309228"/>
  </r>
  <r>
    <x v="58"/>
    <s v="Sgl Trip LR Adult"/>
    <x v="2"/>
    <n v="1663"/>
  </r>
  <r>
    <x v="58"/>
    <s v="Sgl Trip LR Child/Youth"/>
    <x v="2"/>
    <n v="992"/>
  </r>
  <r>
    <x v="58"/>
    <s v="Adult"/>
    <x v="4"/>
    <n v="784759"/>
  </r>
  <r>
    <x v="58"/>
    <s v="CTP"/>
    <x v="4"/>
    <n v="324035"/>
  </r>
  <r>
    <x v="58"/>
    <s v="Child/Youth"/>
    <x v="4"/>
    <n v="76183"/>
  </r>
  <r>
    <x v="58"/>
    <s v="Concession"/>
    <x v="4"/>
    <n v="172821"/>
  </r>
  <r>
    <x v="58"/>
    <s v="Day Pass without SAF"/>
    <x v="4"/>
    <n v="3"/>
  </r>
  <r>
    <x v="58"/>
    <s v="Employee"/>
    <x v="4"/>
    <n v="9284"/>
  </r>
  <r>
    <x v="58"/>
    <s v="Free Travel"/>
    <x v="4"/>
    <n v="1426"/>
  </r>
  <r>
    <x v="58"/>
    <s v="School Student"/>
    <x v="4"/>
    <n v="117474"/>
  </r>
  <r>
    <x v="58"/>
    <s v="Senior/Pensioner"/>
    <x v="4"/>
    <n v="114252"/>
  </r>
  <r>
    <x v="58"/>
    <s v="Sgl Trip Rail Adult"/>
    <x v="4"/>
    <n v="3415"/>
  </r>
  <r>
    <x v="58"/>
    <s v="Sgl Trip Rail Child/Youth"/>
    <x v="4"/>
    <n v="3857"/>
  </r>
  <r>
    <x v="58"/>
    <s v="Adult"/>
    <x v="3"/>
    <n v="11083214"/>
  </r>
  <r>
    <x v="58"/>
    <s v="CTP"/>
    <x v="3"/>
    <n v="4502379"/>
  </r>
  <r>
    <x v="58"/>
    <s v="Child/Youth"/>
    <x v="3"/>
    <n v="551285"/>
  </r>
  <r>
    <x v="58"/>
    <s v="Concession"/>
    <x v="3"/>
    <n v="1268868"/>
  </r>
  <r>
    <x v="58"/>
    <s v="Day Pass Child/Youth w/o SAF"/>
    <x v="3"/>
    <n v="36"/>
  </r>
  <r>
    <x v="58"/>
    <s v="Day Pass without SAF"/>
    <x v="3"/>
    <n v="690"/>
  </r>
  <r>
    <x v="58"/>
    <s v="Employee"/>
    <x v="3"/>
    <n v="243732"/>
  </r>
  <r>
    <x v="58"/>
    <s v="Free Travel"/>
    <x v="3"/>
    <n v="22989"/>
  </r>
  <r>
    <x v="58"/>
    <s v="School Student"/>
    <x v="3"/>
    <n v="1070994"/>
  </r>
  <r>
    <x v="58"/>
    <s v="Senior/Pensioner"/>
    <x v="3"/>
    <n v="2196224"/>
  </r>
  <r>
    <x v="58"/>
    <s v="Sgl Trip Rail Adult"/>
    <x v="3"/>
    <n v="66707"/>
  </r>
  <r>
    <x v="58"/>
    <s v="Sgl Trip Rail Child/Youth"/>
    <x v="3"/>
    <n v="31491"/>
  </r>
  <r>
    <x v="59"/>
    <s v="Adult"/>
    <x v="0"/>
    <n v="5480610"/>
  </r>
  <r>
    <x v="59"/>
    <s v="Adult Single Bus Trip 1"/>
    <x v="0"/>
    <n v="66"/>
  </r>
  <r>
    <x v="59"/>
    <s v="Adult Single Bus Trip 2"/>
    <x v="0"/>
    <n v="28"/>
  </r>
  <r>
    <x v="59"/>
    <s v="Adult Single Bus Trip 3"/>
    <x v="0"/>
    <n v="13"/>
  </r>
  <r>
    <x v="59"/>
    <s v="CTP"/>
    <x v="0"/>
    <n v="2814237"/>
  </r>
  <r>
    <x v="59"/>
    <s v="Child/Youth"/>
    <x v="0"/>
    <n v="570279"/>
  </r>
  <r>
    <x v="59"/>
    <s v="Child/Youth Single Bus Trip 1"/>
    <x v="0"/>
    <n v="3"/>
  </r>
  <r>
    <x v="59"/>
    <s v="Child/Youth Single Bus Trip 2"/>
    <x v="0"/>
    <n v="1"/>
  </r>
  <r>
    <x v="59"/>
    <s v="Child/Youth Single Bus Trip 3"/>
    <x v="0"/>
    <n v="2"/>
  </r>
  <r>
    <x v="59"/>
    <s v="Concession"/>
    <x v="0"/>
    <n v="682886"/>
  </r>
  <r>
    <x v="59"/>
    <s v="Day Pass Child/Youth w/o SAF"/>
    <x v="0"/>
    <n v="8"/>
  </r>
  <r>
    <x v="59"/>
    <s v="Day Pass without SAF"/>
    <x v="0"/>
    <n v="595"/>
  </r>
  <r>
    <x v="59"/>
    <s v="Employee"/>
    <x v="0"/>
    <n v="44912"/>
  </r>
  <r>
    <x v="59"/>
    <s v="Free Travel"/>
    <x v="0"/>
    <n v="24437"/>
  </r>
  <r>
    <x v="59"/>
    <s v="On Demand"/>
    <x v="0"/>
    <n v="18803"/>
  </r>
  <r>
    <x v="59"/>
    <s v="School Student"/>
    <x v="0"/>
    <n v="1404565"/>
  </r>
  <r>
    <x v="59"/>
    <s v="Senior/Pensioner"/>
    <x v="0"/>
    <n v="2817884"/>
  </r>
  <r>
    <x v="59"/>
    <s v="Adult"/>
    <x v="1"/>
    <n v="185678"/>
  </r>
  <r>
    <x v="59"/>
    <s v="CTP"/>
    <x v="1"/>
    <n v="141456"/>
  </r>
  <r>
    <x v="59"/>
    <s v="Child/Youth"/>
    <x v="1"/>
    <n v="26586"/>
  </r>
  <r>
    <x v="59"/>
    <s v="Concession"/>
    <x v="1"/>
    <n v="10512"/>
  </r>
  <r>
    <x v="59"/>
    <s v="Day Pass Child/Youth w/o SAF"/>
    <x v="1"/>
    <n v="192"/>
  </r>
  <r>
    <x v="59"/>
    <s v="Day Pass without SAF"/>
    <x v="1"/>
    <n v="4"/>
  </r>
  <r>
    <x v="59"/>
    <s v="Employee"/>
    <x v="1"/>
    <n v="2662"/>
  </r>
  <r>
    <x v="59"/>
    <s v="Free Travel"/>
    <x v="1"/>
    <n v="1268"/>
  </r>
  <r>
    <x v="59"/>
    <s v="School Student"/>
    <x v="1"/>
    <n v="6187"/>
  </r>
  <r>
    <x v="59"/>
    <s v="Senior/Pensioner"/>
    <x v="1"/>
    <n v="103636"/>
  </r>
  <r>
    <x v="59"/>
    <s v="Sgl Trip Ferry Adult"/>
    <x v="1"/>
    <n v="5169"/>
  </r>
  <r>
    <x v="59"/>
    <s v="Sgl Trip Ferry Child/Youth"/>
    <x v="1"/>
    <n v="3029"/>
  </r>
  <r>
    <x v="59"/>
    <s v="Adult"/>
    <x v="2"/>
    <n v="736205"/>
  </r>
  <r>
    <x v="59"/>
    <s v="CTP"/>
    <x v="2"/>
    <n v="429108"/>
  </r>
  <r>
    <x v="59"/>
    <s v="Child/Youth"/>
    <x v="2"/>
    <n v="46986"/>
  </r>
  <r>
    <x v="59"/>
    <s v="Concession"/>
    <x v="2"/>
    <n v="181712"/>
  </r>
  <r>
    <x v="59"/>
    <s v="Day Pass without SAF"/>
    <x v="2"/>
    <n v="17"/>
  </r>
  <r>
    <x v="59"/>
    <s v="Employee"/>
    <x v="2"/>
    <n v="5312"/>
  </r>
  <r>
    <x v="59"/>
    <s v="Free Travel"/>
    <x v="2"/>
    <n v="2067"/>
  </r>
  <r>
    <x v="59"/>
    <s v="School Student"/>
    <x v="2"/>
    <n v="30742"/>
  </r>
  <r>
    <x v="59"/>
    <s v="Senior/Pensioner"/>
    <x v="2"/>
    <n v="238740"/>
  </r>
  <r>
    <x v="59"/>
    <s v="Sgl Trip LR Adult"/>
    <x v="2"/>
    <n v="1127"/>
  </r>
  <r>
    <x v="59"/>
    <s v="Sgl Trip LR Child/Youth"/>
    <x v="2"/>
    <n v="685"/>
  </r>
  <r>
    <x v="59"/>
    <s v="Adult"/>
    <x v="4"/>
    <n v="617927"/>
  </r>
  <r>
    <x v="59"/>
    <s v="CTP"/>
    <x v="4"/>
    <n v="246817"/>
  </r>
  <r>
    <x v="59"/>
    <s v="Child/Youth"/>
    <x v="4"/>
    <n v="55744"/>
  </r>
  <r>
    <x v="59"/>
    <s v="Concession"/>
    <x v="4"/>
    <n v="104679"/>
  </r>
  <r>
    <x v="59"/>
    <s v="Day Pass without SAF"/>
    <x v="4"/>
    <n v="5"/>
  </r>
  <r>
    <x v="59"/>
    <s v="Employee"/>
    <x v="4"/>
    <n v="6129"/>
  </r>
  <r>
    <x v="59"/>
    <s v="Free Travel"/>
    <x v="4"/>
    <n v="1070"/>
  </r>
  <r>
    <x v="59"/>
    <s v="School Student"/>
    <x v="4"/>
    <n v="94870"/>
  </r>
  <r>
    <x v="59"/>
    <s v="Senior/Pensioner"/>
    <x v="4"/>
    <n v="89799"/>
  </r>
  <r>
    <x v="59"/>
    <s v="Sgl Trip Rail Adult"/>
    <x v="4"/>
    <n v="2213"/>
  </r>
  <r>
    <x v="59"/>
    <s v="Sgl Trip Rail Child/Youth"/>
    <x v="4"/>
    <n v="2771"/>
  </r>
  <r>
    <x v="59"/>
    <s v="Adult"/>
    <x v="3"/>
    <n v="9207753"/>
  </r>
  <r>
    <x v="59"/>
    <s v="CTP"/>
    <x v="3"/>
    <n v="3730766"/>
  </r>
  <r>
    <x v="59"/>
    <s v="Child/Youth"/>
    <x v="3"/>
    <n v="432363"/>
  </r>
  <r>
    <x v="59"/>
    <s v="Concession"/>
    <x v="3"/>
    <n v="902120"/>
  </r>
  <r>
    <x v="59"/>
    <s v="Day Pass Child/Youth w/o SAF"/>
    <x v="3"/>
    <n v="10"/>
  </r>
  <r>
    <x v="59"/>
    <s v="Day Pass without SAF"/>
    <x v="3"/>
    <n v="656"/>
  </r>
  <r>
    <x v="59"/>
    <s v="Employee"/>
    <x v="3"/>
    <n v="174401"/>
  </r>
  <r>
    <x v="59"/>
    <s v="Free Travel"/>
    <x v="3"/>
    <n v="18227"/>
  </r>
  <r>
    <x v="59"/>
    <s v="School Student"/>
    <x v="3"/>
    <n v="834277"/>
  </r>
  <r>
    <x v="59"/>
    <s v="Senior/Pensioner"/>
    <x v="3"/>
    <n v="1818996"/>
  </r>
  <r>
    <x v="59"/>
    <s v="Sgl Trip Rail Adult"/>
    <x v="3"/>
    <n v="47869"/>
  </r>
  <r>
    <x v="59"/>
    <s v="Sgl Trip Rail Child/Youth"/>
    <x v="3"/>
    <n v="26038"/>
  </r>
  <r>
    <x v="60"/>
    <s v="Adult"/>
    <x v="0"/>
    <n v="2299880"/>
  </r>
  <r>
    <x v="60"/>
    <s v="Adult Single Bus Trip 1"/>
    <x v="0"/>
    <n v="56"/>
  </r>
  <r>
    <x v="60"/>
    <s v="Adult Single Bus Trip 2"/>
    <x v="0"/>
    <n v="25"/>
  </r>
  <r>
    <x v="60"/>
    <s v="Adult Single Bus Trip 3"/>
    <x v="0"/>
    <n v="11"/>
  </r>
  <r>
    <x v="60"/>
    <s v="CTP"/>
    <x v="0"/>
    <n v="1083341"/>
  </r>
  <r>
    <x v="60"/>
    <s v="Child/Youth"/>
    <x v="0"/>
    <n v="167037"/>
  </r>
  <r>
    <x v="60"/>
    <s v="Child/Youth Single Bus Trip 1"/>
    <x v="0"/>
    <n v="1"/>
  </r>
  <r>
    <x v="60"/>
    <s v="Child/Youth Single Bus Trip 2"/>
    <x v="0"/>
    <n v="1"/>
  </r>
  <r>
    <x v="60"/>
    <s v="Concession"/>
    <x v="0"/>
    <n v="179630"/>
  </r>
  <r>
    <x v="60"/>
    <s v="Day Pass without SAF"/>
    <x v="0"/>
    <n v="386"/>
  </r>
  <r>
    <x v="60"/>
    <s v="Employee"/>
    <x v="0"/>
    <n v="20412"/>
  </r>
  <r>
    <x v="60"/>
    <s v="Free Travel"/>
    <x v="0"/>
    <n v="10140"/>
  </r>
  <r>
    <x v="60"/>
    <s v="On Demand"/>
    <x v="0"/>
    <n v="9478"/>
  </r>
  <r>
    <x v="60"/>
    <s v="School Student"/>
    <x v="0"/>
    <n v="74866"/>
  </r>
  <r>
    <x v="60"/>
    <s v="Senior/Pensioner"/>
    <x v="0"/>
    <n v="1261330"/>
  </r>
  <r>
    <x v="60"/>
    <s v="Adult"/>
    <x v="1"/>
    <n v="30457"/>
  </r>
  <r>
    <x v="60"/>
    <s v="CTP"/>
    <x v="1"/>
    <n v="25112"/>
  </r>
  <r>
    <x v="60"/>
    <s v="Child/Youth"/>
    <x v="1"/>
    <n v="3759"/>
  </r>
  <r>
    <x v="60"/>
    <s v="Concession"/>
    <x v="1"/>
    <n v="1684"/>
  </r>
  <r>
    <x v="60"/>
    <s v="Day Pass without SAF"/>
    <x v="1"/>
    <n v="4"/>
  </r>
  <r>
    <x v="60"/>
    <s v="Employee"/>
    <x v="1"/>
    <n v="734"/>
  </r>
  <r>
    <x v="60"/>
    <s v="Free Travel"/>
    <x v="1"/>
    <n v="353"/>
  </r>
  <r>
    <x v="60"/>
    <s v="School Student"/>
    <x v="1"/>
    <n v="703"/>
  </r>
  <r>
    <x v="60"/>
    <s v="Senior/Pensioner"/>
    <x v="1"/>
    <n v="17700"/>
  </r>
  <r>
    <x v="60"/>
    <s v="Sgl Trip Ferry Adult"/>
    <x v="1"/>
    <n v="196"/>
  </r>
  <r>
    <x v="60"/>
    <s v="Sgl Trip Ferry Child/Youth"/>
    <x v="1"/>
    <n v="185"/>
  </r>
  <r>
    <x v="60"/>
    <s v="Adult"/>
    <x v="2"/>
    <n v="186420"/>
  </r>
  <r>
    <x v="60"/>
    <s v="CTP"/>
    <x v="2"/>
    <n v="89160"/>
  </r>
  <r>
    <x v="60"/>
    <s v="Child/Youth"/>
    <x v="2"/>
    <n v="6128"/>
  </r>
  <r>
    <x v="60"/>
    <s v="Concession"/>
    <x v="2"/>
    <n v="14281"/>
  </r>
  <r>
    <x v="60"/>
    <s v="Day Pass without SAF"/>
    <x v="2"/>
    <n v="8"/>
  </r>
  <r>
    <x v="60"/>
    <s v="Employee"/>
    <x v="2"/>
    <n v="1630"/>
  </r>
  <r>
    <x v="60"/>
    <s v="Free Travel"/>
    <x v="2"/>
    <n v="550"/>
  </r>
  <r>
    <x v="60"/>
    <s v="School Student"/>
    <x v="2"/>
    <n v="1199"/>
  </r>
  <r>
    <x v="60"/>
    <s v="Senior/Pensioner"/>
    <x v="2"/>
    <n v="51834"/>
  </r>
  <r>
    <x v="60"/>
    <s v="Sgl Trip LR Adult"/>
    <x v="2"/>
    <n v="154"/>
  </r>
  <r>
    <x v="60"/>
    <s v="Sgl Trip LR Child/Youth"/>
    <x v="2"/>
    <n v="127"/>
  </r>
  <r>
    <x v="60"/>
    <s v="Adult"/>
    <x v="4"/>
    <n v="179849"/>
  </r>
  <r>
    <x v="60"/>
    <s v="CTP"/>
    <x v="4"/>
    <n v="62260"/>
  </r>
  <r>
    <x v="60"/>
    <s v="Child/Youth"/>
    <x v="4"/>
    <n v="5913"/>
  </r>
  <r>
    <x v="60"/>
    <s v="Concession"/>
    <x v="4"/>
    <n v="17652"/>
  </r>
  <r>
    <x v="60"/>
    <s v="Day Pass without SAF"/>
    <x v="4"/>
    <n v="2"/>
  </r>
  <r>
    <x v="60"/>
    <s v="Employee"/>
    <x v="4"/>
    <n v="2308"/>
  </r>
  <r>
    <x v="60"/>
    <s v="Free Travel"/>
    <x v="4"/>
    <n v="191"/>
  </r>
  <r>
    <x v="60"/>
    <s v="School Student"/>
    <x v="4"/>
    <n v="616"/>
  </r>
  <r>
    <x v="60"/>
    <s v="Senior/Pensioner"/>
    <x v="4"/>
    <n v="18309"/>
  </r>
  <r>
    <x v="60"/>
    <s v="Sgl Trip Rail Adult"/>
    <x v="4"/>
    <n v="455"/>
  </r>
  <r>
    <x v="60"/>
    <s v="Sgl Trip Rail Child/Youth"/>
    <x v="4"/>
    <n v="640"/>
  </r>
  <r>
    <x v="60"/>
    <s v="Adult"/>
    <x v="3"/>
    <n v="3303530"/>
  </r>
  <r>
    <x v="60"/>
    <s v="CTP"/>
    <x v="3"/>
    <n v="1055844"/>
  </r>
  <r>
    <x v="60"/>
    <s v="Child/Youth"/>
    <x v="3"/>
    <n v="66913"/>
  </r>
  <r>
    <x v="60"/>
    <s v="Concession"/>
    <x v="3"/>
    <n v="171887"/>
  </r>
  <r>
    <x v="60"/>
    <s v="Day Pass without SAF"/>
    <x v="3"/>
    <n v="386"/>
  </r>
  <r>
    <x v="60"/>
    <s v="Employee"/>
    <x v="3"/>
    <n v="90532"/>
  </r>
  <r>
    <x v="60"/>
    <s v="Free Travel"/>
    <x v="3"/>
    <n v="5093"/>
  </r>
  <r>
    <x v="60"/>
    <s v="School Student"/>
    <x v="3"/>
    <n v="13373"/>
  </r>
  <r>
    <x v="60"/>
    <s v="Senior/Pensioner"/>
    <x v="3"/>
    <n v="542932"/>
  </r>
  <r>
    <x v="60"/>
    <s v="Sgl Trip Rail Adult"/>
    <x v="3"/>
    <n v="10479"/>
  </r>
  <r>
    <x v="60"/>
    <s v="Sgl Trip Rail Child/Youth"/>
    <x v="3"/>
    <n v="7864"/>
  </r>
  <r>
    <x v="61"/>
    <s v="Adult"/>
    <x v="0"/>
    <n v="1945211"/>
  </r>
  <r>
    <x v="61"/>
    <s v="Adult Single Bus Trip 1"/>
    <x v="0"/>
    <n v="62"/>
  </r>
  <r>
    <x v="61"/>
    <s v="Adult Single Bus Trip 2"/>
    <x v="0"/>
    <n v="29"/>
  </r>
  <r>
    <x v="61"/>
    <s v="Adult Single Bus Trip 3"/>
    <x v="0"/>
    <n v="9"/>
  </r>
  <r>
    <x v="61"/>
    <s v="CTP"/>
    <x v="0"/>
    <n v="949416"/>
  </r>
  <r>
    <x v="61"/>
    <s v="Child/Youth"/>
    <x v="0"/>
    <n v="100445"/>
  </r>
  <r>
    <x v="61"/>
    <s v="Child/Youth Single Bus Trip 1"/>
    <x v="0"/>
    <n v="1"/>
  </r>
  <r>
    <x v="61"/>
    <s v="Concession"/>
    <x v="0"/>
    <n v="129968"/>
  </r>
  <r>
    <x v="61"/>
    <s v="Day Pass Child/Youth w/o SAF"/>
    <x v="0"/>
    <n v="4"/>
  </r>
  <r>
    <x v="61"/>
    <s v="Day Pass without SAF"/>
    <x v="0"/>
    <n v="405"/>
  </r>
  <r>
    <x v="61"/>
    <s v="Employee"/>
    <x v="0"/>
    <n v="17777"/>
  </r>
  <r>
    <x v="61"/>
    <s v="Free Travel"/>
    <x v="0"/>
    <n v="8885"/>
  </r>
  <r>
    <x v="61"/>
    <s v="On Demand"/>
    <x v="0"/>
    <n v="6463"/>
  </r>
  <r>
    <x v="61"/>
    <s v="School Student"/>
    <x v="0"/>
    <n v="48228"/>
  </r>
  <r>
    <x v="61"/>
    <s v="Senior/Pensioner"/>
    <x v="0"/>
    <n v="1080294"/>
  </r>
  <r>
    <x v="61"/>
    <s v="Adult"/>
    <x v="1"/>
    <n v="22078"/>
  </r>
  <r>
    <x v="61"/>
    <s v="CTP"/>
    <x v="1"/>
    <n v="20015"/>
  </r>
  <r>
    <x v="61"/>
    <s v="Child/Youth"/>
    <x v="1"/>
    <n v="1563"/>
  </r>
  <r>
    <x v="61"/>
    <s v="Concession"/>
    <x v="1"/>
    <n v="951"/>
  </r>
  <r>
    <x v="61"/>
    <s v="Day Pass without SAF"/>
    <x v="1"/>
    <n v="3"/>
  </r>
  <r>
    <x v="61"/>
    <s v="Employee"/>
    <x v="1"/>
    <n v="739"/>
  </r>
  <r>
    <x v="61"/>
    <s v="Free Travel"/>
    <x v="1"/>
    <n v="169"/>
  </r>
  <r>
    <x v="61"/>
    <s v="School Student"/>
    <x v="1"/>
    <n v="321"/>
  </r>
  <r>
    <x v="61"/>
    <s v="Senior/Pensioner"/>
    <x v="1"/>
    <n v="13459"/>
  </r>
  <r>
    <x v="61"/>
    <s v="Sgl Trip Ferry Adult"/>
    <x v="1"/>
    <n v="172"/>
  </r>
  <r>
    <x v="61"/>
    <s v="Sgl Trip Ferry Child/Youth"/>
    <x v="1"/>
    <n v="148"/>
  </r>
  <r>
    <x v="61"/>
    <s v="Adult"/>
    <x v="2"/>
    <n v="153727"/>
  </r>
  <r>
    <x v="61"/>
    <s v="CTP"/>
    <x v="2"/>
    <n v="75088"/>
  </r>
  <r>
    <x v="61"/>
    <s v="Child/Youth"/>
    <x v="2"/>
    <n v="2399"/>
  </r>
  <r>
    <x v="61"/>
    <s v="Concession"/>
    <x v="2"/>
    <n v="9962"/>
  </r>
  <r>
    <x v="61"/>
    <s v="Day Pass without SAF"/>
    <x v="2"/>
    <n v="12"/>
  </r>
  <r>
    <x v="61"/>
    <s v="Employee"/>
    <x v="2"/>
    <n v="1411"/>
  </r>
  <r>
    <x v="61"/>
    <s v="Free Travel"/>
    <x v="2"/>
    <n v="401"/>
  </r>
  <r>
    <x v="61"/>
    <s v="School Student"/>
    <x v="2"/>
    <n v="604"/>
  </r>
  <r>
    <x v="61"/>
    <s v="Senior/Pensioner"/>
    <x v="2"/>
    <n v="42738"/>
  </r>
  <r>
    <x v="61"/>
    <s v="Sgl Trip LR Adult"/>
    <x v="2"/>
    <n v="72"/>
  </r>
  <r>
    <x v="61"/>
    <s v="Sgl Trip LR Child/Youth"/>
    <x v="2"/>
    <n v="52"/>
  </r>
  <r>
    <x v="61"/>
    <s v="Adult"/>
    <x v="4"/>
    <n v="132635"/>
  </r>
  <r>
    <x v="61"/>
    <s v="CTP"/>
    <x v="4"/>
    <n v="44113"/>
  </r>
  <r>
    <x v="61"/>
    <s v="Child/Youth"/>
    <x v="4"/>
    <n v="3023"/>
  </r>
  <r>
    <x v="61"/>
    <s v="Concession"/>
    <x v="4"/>
    <n v="11687"/>
  </r>
  <r>
    <x v="61"/>
    <s v="Day Pass without SAF"/>
    <x v="4"/>
    <n v="4"/>
  </r>
  <r>
    <x v="61"/>
    <s v="Employee"/>
    <x v="4"/>
    <n v="1519"/>
  </r>
  <r>
    <x v="61"/>
    <s v="Free Travel"/>
    <x v="4"/>
    <n v="128"/>
  </r>
  <r>
    <x v="61"/>
    <s v="School Student"/>
    <x v="4"/>
    <n v="705"/>
  </r>
  <r>
    <x v="61"/>
    <s v="Senior/Pensioner"/>
    <x v="4"/>
    <n v="13021"/>
  </r>
  <r>
    <x v="61"/>
    <s v="Sgl Trip Rail Adult"/>
    <x v="4"/>
    <n v="276"/>
  </r>
  <r>
    <x v="61"/>
    <s v="Sgl Trip Rail Child/Youth"/>
    <x v="4"/>
    <n v="507"/>
  </r>
  <r>
    <x v="61"/>
    <s v="Adult"/>
    <x v="3"/>
    <n v="2672862"/>
  </r>
  <r>
    <x v="61"/>
    <s v="CTP"/>
    <x v="3"/>
    <n v="902288"/>
  </r>
  <r>
    <x v="61"/>
    <s v="Child/Youth"/>
    <x v="3"/>
    <n v="38935"/>
  </r>
  <r>
    <x v="61"/>
    <s v="Concession"/>
    <x v="3"/>
    <n v="122594"/>
  </r>
  <r>
    <x v="61"/>
    <s v="Day Pass Child/Youth w/o SAF"/>
    <x v="3"/>
    <n v="1"/>
  </r>
  <r>
    <x v="61"/>
    <s v="Day Pass without SAF"/>
    <x v="3"/>
    <n v="432"/>
  </r>
  <r>
    <x v="61"/>
    <s v="Employee"/>
    <x v="3"/>
    <n v="63791"/>
  </r>
  <r>
    <x v="61"/>
    <s v="Free Travel"/>
    <x v="3"/>
    <n v="4012"/>
  </r>
  <r>
    <x v="61"/>
    <s v="School Student"/>
    <x v="3"/>
    <n v="8871"/>
  </r>
  <r>
    <x v="61"/>
    <s v="Senior/Pensioner"/>
    <x v="3"/>
    <n v="419744"/>
  </r>
  <r>
    <x v="61"/>
    <s v="Sgl Trip Rail Adult"/>
    <x v="3"/>
    <n v="7516"/>
  </r>
  <r>
    <x v="61"/>
    <s v="Sgl Trip Rail Child/Youth"/>
    <x v="3"/>
    <n v="4843"/>
  </r>
  <r>
    <x v="62"/>
    <s v="Adult"/>
    <x v="0"/>
    <n v="2026419"/>
  </r>
  <r>
    <x v="62"/>
    <s v="Adult Single Bus Trip 1"/>
    <x v="0"/>
    <n v="47"/>
  </r>
  <r>
    <x v="62"/>
    <s v="Adult Single Bus Trip 2"/>
    <x v="0"/>
    <n v="17"/>
  </r>
  <r>
    <x v="62"/>
    <s v="Adult Single Bus Trip 3"/>
    <x v="0"/>
    <n v="8"/>
  </r>
  <r>
    <x v="62"/>
    <s v="CTP"/>
    <x v="0"/>
    <n v="1072112"/>
  </r>
  <r>
    <x v="62"/>
    <s v="Child/Youth"/>
    <x v="0"/>
    <n v="152734"/>
  </r>
  <r>
    <x v="62"/>
    <s v="Child/Youth Single Bus Trip 1"/>
    <x v="0"/>
    <n v="1"/>
  </r>
  <r>
    <x v="62"/>
    <s v="Concession"/>
    <x v="0"/>
    <n v="134804"/>
  </r>
  <r>
    <x v="62"/>
    <s v="Day Pass Child/Youth w/o SAF"/>
    <x v="0"/>
    <n v="6"/>
  </r>
  <r>
    <x v="62"/>
    <s v="Day Pass without SAF"/>
    <x v="0"/>
    <n v="424"/>
  </r>
  <r>
    <x v="62"/>
    <s v="Employee"/>
    <x v="0"/>
    <n v="21387"/>
  </r>
  <r>
    <x v="62"/>
    <s v="Free Travel"/>
    <x v="0"/>
    <n v="9912"/>
  </r>
  <r>
    <x v="62"/>
    <s v="On Demand"/>
    <x v="0"/>
    <n v="7547"/>
  </r>
  <r>
    <x v="62"/>
    <s v="School Student"/>
    <x v="0"/>
    <n v="21891"/>
  </r>
  <r>
    <x v="62"/>
    <s v="Senior/Pensioner"/>
    <x v="0"/>
    <n v="1209858"/>
  </r>
  <r>
    <x v="62"/>
    <s v="Adult"/>
    <x v="1"/>
    <n v="28620"/>
  </r>
  <r>
    <x v="62"/>
    <s v="CTP"/>
    <x v="1"/>
    <n v="26730"/>
  </r>
  <r>
    <x v="62"/>
    <s v="Child/Youth"/>
    <x v="1"/>
    <n v="4618"/>
  </r>
  <r>
    <x v="62"/>
    <s v="Concession"/>
    <x v="1"/>
    <n v="1114"/>
  </r>
  <r>
    <x v="62"/>
    <s v="Employee"/>
    <x v="1"/>
    <n v="876"/>
  </r>
  <r>
    <x v="62"/>
    <s v="Free Travel"/>
    <x v="1"/>
    <n v="272"/>
  </r>
  <r>
    <x v="62"/>
    <s v="School Student"/>
    <x v="1"/>
    <n v="115"/>
  </r>
  <r>
    <x v="62"/>
    <s v="Senior/Pensioner"/>
    <x v="1"/>
    <n v="19998"/>
  </r>
  <r>
    <x v="62"/>
    <s v="Sgl Trip Ferry Adult"/>
    <x v="1"/>
    <n v="214"/>
  </r>
  <r>
    <x v="62"/>
    <s v="Sgl Trip Ferry Child/Youth"/>
    <x v="1"/>
    <n v="367"/>
  </r>
  <r>
    <x v="62"/>
    <s v="Adult"/>
    <x v="2"/>
    <n v="181468"/>
  </r>
  <r>
    <x v="62"/>
    <s v="CTP"/>
    <x v="2"/>
    <n v="95276"/>
  </r>
  <r>
    <x v="62"/>
    <s v="Child/Youth"/>
    <x v="2"/>
    <n v="5447"/>
  </r>
  <r>
    <x v="62"/>
    <s v="Concession"/>
    <x v="2"/>
    <n v="11478"/>
  </r>
  <r>
    <x v="62"/>
    <s v="Day Pass without SAF"/>
    <x v="2"/>
    <n v="14"/>
  </r>
  <r>
    <x v="62"/>
    <s v="Employee"/>
    <x v="2"/>
    <n v="1728"/>
  </r>
  <r>
    <x v="62"/>
    <s v="Free Travel"/>
    <x v="2"/>
    <n v="509"/>
  </r>
  <r>
    <x v="62"/>
    <s v="School Student"/>
    <x v="2"/>
    <n v="264"/>
  </r>
  <r>
    <x v="62"/>
    <s v="Senior/Pensioner"/>
    <x v="2"/>
    <n v="53835"/>
  </r>
  <r>
    <x v="62"/>
    <s v="Sgl Trip LR Adult"/>
    <x v="2"/>
    <n v="77"/>
  </r>
  <r>
    <x v="62"/>
    <s v="Sgl Trip LR Child/Youth"/>
    <x v="2"/>
    <n v="67"/>
  </r>
  <r>
    <x v="62"/>
    <s v="Adult"/>
    <x v="4"/>
    <n v="136617"/>
  </r>
  <r>
    <x v="62"/>
    <s v="CTP"/>
    <x v="4"/>
    <n v="47090"/>
  </r>
  <r>
    <x v="62"/>
    <s v="Child/Youth"/>
    <x v="4"/>
    <n v="4479"/>
  </r>
  <r>
    <x v="62"/>
    <s v="Concession"/>
    <x v="4"/>
    <n v="11143"/>
  </r>
  <r>
    <x v="62"/>
    <s v="Day Pass without SAF"/>
    <x v="4"/>
    <n v="7"/>
  </r>
  <r>
    <x v="62"/>
    <s v="Employee"/>
    <x v="4"/>
    <n v="1147"/>
  </r>
  <r>
    <x v="62"/>
    <s v="Free Travel"/>
    <x v="4"/>
    <n v="139"/>
  </r>
  <r>
    <x v="62"/>
    <s v="School Student"/>
    <x v="4"/>
    <n v="478"/>
  </r>
  <r>
    <x v="62"/>
    <s v="Senior/Pensioner"/>
    <x v="4"/>
    <n v="15393"/>
  </r>
  <r>
    <x v="62"/>
    <s v="Sgl Trip Rail Adult"/>
    <x v="4"/>
    <n v="293"/>
  </r>
  <r>
    <x v="62"/>
    <s v="Sgl Trip Rail Child/Youth"/>
    <x v="4"/>
    <n v="634"/>
  </r>
  <r>
    <x v="62"/>
    <s v="Adult"/>
    <x v="3"/>
    <n v="2823340"/>
  </r>
  <r>
    <x v="62"/>
    <s v="CTP"/>
    <x v="3"/>
    <n v="1010138"/>
  </r>
  <r>
    <x v="62"/>
    <s v="Child/Youth"/>
    <x v="3"/>
    <n v="62255"/>
  </r>
  <r>
    <x v="62"/>
    <s v="Concession"/>
    <x v="3"/>
    <n v="130994"/>
  </r>
  <r>
    <x v="62"/>
    <s v="Day Pass Child/Youth w/o SAF"/>
    <x v="3"/>
    <n v="6"/>
  </r>
  <r>
    <x v="62"/>
    <s v="Day Pass without SAF"/>
    <x v="3"/>
    <n v="393"/>
  </r>
  <r>
    <x v="62"/>
    <s v="Employee"/>
    <x v="3"/>
    <n v="63703"/>
  </r>
  <r>
    <x v="62"/>
    <s v="Free Travel"/>
    <x v="3"/>
    <n v="4688"/>
  </r>
  <r>
    <x v="62"/>
    <s v="School Student"/>
    <x v="3"/>
    <n v="4961"/>
  </r>
  <r>
    <x v="62"/>
    <s v="Senior/Pensioner"/>
    <x v="3"/>
    <n v="477776"/>
  </r>
  <r>
    <x v="62"/>
    <s v="Sgl Trip Rail Adult"/>
    <x v="3"/>
    <n v="8100"/>
  </r>
  <r>
    <x v="62"/>
    <s v="Sgl Trip Rail Child/Youth"/>
    <x v="3"/>
    <n v="5699"/>
  </r>
  <r>
    <x v="63"/>
    <s v="Adult"/>
    <x v="0"/>
    <n v="3249805"/>
  </r>
  <r>
    <x v="63"/>
    <s v="Adult Single Bus Trip 1"/>
    <x v="0"/>
    <n v="131"/>
  </r>
  <r>
    <x v="63"/>
    <s v="Adult Single Bus Trip 2"/>
    <x v="0"/>
    <n v="51"/>
  </r>
  <r>
    <x v="63"/>
    <s v="Adult Single Bus Trip 3"/>
    <x v="0"/>
    <n v="15"/>
  </r>
  <r>
    <x v="63"/>
    <s v="CTP"/>
    <x v="0"/>
    <n v="1961145"/>
  </r>
  <r>
    <x v="63"/>
    <s v="Child/Youth"/>
    <x v="0"/>
    <n v="381176"/>
  </r>
  <r>
    <x v="63"/>
    <s v="Child/Youth Single Bus Trip 1"/>
    <x v="0"/>
    <n v="2"/>
  </r>
  <r>
    <x v="63"/>
    <s v="Child/Youth Single Bus Trip 2"/>
    <x v="0"/>
    <n v="18"/>
  </r>
  <r>
    <x v="63"/>
    <s v="Child/Youth Single Bus Trip 3"/>
    <x v="0"/>
    <n v="3"/>
  </r>
  <r>
    <x v="63"/>
    <s v="Concession"/>
    <x v="0"/>
    <n v="314007"/>
  </r>
  <r>
    <x v="63"/>
    <s v="Day Pass Child/Youth w/o SAF"/>
    <x v="0"/>
    <n v="2"/>
  </r>
  <r>
    <x v="63"/>
    <s v="Day Pass without SAF"/>
    <x v="0"/>
    <n v="512"/>
  </r>
  <r>
    <x v="63"/>
    <s v="Employee"/>
    <x v="0"/>
    <n v="35329"/>
  </r>
  <r>
    <x v="63"/>
    <s v="Free Travel"/>
    <x v="0"/>
    <n v="16626"/>
  </r>
  <r>
    <x v="63"/>
    <s v="On Demand"/>
    <x v="0"/>
    <n v="12369"/>
  </r>
  <r>
    <x v="63"/>
    <s v="School Student"/>
    <x v="0"/>
    <n v="460443"/>
  </r>
  <r>
    <x v="63"/>
    <s v="Senior/Pensioner"/>
    <x v="0"/>
    <n v="1967905"/>
  </r>
  <r>
    <x v="63"/>
    <s v="Adult"/>
    <x v="1"/>
    <n v="112548"/>
  </r>
  <r>
    <x v="63"/>
    <s v="CTP"/>
    <x v="1"/>
    <n v="109228"/>
  </r>
  <r>
    <x v="63"/>
    <s v="Child/Youth"/>
    <x v="1"/>
    <n v="21759"/>
  </r>
  <r>
    <x v="63"/>
    <s v="Concession"/>
    <x v="1"/>
    <n v="7215"/>
  </r>
  <r>
    <x v="63"/>
    <s v="Day Pass without SAF"/>
    <x v="1"/>
    <n v="2"/>
  </r>
  <r>
    <x v="63"/>
    <s v="Employee"/>
    <x v="1"/>
    <n v="2394"/>
  </r>
  <r>
    <x v="63"/>
    <s v="Free Travel"/>
    <x v="1"/>
    <n v="880"/>
  </r>
  <r>
    <x v="63"/>
    <s v="School Student"/>
    <x v="1"/>
    <n v="2953"/>
  </r>
  <r>
    <x v="63"/>
    <s v="Senior/Pensioner"/>
    <x v="1"/>
    <n v="71248"/>
  </r>
  <r>
    <x v="63"/>
    <s v="Sgl Trip Ferry Adult"/>
    <x v="1"/>
    <n v="2157"/>
  </r>
  <r>
    <x v="63"/>
    <s v="Sgl Trip Ferry Child/Youth"/>
    <x v="1"/>
    <n v="2099"/>
  </r>
  <r>
    <x v="63"/>
    <s v="Adult"/>
    <x v="2"/>
    <n v="372123"/>
  </r>
  <r>
    <x v="63"/>
    <s v="CTP"/>
    <x v="2"/>
    <n v="255765"/>
  </r>
  <r>
    <x v="63"/>
    <s v="Child/Youth"/>
    <x v="2"/>
    <n v="25393"/>
  </r>
  <r>
    <x v="63"/>
    <s v="Concession"/>
    <x v="2"/>
    <n v="43886"/>
  </r>
  <r>
    <x v="63"/>
    <s v="Day Pass Child/Youth w/o SAF"/>
    <x v="2"/>
    <n v="1"/>
  </r>
  <r>
    <x v="63"/>
    <s v="Day Pass without SAF"/>
    <x v="2"/>
    <n v="29"/>
  </r>
  <r>
    <x v="63"/>
    <s v="Employee"/>
    <x v="2"/>
    <n v="3691"/>
  </r>
  <r>
    <x v="63"/>
    <s v="Free Travel"/>
    <x v="2"/>
    <n v="1076"/>
  </r>
  <r>
    <x v="63"/>
    <s v="School Student"/>
    <x v="2"/>
    <n v="11144"/>
  </r>
  <r>
    <x v="63"/>
    <s v="Senior/Pensioner"/>
    <x v="2"/>
    <n v="131606"/>
  </r>
  <r>
    <x v="63"/>
    <s v="Sgl Trip LR Adult"/>
    <x v="2"/>
    <n v="385"/>
  </r>
  <r>
    <x v="63"/>
    <s v="Sgl Trip LR Child/Youth"/>
    <x v="2"/>
    <n v="303"/>
  </r>
  <r>
    <x v="63"/>
    <s v="Adult"/>
    <x v="4"/>
    <n v="280790"/>
  </r>
  <r>
    <x v="63"/>
    <s v="CTP"/>
    <x v="4"/>
    <n v="136772"/>
  </r>
  <r>
    <x v="63"/>
    <s v="Child/Youth"/>
    <x v="4"/>
    <n v="36456"/>
  </r>
  <r>
    <x v="63"/>
    <s v="Concession"/>
    <x v="4"/>
    <n v="44037"/>
  </r>
  <r>
    <x v="63"/>
    <s v="Day Pass without SAF"/>
    <x v="4"/>
    <n v="4"/>
  </r>
  <r>
    <x v="63"/>
    <s v="Employee"/>
    <x v="4"/>
    <n v="3504"/>
  </r>
  <r>
    <x v="63"/>
    <s v="Free Travel"/>
    <x v="4"/>
    <n v="569"/>
  </r>
  <r>
    <x v="63"/>
    <s v="School Student"/>
    <x v="4"/>
    <n v="28833"/>
  </r>
  <r>
    <x v="63"/>
    <s v="Senior/Pensioner"/>
    <x v="4"/>
    <n v="48030"/>
  </r>
  <r>
    <x v="63"/>
    <s v="Sgl Trip Rail Adult"/>
    <x v="4"/>
    <n v="1249"/>
  </r>
  <r>
    <x v="63"/>
    <s v="Sgl Trip Rail Child/Youth"/>
    <x v="4"/>
    <n v="1933"/>
  </r>
  <r>
    <x v="63"/>
    <s v="Adult"/>
    <x v="3"/>
    <n v="4898487"/>
  </r>
  <r>
    <x v="63"/>
    <s v="CTP"/>
    <x v="3"/>
    <n v="2257721"/>
  </r>
  <r>
    <x v="63"/>
    <s v="Child/Youth"/>
    <x v="3"/>
    <n v="268070"/>
  </r>
  <r>
    <x v="63"/>
    <s v="Concession"/>
    <x v="3"/>
    <n v="377617"/>
  </r>
  <r>
    <x v="63"/>
    <s v="Day Pass Child/Youth w/o SAF"/>
    <x v="3"/>
    <n v="6"/>
  </r>
  <r>
    <x v="63"/>
    <s v="Day Pass without SAF"/>
    <x v="3"/>
    <n v="476"/>
  </r>
  <r>
    <x v="63"/>
    <s v="Employee"/>
    <x v="3"/>
    <n v="116346"/>
  </r>
  <r>
    <x v="63"/>
    <s v="Free Travel"/>
    <x v="3"/>
    <n v="10412"/>
  </r>
  <r>
    <x v="63"/>
    <s v="School Student"/>
    <x v="3"/>
    <n v="245858"/>
  </r>
  <r>
    <x v="63"/>
    <s v="Senior/Pensioner"/>
    <x v="3"/>
    <n v="1045123"/>
  </r>
  <r>
    <x v="63"/>
    <s v="Sgl Trip Rail Adult"/>
    <x v="3"/>
    <n v="20147"/>
  </r>
  <r>
    <x v="63"/>
    <s v="Sgl Trip Rail Child/Youth"/>
    <x v="3"/>
    <n v="16303"/>
  </r>
  <r>
    <x v="64"/>
    <s v="Adult"/>
    <x v="0"/>
    <n v="4475868"/>
  </r>
  <r>
    <x v="64"/>
    <s v="Adult Single Bus Trip 1"/>
    <x v="0"/>
    <n v="93"/>
  </r>
  <r>
    <x v="64"/>
    <s v="Adult Single Bus Trip 2"/>
    <x v="0"/>
    <n v="34"/>
  </r>
  <r>
    <x v="64"/>
    <s v="Adult Single Bus Trip 3"/>
    <x v="0"/>
    <n v="10"/>
  </r>
  <r>
    <x v="64"/>
    <s v="CTP"/>
    <x v="0"/>
    <n v="2702675"/>
  </r>
  <r>
    <x v="64"/>
    <s v="Child/Youth"/>
    <x v="0"/>
    <n v="519653"/>
  </r>
  <r>
    <x v="64"/>
    <s v="Child/Youth Single Bus Trip 2"/>
    <x v="0"/>
    <n v="3"/>
  </r>
  <r>
    <x v="64"/>
    <s v="Concession"/>
    <x v="0"/>
    <n v="479864"/>
  </r>
  <r>
    <x v="64"/>
    <s v="Day Pass Child/Youth w/o SAF"/>
    <x v="0"/>
    <n v="3"/>
  </r>
  <r>
    <x v="64"/>
    <s v="Day Pass without SAF"/>
    <x v="0"/>
    <n v="528"/>
  </r>
  <r>
    <x v="64"/>
    <s v="Employee"/>
    <x v="0"/>
    <n v="47652"/>
  </r>
  <r>
    <x v="64"/>
    <s v="Free Travel"/>
    <x v="0"/>
    <n v="22062"/>
  </r>
  <r>
    <x v="64"/>
    <s v="On Demand"/>
    <x v="0"/>
    <n v="17583"/>
  </r>
  <r>
    <x v="64"/>
    <s v="School Student"/>
    <x v="0"/>
    <n v="1582582"/>
  </r>
  <r>
    <x v="64"/>
    <s v="Senior/Pensioner"/>
    <x v="0"/>
    <n v="2587962"/>
  </r>
  <r>
    <x v="64"/>
    <s v="Adult"/>
    <x v="1"/>
    <n v="149851"/>
  </r>
  <r>
    <x v="64"/>
    <s v="CTP"/>
    <x v="1"/>
    <n v="145215"/>
  </r>
  <r>
    <x v="64"/>
    <s v="Child/Youth"/>
    <x v="1"/>
    <n v="19692"/>
  </r>
  <r>
    <x v="64"/>
    <s v="Concession"/>
    <x v="1"/>
    <n v="8697"/>
  </r>
  <r>
    <x v="64"/>
    <s v="Day Pass without SAF"/>
    <x v="1"/>
    <n v="2"/>
  </r>
  <r>
    <x v="64"/>
    <s v="Employee"/>
    <x v="1"/>
    <n v="2839"/>
  </r>
  <r>
    <x v="64"/>
    <s v="Free Travel"/>
    <x v="1"/>
    <n v="1169"/>
  </r>
  <r>
    <x v="64"/>
    <s v="School Student"/>
    <x v="1"/>
    <n v="8679"/>
  </r>
  <r>
    <x v="64"/>
    <s v="Senior/Pensioner"/>
    <x v="1"/>
    <n v="98389"/>
  </r>
  <r>
    <x v="64"/>
    <s v="Sgl Trip Ferry Adult"/>
    <x v="1"/>
    <n v="4208"/>
  </r>
  <r>
    <x v="64"/>
    <s v="Sgl Trip Ferry Child/Youth"/>
    <x v="1"/>
    <n v="2455"/>
  </r>
  <r>
    <x v="64"/>
    <s v="Adult"/>
    <x v="2"/>
    <n v="436404"/>
  </r>
  <r>
    <x v="64"/>
    <s v="CTP"/>
    <x v="2"/>
    <n v="318933"/>
  </r>
  <r>
    <x v="64"/>
    <s v="Child/Youth"/>
    <x v="2"/>
    <n v="22022"/>
  </r>
  <r>
    <x v="64"/>
    <s v="Concession"/>
    <x v="2"/>
    <n v="61425"/>
  </r>
  <r>
    <x v="64"/>
    <s v="Day Pass Child/Youth w/o SAF"/>
    <x v="2"/>
    <n v="5"/>
  </r>
  <r>
    <x v="64"/>
    <s v="Day Pass without SAF"/>
    <x v="2"/>
    <n v="17"/>
  </r>
  <r>
    <x v="64"/>
    <s v="Employee"/>
    <x v="2"/>
    <n v="4282"/>
  </r>
  <r>
    <x v="64"/>
    <s v="Free Travel"/>
    <x v="2"/>
    <n v="1292"/>
  </r>
  <r>
    <x v="64"/>
    <s v="School Student"/>
    <x v="2"/>
    <n v="25205"/>
  </r>
  <r>
    <x v="64"/>
    <s v="Senior/Pensioner"/>
    <x v="2"/>
    <n v="150267"/>
  </r>
  <r>
    <x v="64"/>
    <s v="Sgl Trip LR Adult"/>
    <x v="2"/>
    <n v="494"/>
  </r>
  <r>
    <x v="64"/>
    <s v="Sgl Trip LR Child/Youth"/>
    <x v="2"/>
    <n v="293"/>
  </r>
  <r>
    <x v="64"/>
    <s v="Adult"/>
    <x v="4"/>
    <n v="452954"/>
  </r>
  <r>
    <x v="64"/>
    <s v="CTP"/>
    <x v="4"/>
    <n v="216940"/>
  </r>
  <r>
    <x v="64"/>
    <s v="Child/Youth"/>
    <x v="4"/>
    <n v="55977"/>
  </r>
  <r>
    <x v="64"/>
    <s v="Concession"/>
    <x v="4"/>
    <n v="72774"/>
  </r>
  <r>
    <x v="64"/>
    <s v="Day Pass without SAF"/>
    <x v="4"/>
    <n v="5"/>
  </r>
  <r>
    <x v="64"/>
    <s v="Employee"/>
    <x v="4"/>
    <n v="5866"/>
  </r>
  <r>
    <x v="64"/>
    <s v="Free Travel"/>
    <x v="4"/>
    <n v="967"/>
  </r>
  <r>
    <x v="64"/>
    <s v="School Student"/>
    <x v="4"/>
    <n v="116422"/>
  </r>
  <r>
    <x v="64"/>
    <s v="Senior/Pensioner"/>
    <x v="4"/>
    <n v="81250"/>
  </r>
  <r>
    <x v="64"/>
    <s v="Sgl Trip Rail Adult"/>
    <x v="4"/>
    <n v="2200"/>
  </r>
  <r>
    <x v="64"/>
    <s v="Sgl Trip Rail Child/Youth"/>
    <x v="4"/>
    <n v="2666"/>
  </r>
  <r>
    <x v="64"/>
    <s v="Adult"/>
    <x v="3"/>
    <n v="7240864"/>
  </r>
  <r>
    <x v="64"/>
    <s v="CTP"/>
    <x v="3"/>
    <n v="3480234"/>
  </r>
  <r>
    <x v="64"/>
    <s v="Child/Youth"/>
    <x v="3"/>
    <n v="385203"/>
  </r>
  <r>
    <x v="64"/>
    <s v="Concession"/>
    <x v="3"/>
    <n v="625489"/>
  </r>
  <r>
    <x v="64"/>
    <s v="Day Pass Child/Youth w/o SAF"/>
    <x v="3"/>
    <n v="11"/>
  </r>
  <r>
    <x v="64"/>
    <s v="Day Pass without SAF"/>
    <x v="3"/>
    <n v="507"/>
  </r>
  <r>
    <x v="64"/>
    <s v="Employee"/>
    <x v="3"/>
    <n v="176091"/>
  </r>
  <r>
    <x v="64"/>
    <s v="Free Travel"/>
    <x v="3"/>
    <n v="16182"/>
  </r>
  <r>
    <x v="64"/>
    <s v="School Student"/>
    <x v="3"/>
    <n v="947788"/>
  </r>
  <r>
    <x v="64"/>
    <s v="Senior/Pensioner"/>
    <x v="3"/>
    <n v="1631839"/>
  </r>
  <r>
    <x v="64"/>
    <s v="Sgl Trip Rail Adult"/>
    <x v="3"/>
    <n v="41254"/>
  </r>
  <r>
    <x v="64"/>
    <s v="Sgl Trip Rail Child/Youth"/>
    <x v="3"/>
    <n v="22923"/>
  </r>
  <r>
    <x v="65"/>
    <s v="Adult"/>
    <x v="0"/>
    <n v="4224733"/>
  </r>
  <r>
    <x v="65"/>
    <s v="Adult Single Bus Trip 1"/>
    <x v="0"/>
    <n v="124"/>
  </r>
  <r>
    <x v="65"/>
    <s v="Adult Single Bus Trip 2"/>
    <x v="0"/>
    <n v="44"/>
  </r>
  <r>
    <x v="65"/>
    <s v="Adult Single Bus Trip 3"/>
    <x v="0"/>
    <n v="19"/>
  </r>
  <r>
    <x v="65"/>
    <s v="CTP"/>
    <x v="0"/>
    <n v="2631049"/>
  </r>
  <r>
    <x v="65"/>
    <s v="Child/Youth"/>
    <x v="0"/>
    <n v="637255"/>
  </r>
  <r>
    <x v="65"/>
    <s v="Child/Youth Single Bus Trip 1"/>
    <x v="0"/>
    <n v="1"/>
  </r>
  <r>
    <x v="65"/>
    <s v="Child/Youth Single Bus Trip 2"/>
    <x v="0"/>
    <n v="2"/>
  </r>
  <r>
    <x v="65"/>
    <s v="Concession"/>
    <x v="0"/>
    <n v="471774"/>
  </r>
  <r>
    <x v="65"/>
    <s v="Day Pass Child/Youth w/o SAF"/>
    <x v="0"/>
    <n v="21"/>
  </r>
  <r>
    <x v="65"/>
    <s v="Day Pass without SAF"/>
    <x v="0"/>
    <n v="604"/>
  </r>
  <r>
    <x v="65"/>
    <s v="Employee"/>
    <x v="0"/>
    <n v="47570"/>
  </r>
  <r>
    <x v="65"/>
    <s v="Free Travel"/>
    <x v="0"/>
    <n v="21412"/>
  </r>
  <r>
    <x v="65"/>
    <s v="On Demand"/>
    <x v="0"/>
    <n v="18475"/>
  </r>
  <r>
    <x v="65"/>
    <s v="School Student"/>
    <x v="0"/>
    <n v="603437"/>
  </r>
  <r>
    <x v="65"/>
    <s v="Senior/Pensioner"/>
    <x v="0"/>
    <n v="2490492"/>
  </r>
  <r>
    <x v="65"/>
    <s v="Adult"/>
    <x v="1"/>
    <n v="209567"/>
  </r>
  <r>
    <x v="65"/>
    <s v="CTP"/>
    <x v="1"/>
    <n v="217890"/>
  </r>
  <r>
    <x v="65"/>
    <s v="Child/Youth"/>
    <x v="1"/>
    <n v="52941"/>
  </r>
  <r>
    <x v="65"/>
    <s v="Concession"/>
    <x v="1"/>
    <n v="12388"/>
  </r>
  <r>
    <x v="65"/>
    <s v="Day Pass Child/Youth w/o SAF"/>
    <x v="1"/>
    <n v="7"/>
  </r>
  <r>
    <x v="65"/>
    <s v="Day Pass without SAF"/>
    <x v="1"/>
    <n v="48"/>
  </r>
  <r>
    <x v="65"/>
    <s v="Employee"/>
    <x v="1"/>
    <n v="3825"/>
  </r>
  <r>
    <x v="65"/>
    <s v="Free Travel"/>
    <x v="1"/>
    <n v="1331"/>
  </r>
  <r>
    <x v="65"/>
    <s v="School Student"/>
    <x v="1"/>
    <n v="5125"/>
  </r>
  <r>
    <x v="65"/>
    <s v="Senior/Pensioner"/>
    <x v="1"/>
    <n v="107297"/>
  </r>
  <r>
    <x v="65"/>
    <s v="Sgl Trip Ferry Adult"/>
    <x v="1"/>
    <n v="12391"/>
  </r>
  <r>
    <x v="65"/>
    <s v="Sgl Trip Ferry Child/Youth"/>
    <x v="1"/>
    <n v="9570"/>
  </r>
  <r>
    <x v="65"/>
    <s v="Adult"/>
    <x v="2"/>
    <n v="567365"/>
  </r>
  <r>
    <x v="65"/>
    <s v="CTP"/>
    <x v="2"/>
    <n v="403722"/>
  </r>
  <r>
    <x v="65"/>
    <s v="Child/Youth"/>
    <x v="2"/>
    <n v="54227"/>
  </r>
  <r>
    <x v="65"/>
    <s v="Concession"/>
    <x v="2"/>
    <n v="68888"/>
  </r>
  <r>
    <x v="65"/>
    <s v="Day Pass Child/Youth w/o SAF"/>
    <x v="2"/>
    <n v="3"/>
  </r>
  <r>
    <x v="65"/>
    <s v="Day Pass without SAF"/>
    <x v="2"/>
    <n v="40"/>
  </r>
  <r>
    <x v="65"/>
    <s v="Employee"/>
    <x v="2"/>
    <n v="5869"/>
  </r>
  <r>
    <x v="65"/>
    <s v="Free Travel"/>
    <x v="2"/>
    <n v="1851"/>
  </r>
  <r>
    <x v="65"/>
    <s v="School Student"/>
    <x v="2"/>
    <n v="14805"/>
  </r>
  <r>
    <x v="65"/>
    <s v="Senior/Pensioner"/>
    <x v="2"/>
    <n v="187658"/>
  </r>
  <r>
    <x v="65"/>
    <s v="Sgl Trip LR Adult"/>
    <x v="2"/>
    <n v="1140"/>
  </r>
  <r>
    <x v="65"/>
    <s v="Sgl Trip LR Child/Youth"/>
    <x v="2"/>
    <n v="855"/>
  </r>
  <r>
    <x v="65"/>
    <s v="Adult"/>
    <x v="4"/>
    <n v="468401"/>
  </r>
  <r>
    <x v="65"/>
    <s v="CTP"/>
    <x v="4"/>
    <n v="244548"/>
  </r>
  <r>
    <x v="65"/>
    <s v="Child/Youth"/>
    <x v="4"/>
    <n v="89830"/>
  </r>
  <r>
    <x v="65"/>
    <s v="Concession"/>
    <x v="4"/>
    <n v="79637"/>
  </r>
  <r>
    <x v="65"/>
    <s v="Day Pass without SAF"/>
    <x v="4"/>
    <n v="13"/>
  </r>
  <r>
    <x v="65"/>
    <s v="Employee"/>
    <x v="4"/>
    <n v="6606"/>
  </r>
  <r>
    <x v="65"/>
    <s v="Free Travel"/>
    <x v="4"/>
    <n v="899"/>
  </r>
  <r>
    <x v="65"/>
    <s v="School Student"/>
    <x v="4"/>
    <n v="55544"/>
  </r>
  <r>
    <x v="65"/>
    <s v="Senior/Pensioner"/>
    <x v="4"/>
    <n v="79251"/>
  </r>
  <r>
    <x v="65"/>
    <s v="Sgl Trip Rail Adult"/>
    <x v="4"/>
    <n v="3228"/>
  </r>
  <r>
    <x v="65"/>
    <s v="Sgl Trip Rail Child/Youth"/>
    <x v="4"/>
    <n v="4165"/>
  </r>
  <r>
    <x v="65"/>
    <s v="Adult"/>
    <x v="3"/>
    <n v="6944384"/>
  </r>
  <r>
    <x v="65"/>
    <s v="CTP"/>
    <x v="3"/>
    <n v="3497237"/>
  </r>
  <r>
    <x v="65"/>
    <s v="Child/Youth"/>
    <x v="3"/>
    <n v="562600"/>
  </r>
  <r>
    <x v="65"/>
    <s v="Concession"/>
    <x v="3"/>
    <n v="639846"/>
  </r>
  <r>
    <x v="65"/>
    <s v="Day Pass Child/Youth w/o SAF"/>
    <x v="3"/>
    <n v="14"/>
  </r>
  <r>
    <x v="65"/>
    <s v="Day Pass without SAF"/>
    <x v="3"/>
    <n v="601"/>
  </r>
  <r>
    <x v="65"/>
    <s v="Employee"/>
    <x v="3"/>
    <n v="176929"/>
  </r>
  <r>
    <x v="65"/>
    <s v="Free Travel"/>
    <x v="3"/>
    <n v="15046"/>
  </r>
  <r>
    <x v="65"/>
    <s v="School Student"/>
    <x v="3"/>
    <n v="387366"/>
  </r>
  <r>
    <x v="65"/>
    <s v="Senior/Pensioner"/>
    <x v="3"/>
    <n v="1586825"/>
  </r>
  <r>
    <x v="65"/>
    <s v="Sgl Trip Rail Adult"/>
    <x v="3"/>
    <n v="55444"/>
  </r>
  <r>
    <x v="65"/>
    <s v="Sgl Trip Rail Child/Youth"/>
    <x v="3"/>
    <n v="34888"/>
  </r>
  <r>
    <x v="66"/>
    <s v="Adult"/>
    <x v="0"/>
    <n v="3280150"/>
  </r>
  <r>
    <x v="66"/>
    <s v="Adult Single Bus Trip 1"/>
    <x v="0"/>
    <n v="93"/>
  </r>
  <r>
    <x v="66"/>
    <s v="Adult Single Bus Trip 2"/>
    <x v="0"/>
    <n v="21"/>
  </r>
  <r>
    <x v="66"/>
    <s v="Adult Single Bus Trip 3"/>
    <x v="0"/>
    <n v="14"/>
  </r>
  <r>
    <x v="66"/>
    <s v="CTP"/>
    <x v="0"/>
    <n v="2088109"/>
  </r>
  <r>
    <x v="66"/>
    <s v="Child/Youth"/>
    <x v="0"/>
    <n v="552340"/>
  </r>
  <r>
    <x v="66"/>
    <s v="Child/Youth Single Bus Trip 1"/>
    <x v="0"/>
    <n v="2"/>
  </r>
  <r>
    <x v="66"/>
    <s v="Child/Youth Single Bus Trip 2"/>
    <x v="0"/>
    <n v="1"/>
  </r>
  <r>
    <x v="66"/>
    <s v="Concession"/>
    <x v="0"/>
    <n v="332743"/>
  </r>
  <r>
    <x v="66"/>
    <s v="Day Pass Child/Youth w/o SAF"/>
    <x v="0"/>
    <n v="9"/>
  </r>
  <r>
    <x v="66"/>
    <s v="Day Pass without SAF"/>
    <x v="0"/>
    <n v="437"/>
  </r>
  <r>
    <x v="66"/>
    <s v="Employee"/>
    <x v="0"/>
    <n v="37542"/>
  </r>
  <r>
    <x v="66"/>
    <s v="Free Travel"/>
    <x v="0"/>
    <n v="16557"/>
  </r>
  <r>
    <x v="66"/>
    <s v="On Demand"/>
    <x v="0"/>
    <n v="15290"/>
  </r>
  <r>
    <x v="66"/>
    <s v="School Student"/>
    <x v="0"/>
    <n v="23011"/>
  </r>
  <r>
    <x v="66"/>
    <s v="Senior/Pensioner"/>
    <x v="0"/>
    <n v="1915765"/>
  </r>
  <r>
    <x v="66"/>
    <s v="Adult"/>
    <x v="1"/>
    <n v="201854"/>
  </r>
  <r>
    <x v="66"/>
    <s v="CTP"/>
    <x v="1"/>
    <n v="211482"/>
  </r>
  <r>
    <x v="66"/>
    <s v="Child/Youth"/>
    <x v="1"/>
    <n v="70512"/>
  </r>
  <r>
    <x v="66"/>
    <s v="Concession"/>
    <x v="1"/>
    <n v="10798"/>
  </r>
  <r>
    <x v="66"/>
    <s v="Day Pass Child/Youth w/o SAF"/>
    <x v="1"/>
    <n v="2"/>
  </r>
  <r>
    <x v="66"/>
    <s v="Day Pass without SAF"/>
    <x v="1"/>
    <n v="8"/>
  </r>
  <r>
    <x v="66"/>
    <s v="Employee"/>
    <x v="1"/>
    <n v="4167"/>
  </r>
  <r>
    <x v="66"/>
    <s v="Free Travel"/>
    <x v="1"/>
    <n v="1295"/>
  </r>
  <r>
    <x v="66"/>
    <s v="School Student"/>
    <x v="1"/>
    <n v="584"/>
  </r>
  <r>
    <x v="66"/>
    <s v="Senior/Pensioner"/>
    <x v="1"/>
    <n v="96703"/>
  </r>
  <r>
    <x v="66"/>
    <s v="Sgl Trip Ferry Adult"/>
    <x v="1"/>
    <n v="15507"/>
  </r>
  <r>
    <x v="66"/>
    <s v="Sgl Trip Ferry Child/Youth"/>
    <x v="1"/>
    <n v="13836"/>
  </r>
  <r>
    <x v="66"/>
    <s v="Adult"/>
    <x v="2"/>
    <n v="451366"/>
  </r>
  <r>
    <x v="66"/>
    <s v="CTP"/>
    <x v="2"/>
    <n v="312879"/>
  </r>
  <r>
    <x v="66"/>
    <s v="Child/Youth"/>
    <x v="2"/>
    <n v="55106"/>
  </r>
  <r>
    <x v="66"/>
    <s v="Concession"/>
    <x v="2"/>
    <n v="45876"/>
  </r>
  <r>
    <x v="66"/>
    <s v="Day Pass Child/Youth w/o SAF"/>
    <x v="2"/>
    <n v="1"/>
  </r>
  <r>
    <x v="66"/>
    <s v="Day Pass without SAF"/>
    <x v="2"/>
    <n v="26"/>
  </r>
  <r>
    <x v="66"/>
    <s v="Employee"/>
    <x v="2"/>
    <n v="4664"/>
  </r>
  <r>
    <x v="66"/>
    <s v="Free Travel"/>
    <x v="2"/>
    <n v="1471"/>
  </r>
  <r>
    <x v="66"/>
    <s v="School Student"/>
    <x v="2"/>
    <n v="793"/>
  </r>
  <r>
    <x v="66"/>
    <s v="Senior/Pensioner"/>
    <x v="2"/>
    <n v="143982"/>
  </r>
  <r>
    <x v="66"/>
    <s v="Sgl Trip LR Adult"/>
    <x v="2"/>
    <n v="1067"/>
  </r>
  <r>
    <x v="66"/>
    <s v="Sgl Trip LR Child/Youth"/>
    <x v="2"/>
    <n v="873"/>
  </r>
  <r>
    <x v="66"/>
    <s v="Adult"/>
    <x v="4"/>
    <n v="303258"/>
  </r>
  <r>
    <x v="66"/>
    <s v="CTP"/>
    <x v="4"/>
    <n v="161355"/>
  </r>
  <r>
    <x v="66"/>
    <s v="Child/Youth"/>
    <x v="4"/>
    <n v="72529"/>
  </r>
  <r>
    <x v="66"/>
    <s v="Concession"/>
    <x v="4"/>
    <n v="50098"/>
  </r>
  <r>
    <x v="66"/>
    <s v="Day Pass without SAF"/>
    <x v="4"/>
    <n v="5"/>
  </r>
  <r>
    <x v="66"/>
    <s v="Employee"/>
    <x v="4"/>
    <n v="4492"/>
  </r>
  <r>
    <x v="66"/>
    <s v="Free Travel"/>
    <x v="4"/>
    <n v="620"/>
  </r>
  <r>
    <x v="66"/>
    <s v="School Student"/>
    <x v="4"/>
    <n v="2758"/>
  </r>
  <r>
    <x v="66"/>
    <s v="Senior/Pensioner"/>
    <x v="4"/>
    <n v="48621"/>
  </r>
  <r>
    <x v="66"/>
    <s v="Sgl Trip Rail Adult"/>
    <x v="4"/>
    <n v="1974"/>
  </r>
  <r>
    <x v="66"/>
    <s v="Sgl Trip Rail Child/Youth"/>
    <x v="4"/>
    <n v="3432"/>
  </r>
  <r>
    <x v="66"/>
    <s v="Adult"/>
    <x v="3"/>
    <n v="5176801"/>
  </r>
  <r>
    <x v="66"/>
    <s v="CTP"/>
    <x v="3"/>
    <n v="2554131"/>
  </r>
  <r>
    <x v="66"/>
    <s v="Child/Youth"/>
    <x v="3"/>
    <n v="505128"/>
  </r>
  <r>
    <x v="66"/>
    <s v="Concession"/>
    <x v="3"/>
    <n v="429252"/>
  </r>
  <r>
    <x v="66"/>
    <s v="Day Pass Child/Youth w/o SAF"/>
    <x v="3"/>
    <n v="5"/>
  </r>
  <r>
    <x v="66"/>
    <s v="Day Pass without SAF"/>
    <x v="3"/>
    <n v="574"/>
  </r>
  <r>
    <x v="66"/>
    <s v="Employee"/>
    <x v="3"/>
    <n v="139527"/>
  </r>
  <r>
    <x v="66"/>
    <s v="Free Travel"/>
    <x v="3"/>
    <n v="10852"/>
  </r>
  <r>
    <x v="66"/>
    <s v="School Student"/>
    <x v="3"/>
    <n v="18336"/>
  </r>
  <r>
    <x v="66"/>
    <s v="Senior/Pensioner"/>
    <x v="3"/>
    <n v="1149408"/>
  </r>
  <r>
    <x v="66"/>
    <s v="Sgl Trip Rail Adult"/>
    <x v="3"/>
    <n v="40368"/>
  </r>
  <r>
    <x v="66"/>
    <s v="Sgl Trip Rail Child/Youth"/>
    <x v="3"/>
    <n v="32074"/>
  </r>
  <r>
    <x v="67"/>
    <s v="Adult"/>
    <x v="0"/>
    <n v="4244808"/>
  </r>
  <r>
    <x v="67"/>
    <s v="Adult Single Bus Trip 1"/>
    <x v="0"/>
    <n v="73"/>
  </r>
  <r>
    <x v="67"/>
    <s v="Adult Single Bus Trip 2"/>
    <x v="0"/>
    <n v="28"/>
  </r>
  <r>
    <x v="67"/>
    <s v="Adult Single Bus Trip 3"/>
    <x v="0"/>
    <n v="7"/>
  </r>
  <r>
    <x v="67"/>
    <s v="CTP"/>
    <x v="0"/>
    <n v="2739591"/>
  </r>
  <r>
    <x v="67"/>
    <s v="Child/Youth"/>
    <x v="0"/>
    <n v="562929"/>
  </r>
  <r>
    <x v="67"/>
    <s v="Child/Youth Single Bus Trip 1"/>
    <x v="0"/>
    <n v="1"/>
  </r>
  <r>
    <x v="67"/>
    <s v="Child/Youth Single Bus Trip 2"/>
    <x v="0"/>
    <n v="3"/>
  </r>
  <r>
    <x v="67"/>
    <s v="Concession"/>
    <x v="0"/>
    <n v="566350"/>
  </r>
  <r>
    <x v="67"/>
    <s v="Day Pass without SAF"/>
    <x v="0"/>
    <n v="389"/>
  </r>
  <r>
    <x v="67"/>
    <s v="Employee"/>
    <x v="0"/>
    <n v="44817"/>
  </r>
  <r>
    <x v="67"/>
    <s v="Free Travel"/>
    <x v="0"/>
    <n v="20091"/>
  </r>
  <r>
    <x v="67"/>
    <s v="On Demand"/>
    <x v="0"/>
    <n v="18034"/>
  </r>
  <r>
    <x v="67"/>
    <s v="School Student"/>
    <x v="0"/>
    <n v="1483705"/>
  </r>
  <r>
    <x v="67"/>
    <s v="Senior/Pensioner"/>
    <x v="0"/>
    <n v="2280735"/>
  </r>
  <r>
    <x v="67"/>
    <s v="Adult"/>
    <x v="1"/>
    <n v="173621"/>
  </r>
  <r>
    <x v="67"/>
    <s v="CTP"/>
    <x v="1"/>
    <n v="184821"/>
  </r>
  <r>
    <x v="67"/>
    <s v="Child/Youth"/>
    <x v="1"/>
    <n v="23157"/>
  </r>
  <r>
    <x v="67"/>
    <s v="Concession"/>
    <x v="1"/>
    <n v="12268"/>
  </r>
  <r>
    <x v="67"/>
    <s v="Day Pass without SAF"/>
    <x v="1"/>
    <n v="4"/>
  </r>
  <r>
    <x v="67"/>
    <s v="Employee"/>
    <x v="1"/>
    <n v="3539"/>
  </r>
  <r>
    <x v="67"/>
    <s v="Free Travel"/>
    <x v="1"/>
    <n v="1061"/>
  </r>
  <r>
    <x v="67"/>
    <s v="School Student"/>
    <x v="1"/>
    <n v="9522"/>
  </r>
  <r>
    <x v="67"/>
    <s v="Senior/Pensioner"/>
    <x v="1"/>
    <n v="99494"/>
  </r>
  <r>
    <x v="67"/>
    <s v="Sgl Trip Ferry Adult"/>
    <x v="1"/>
    <n v="7854"/>
  </r>
  <r>
    <x v="67"/>
    <s v="Sgl Trip Ferry Child/Youth"/>
    <x v="1"/>
    <n v="3791"/>
  </r>
  <r>
    <x v="67"/>
    <s v="Adult"/>
    <x v="2"/>
    <n v="553409"/>
  </r>
  <r>
    <x v="67"/>
    <s v="CTP"/>
    <x v="2"/>
    <n v="400830"/>
  </r>
  <r>
    <x v="67"/>
    <s v="Child/Youth"/>
    <x v="2"/>
    <n v="51964"/>
  </r>
  <r>
    <x v="67"/>
    <s v="Concession"/>
    <x v="2"/>
    <n v="140277"/>
  </r>
  <r>
    <x v="67"/>
    <s v="Day Pass without SAF"/>
    <x v="2"/>
    <n v="15"/>
  </r>
  <r>
    <x v="67"/>
    <s v="Employee"/>
    <x v="2"/>
    <n v="4984"/>
  </r>
  <r>
    <x v="67"/>
    <s v="Free Travel"/>
    <x v="2"/>
    <n v="1776"/>
  </r>
  <r>
    <x v="67"/>
    <s v="School Student"/>
    <x v="2"/>
    <n v="35281"/>
  </r>
  <r>
    <x v="67"/>
    <s v="Senior/Pensioner"/>
    <x v="2"/>
    <n v="180145"/>
  </r>
  <r>
    <x v="67"/>
    <s v="Sgl Trip LR Adult"/>
    <x v="2"/>
    <n v="991"/>
  </r>
  <r>
    <x v="67"/>
    <s v="Sgl Trip LR Child/Youth"/>
    <x v="2"/>
    <n v="415"/>
  </r>
  <r>
    <x v="67"/>
    <s v="Adult"/>
    <x v="4"/>
    <n v="392103"/>
  </r>
  <r>
    <x v="67"/>
    <s v="CTP"/>
    <x v="4"/>
    <n v="208243"/>
  </r>
  <r>
    <x v="67"/>
    <s v="Child/Youth"/>
    <x v="4"/>
    <n v="69520"/>
  </r>
  <r>
    <x v="67"/>
    <s v="Concession"/>
    <x v="4"/>
    <n v="90031"/>
  </r>
  <r>
    <x v="67"/>
    <s v="Day Pass without SAF"/>
    <x v="4"/>
    <n v="3"/>
  </r>
  <r>
    <x v="67"/>
    <s v="Employee"/>
    <x v="4"/>
    <n v="5587"/>
  </r>
  <r>
    <x v="67"/>
    <s v="Free Travel"/>
    <x v="4"/>
    <n v="815"/>
  </r>
  <r>
    <x v="67"/>
    <s v="School Student"/>
    <x v="4"/>
    <n v="107578"/>
  </r>
  <r>
    <x v="67"/>
    <s v="Senior/Pensioner"/>
    <x v="4"/>
    <n v="62320"/>
  </r>
  <r>
    <x v="67"/>
    <s v="Sgl Trip Rail Adult"/>
    <x v="4"/>
    <n v="2142"/>
  </r>
  <r>
    <x v="67"/>
    <s v="Sgl Trip Rail Child/Youth"/>
    <x v="4"/>
    <n v="2430"/>
  </r>
  <r>
    <x v="67"/>
    <s v="Adult"/>
    <x v="3"/>
    <n v="6040182"/>
  </r>
  <r>
    <x v="67"/>
    <s v="CTP"/>
    <x v="3"/>
    <n v="3131179"/>
  </r>
  <r>
    <x v="67"/>
    <s v="Child/Youth"/>
    <x v="3"/>
    <n v="446173"/>
  </r>
  <r>
    <x v="67"/>
    <s v="Concession"/>
    <x v="3"/>
    <n v="707095"/>
  </r>
  <r>
    <x v="67"/>
    <s v="Day Pass Child/Youth w/o SAF"/>
    <x v="3"/>
    <n v="2"/>
  </r>
  <r>
    <x v="67"/>
    <s v="Day Pass without SAF"/>
    <x v="3"/>
    <n v="497"/>
  </r>
  <r>
    <x v="67"/>
    <s v="Employee"/>
    <x v="3"/>
    <n v="151437"/>
  </r>
  <r>
    <x v="67"/>
    <s v="Free Travel"/>
    <x v="3"/>
    <n v="13427"/>
  </r>
  <r>
    <x v="67"/>
    <s v="School Student"/>
    <x v="3"/>
    <n v="851333"/>
  </r>
  <r>
    <x v="67"/>
    <s v="Senior/Pensioner"/>
    <x v="3"/>
    <n v="1318743"/>
  </r>
  <r>
    <x v="67"/>
    <s v="Sgl Trip Rail Adult"/>
    <x v="3"/>
    <n v="44855"/>
  </r>
  <r>
    <x v="67"/>
    <s v="Sgl Trip Rail Child/Youth"/>
    <x v="3"/>
    <n v="23762"/>
  </r>
  <r>
    <x v="68"/>
    <s v="Adult"/>
    <x v="0"/>
    <n v="5275005"/>
  </r>
  <r>
    <x v="68"/>
    <s v="Adult Single Bus Trip 1"/>
    <x v="0"/>
    <n v="104"/>
  </r>
  <r>
    <x v="68"/>
    <s v="Adult Single Bus Trip 2"/>
    <x v="0"/>
    <n v="38"/>
  </r>
  <r>
    <x v="68"/>
    <s v="Adult Single Bus Trip 3"/>
    <x v="0"/>
    <n v="14"/>
  </r>
  <r>
    <x v="68"/>
    <s v="CTP"/>
    <x v="0"/>
    <n v="3460409"/>
  </r>
  <r>
    <x v="68"/>
    <s v="Child/Youth"/>
    <x v="0"/>
    <n v="542260"/>
  </r>
  <r>
    <x v="68"/>
    <s v="Child/Youth Single Bus Trip 1"/>
    <x v="0"/>
    <n v="3"/>
  </r>
  <r>
    <x v="68"/>
    <s v="Concession"/>
    <x v="0"/>
    <n v="896181"/>
  </r>
  <r>
    <x v="68"/>
    <s v="Day Pass Child/Youth w/o SAF"/>
    <x v="0"/>
    <n v="18"/>
  </r>
  <r>
    <x v="68"/>
    <s v="Day Pass without SAF"/>
    <x v="0"/>
    <n v="503"/>
  </r>
  <r>
    <x v="68"/>
    <s v="Employee"/>
    <x v="0"/>
    <n v="52935"/>
  </r>
  <r>
    <x v="68"/>
    <s v="Free Travel"/>
    <x v="0"/>
    <n v="23571"/>
  </r>
  <r>
    <x v="68"/>
    <s v="On Demand"/>
    <x v="0"/>
    <n v="21147"/>
  </r>
  <r>
    <x v="68"/>
    <s v="School Student"/>
    <x v="0"/>
    <n v="1469333"/>
  </r>
  <r>
    <x v="68"/>
    <s v="Senior/Pensioner"/>
    <x v="0"/>
    <n v="2664934"/>
  </r>
  <r>
    <x v="68"/>
    <s v="Adult"/>
    <x v="1"/>
    <n v="215463"/>
  </r>
  <r>
    <x v="68"/>
    <s v="CTP"/>
    <x v="1"/>
    <n v="236344"/>
  </r>
  <r>
    <x v="68"/>
    <s v="Child/Youth"/>
    <x v="1"/>
    <n v="31567"/>
  </r>
  <r>
    <x v="68"/>
    <s v="Concession"/>
    <x v="1"/>
    <n v="15266"/>
  </r>
  <r>
    <x v="68"/>
    <s v="Day Pass without SAF"/>
    <x v="1"/>
    <n v="5"/>
  </r>
  <r>
    <x v="68"/>
    <s v="Employee"/>
    <x v="1"/>
    <n v="3318"/>
  </r>
  <r>
    <x v="68"/>
    <s v="Free Travel"/>
    <x v="1"/>
    <n v="1222"/>
  </r>
  <r>
    <x v="68"/>
    <s v="School Student"/>
    <x v="1"/>
    <n v="9308"/>
  </r>
  <r>
    <x v="68"/>
    <s v="Senior/Pensioner"/>
    <x v="1"/>
    <n v="108081"/>
  </r>
  <r>
    <x v="68"/>
    <s v="Sgl Trip Ferry Adult"/>
    <x v="1"/>
    <n v="11094"/>
  </r>
  <r>
    <x v="68"/>
    <s v="Sgl Trip Ferry Child/Youth"/>
    <x v="1"/>
    <n v="5201"/>
  </r>
  <r>
    <x v="68"/>
    <s v="Adult"/>
    <x v="2"/>
    <n v="788385"/>
  </r>
  <r>
    <x v="68"/>
    <s v="CTP"/>
    <x v="2"/>
    <n v="589751"/>
  </r>
  <r>
    <x v="68"/>
    <s v="Child/Youth"/>
    <x v="2"/>
    <n v="56517"/>
  </r>
  <r>
    <x v="68"/>
    <s v="Concession"/>
    <x v="2"/>
    <n v="226808"/>
  </r>
  <r>
    <x v="68"/>
    <s v="Day Pass without SAF"/>
    <x v="2"/>
    <n v="21"/>
  </r>
  <r>
    <x v="68"/>
    <s v="Employee"/>
    <x v="2"/>
    <n v="6799"/>
  </r>
  <r>
    <x v="68"/>
    <s v="Free Travel"/>
    <x v="2"/>
    <n v="2527"/>
  </r>
  <r>
    <x v="68"/>
    <s v="School Student"/>
    <x v="2"/>
    <n v="36097"/>
  </r>
  <r>
    <x v="68"/>
    <s v="Senior/Pensioner"/>
    <x v="2"/>
    <n v="266341"/>
  </r>
  <r>
    <x v="68"/>
    <s v="Sgl Trip LR Adult"/>
    <x v="2"/>
    <n v="1576"/>
  </r>
  <r>
    <x v="68"/>
    <s v="Sgl Trip LR Child/Youth"/>
    <x v="2"/>
    <n v="671"/>
  </r>
  <r>
    <x v="68"/>
    <s v="Adult"/>
    <x v="4"/>
    <n v="545201"/>
  </r>
  <r>
    <x v="68"/>
    <s v="CTP"/>
    <x v="4"/>
    <n v="298153"/>
  </r>
  <r>
    <x v="68"/>
    <s v="Child/Youth"/>
    <x v="4"/>
    <n v="70762"/>
  </r>
  <r>
    <x v="68"/>
    <s v="Concession"/>
    <x v="4"/>
    <n v="184842"/>
  </r>
  <r>
    <x v="68"/>
    <s v="Day Pass without SAF"/>
    <x v="4"/>
    <n v="5"/>
  </r>
  <r>
    <x v="68"/>
    <s v="Employee"/>
    <x v="4"/>
    <n v="7699"/>
  </r>
  <r>
    <x v="68"/>
    <s v="Free Travel"/>
    <x v="4"/>
    <n v="979"/>
  </r>
  <r>
    <x v="68"/>
    <s v="School Student"/>
    <x v="4"/>
    <n v="123529"/>
  </r>
  <r>
    <x v="68"/>
    <s v="Senior/Pensioner"/>
    <x v="4"/>
    <n v="80905"/>
  </r>
  <r>
    <x v="68"/>
    <s v="Sgl Trip Rail Adult"/>
    <x v="4"/>
    <n v="3164"/>
  </r>
  <r>
    <x v="68"/>
    <s v="Sgl Trip Rail Child/Youth"/>
    <x v="4"/>
    <n v="3428"/>
  </r>
  <r>
    <x v="68"/>
    <s v="Adult"/>
    <x v="3"/>
    <n v="7671085"/>
  </r>
  <r>
    <x v="68"/>
    <s v="CTP"/>
    <x v="3"/>
    <n v="4111466"/>
  </r>
  <r>
    <x v="68"/>
    <s v="Child/Youth"/>
    <x v="3"/>
    <n v="420388"/>
  </r>
  <r>
    <x v="68"/>
    <s v="Concession"/>
    <x v="3"/>
    <n v="1170947"/>
  </r>
  <r>
    <x v="68"/>
    <s v="Day Pass Child/Youth w/o SAF"/>
    <x v="3"/>
    <n v="2"/>
  </r>
  <r>
    <x v="68"/>
    <s v="Day Pass without SAF"/>
    <x v="3"/>
    <n v="529"/>
  </r>
  <r>
    <x v="68"/>
    <s v="Employee"/>
    <x v="3"/>
    <n v="189739"/>
  </r>
  <r>
    <x v="68"/>
    <s v="Free Travel"/>
    <x v="3"/>
    <n v="16367"/>
  </r>
  <r>
    <x v="68"/>
    <s v="School Student"/>
    <x v="3"/>
    <n v="911751"/>
  </r>
  <r>
    <x v="68"/>
    <s v="Senior/Pensioner"/>
    <x v="3"/>
    <n v="1614839"/>
  </r>
  <r>
    <x v="68"/>
    <s v="Sgl Trip Rail Adult"/>
    <x v="3"/>
    <n v="62264"/>
  </r>
  <r>
    <x v="68"/>
    <s v="Sgl Trip Rail Child/Youth"/>
    <x v="3"/>
    <n v="26392"/>
  </r>
  <r>
    <x v="69"/>
    <s v="Adult"/>
    <x v="0"/>
    <n v="5006854"/>
  </r>
  <r>
    <x v="69"/>
    <s v="Adult Single Bus Trip 1"/>
    <x v="0"/>
    <n v="149"/>
  </r>
  <r>
    <x v="69"/>
    <s v="Adult Single Bus Trip 2"/>
    <x v="0"/>
    <n v="109"/>
  </r>
  <r>
    <x v="69"/>
    <s v="Adult Single Bus Trip 3"/>
    <x v="0"/>
    <n v="148"/>
  </r>
  <r>
    <x v="69"/>
    <s v="CTP"/>
    <x v="0"/>
    <n v="3146796"/>
  </r>
  <r>
    <x v="69"/>
    <s v="Child/Youth"/>
    <x v="0"/>
    <n v="663096"/>
  </r>
  <r>
    <x v="69"/>
    <s v="Child/Youth Single Bus Trip 1"/>
    <x v="0"/>
    <n v="12"/>
  </r>
  <r>
    <x v="69"/>
    <s v="Child/Youth Single Bus Trip 2"/>
    <x v="0"/>
    <n v="3"/>
  </r>
  <r>
    <x v="69"/>
    <s v="Concession"/>
    <x v="0"/>
    <n v="647357"/>
  </r>
  <r>
    <x v="69"/>
    <s v="Day Pass Child/Youth w/o SAF"/>
    <x v="0"/>
    <n v="6"/>
  </r>
  <r>
    <x v="69"/>
    <s v="Day Pass without SAF"/>
    <x v="0"/>
    <n v="367"/>
  </r>
  <r>
    <x v="69"/>
    <s v="Employee"/>
    <x v="0"/>
    <n v="45399"/>
  </r>
  <r>
    <x v="69"/>
    <s v="Free Travel"/>
    <x v="0"/>
    <n v="20971"/>
  </r>
  <r>
    <x v="69"/>
    <s v="On Demand"/>
    <x v="0"/>
    <n v="19661"/>
  </r>
  <r>
    <x v="69"/>
    <s v="School Student"/>
    <x v="0"/>
    <n v="574559"/>
  </r>
  <r>
    <x v="69"/>
    <s v="Senior/Pensioner"/>
    <x v="0"/>
    <n v="2488231"/>
  </r>
  <r>
    <x v="69"/>
    <s v="Adult"/>
    <x v="1"/>
    <n v="424839"/>
  </r>
  <r>
    <x v="69"/>
    <s v="CTP"/>
    <x v="1"/>
    <n v="352454"/>
  </r>
  <r>
    <x v="69"/>
    <s v="Child/Youth"/>
    <x v="1"/>
    <n v="120905"/>
  </r>
  <r>
    <x v="69"/>
    <s v="Concession"/>
    <x v="1"/>
    <n v="18312"/>
  </r>
  <r>
    <x v="69"/>
    <s v="Day Pass Child/Youth w/o SAF"/>
    <x v="1"/>
    <n v="63"/>
  </r>
  <r>
    <x v="69"/>
    <s v="Day Pass without SAF"/>
    <x v="1"/>
    <n v="28"/>
  </r>
  <r>
    <x v="69"/>
    <s v="Employee"/>
    <x v="1"/>
    <n v="3903"/>
  </r>
  <r>
    <x v="69"/>
    <s v="Free Travel"/>
    <x v="1"/>
    <n v="1305"/>
  </r>
  <r>
    <x v="69"/>
    <s v="School Student"/>
    <x v="1"/>
    <n v="3866"/>
  </r>
  <r>
    <x v="69"/>
    <s v="Senior/Pensioner"/>
    <x v="1"/>
    <n v="141577"/>
  </r>
  <r>
    <x v="69"/>
    <s v="Sgl Trip Ferry Adult"/>
    <x v="1"/>
    <n v="12096"/>
  </r>
  <r>
    <x v="69"/>
    <s v="Sgl Trip Ferry Child/Youth"/>
    <x v="1"/>
    <n v="8094"/>
  </r>
  <r>
    <x v="69"/>
    <s v="Adult"/>
    <x v="2"/>
    <n v="951394"/>
  </r>
  <r>
    <x v="69"/>
    <s v="CTP"/>
    <x v="2"/>
    <n v="615146"/>
  </r>
  <r>
    <x v="69"/>
    <s v="Child/Youth"/>
    <x v="2"/>
    <n v="125332"/>
  </r>
  <r>
    <x v="69"/>
    <s v="Concession"/>
    <x v="2"/>
    <n v="174463"/>
  </r>
  <r>
    <x v="69"/>
    <s v="Day Pass without SAF"/>
    <x v="2"/>
    <n v="6"/>
  </r>
  <r>
    <x v="69"/>
    <s v="Employee"/>
    <x v="2"/>
    <n v="6552"/>
  </r>
  <r>
    <x v="69"/>
    <s v="Free Travel"/>
    <x v="2"/>
    <n v="2358"/>
  </r>
  <r>
    <x v="69"/>
    <s v="School Student"/>
    <x v="2"/>
    <n v="13166"/>
  </r>
  <r>
    <x v="69"/>
    <s v="Senior/Pensioner"/>
    <x v="2"/>
    <n v="278917"/>
  </r>
  <r>
    <x v="69"/>
    <s v="Sgl Trip LR Adult"/>
    <x v="2"/>
    <n v="1659"/>
  </r>
  <r>
    <x v="69"/>
    <s v="Sgl Trip LR Child/Youth"/>
    <x v="2"/>
    <n v="896"/>
  </r>
  <r>
    <x v="69"/>
    <s v="Adult"/>
    <x v="4"/>
    <n v="604787"/>
  </r>
  <r>
    <x v="69"/>
    <s v="CTP"/>
    <x v="4"/>
    <n v="316827"/>
  </r>
  <r>
    <x v="69"/>
    <s v="Child/Youth"/>
    <x v="4"/>
    <n v="126592"/>
  </r>
  <r>
    <x v="69"/>
    <s v="Concession"/>
    <x v="4"/>
    <n v="124694"/>
  </r>
  <r>
    <x v="69"/>
    <s v="Day Pass without SAF"/>
    <x v="4"/>
    <n v="2"/>
  </r>
  <r>
    <x v="69"/>
    <s v="Employee"/>
    <x v="4"/>
    <n v="7373"/>
  </r>
  <r>
    <x v="69"/>
    <s v="Free Travel"/>
    <x v="4"/>
    <n v="931"/>
  </r>
  <r>
    <x v="69"/>
    <s v="School Student"/>
    <x v="4"/>
    <n v="53990"/>
  </r>
  <r>
    <x v="69"/>
    <s v="Senior/Pensioner"/>
    <x v="4"/>
    <n v="96771"/>
  </r>
  <r>
    <x v="69"/>
    <s v="Sgl Trip Rail Adult"/>
    <x v="4"/>
    <n v="2836"/>
  </r>
  <r>
    <x v="69"/>
    <s v="Sgl Trip Rail Child/Youth"/>
    <x v="4"/>
    <n v="3682"/>
  </r>
  <r>
    <x v="69"/>
    <s v="Adult"/>
    <x v="3"/>
    <n v="8524511"/>
  </r>
  <r>
    <x v="69"/>
    <s v="CTP"/>
    <x v="3"/>
    <n v="4535313"/>
  </r>
  <r>
    <x v="69"/>
    <s v="Child/Youth"/>
    <x v="3"/>
    <n v="832396"/>
  </r>
  <r>
    <x v="69"/>
    <s v="Concession"/>
    <x v="3"/>
    <n v="953331"/>
  </r>
  <r>
    <x v="69"/>
    <s v="Day Pass Child/Youth w/o SAF"/>
    <x v="3"/>
    <n v="2"/>
  </r>
  <r>
    <x v="69"/>
    <s v="Day Pass without SAF"/>
    <x v="3"/>
    <n v="477"/>
  </r>
  <r>
    <x v="69"/>
    <s v="Employee"/>
    <x v="3"/>
    <n v="187612"/>
  </r>
  <r>
    <x v="69"/>
    <s v="Free Travel"/>
    <x v="3"/>
    <n v="16992"/>
  </r>
  <r>
    <x v="69"/>
    <s v="School Student"/>
    <x v="3"/>
    <n v="398546"/>
  </r>
  <r>
    <x v="69"/>
    <s v="Senior/Pensioner"/>
    <x v="3"/>
    <n v="1792395"/>
  </r>
  <r>
    <x v="69"/>
    <s v="Sgl Trip Rail Adult"/>
    <x v="3"/>
    <n v="59034"/>
  </r>
  <r>
    <x v="69"/>
    <s v="Sgl Trip Rail Child/Youth"/>
    <x v="3"/>
    <n v="31540"/>
  </r>
  <r>
    <x v="70"/>
    <s v="Adult"/>
    <x v="0"/>
    <n v="5632116"/>
  </r>
  <r>
    <x v="70"/>
    <s v="Adult Single Bus Trip 1"/>
    <x v="0"/>
    <n v="106"/>
  </r>
  <r>
    <x v="70"/>
    <s v="Adult Single Bus Trip 2"/>
    <x v="0"/>
    <n v="34"/>
  </r>
  <r>
    <x v="70"/>
    <s v="Adult Single Bus Trip 3"/>
    <x v="0"/>
    <n v="16"/>
  </r>
  <r>
    <x v="70"/>
    <s v="CTP"/>
    <x v="0"/>
    <n v="3857044"/>
  </r>
  <r>
    <x v="70"/>
    <s v="Child/Youth"/>
    <x v="0"/>
    <n v="550795"/>
  </r>
  <r>
    <x v="70"/>
    <s v="Child/Youth Single Bus Trip 1"/>
    <x v="0"/>
    <n v="2"/>
  </r>
  <r>
    <x v="70"/>
    <s v="Child/Youth Single Bus Trip 2"/>
    <x v="0"/>
    <n v="4"/>
  </r>
  <r>
    <x v="70"/>
    <s v="Concession"/>
    <x v="0"/>
    <n v="756242"/>
  </r>
  <r>
    <x v="70"/>
    <s v="Day Pass Child/Youth w/o SAF"/>
    <x v="0"/>
    <n v="17"/>
  </r>
  <r>
    <x v="70"/>
    <s v="Day Pass without SAF"/>
    <x v="0"/>
    <n v="555"/>
  </r>
  <r>
    <x v="70"/>
    <s v="Employee"/>
    <x v="0"/>
    <n v="54714"/>
  </r>
  <r>
    <x v="70"/>
    <s v="Free Travel"/>
    <x v="0"/>
    <n v="25184"/>
  </r>
  <r>
    <x v="70"/>
    <s v="On Demand"/>
    <x v="0"/>
    <n v="21803"/>
  </r>
  <r>
    <x v="70"/>
    <s v="School Student"/>
    <x v="0"/>
    <n v="1453409"/>
  </r>
  <r>
    <x v="70"/>
    <s v="Senior/Pensioner"/>
    <x v="0"/>
    <n v="2859536"/>
  </r>
  <r>
    <x v="70"/>
    <s v="Adult"/>
    <x v="1"/>
    <n v="285457"/>
  </r>
  <r>
    <x v="70"/>
    <s v="CTP"/>
    <x v="1"/>
    <n v="326216"/>
  </r>
  <r>
    <x v="70"/>
    <s v="Child/Youth"/>
    <x v="1"/>
    <n v="47597"/>
  </r>
  <r>
    <x v="70"/>
    <s v="Concession"/>
    <x v="1"/>
    <n v="15636"/>
  </r>
  <r>
    <x v="70"/>
    <s v="Day Pass without SAF"/>
    <x v="1"/>
    <n v="22"/>
  </r>
  <r>
    <x v="70"/>
    <s v="Employee"/>
    <x v="1"/>
    <n v="4405"/>
  </r>
  <r>
    <x v="70"/>
    <s v="Free Travel"/>
    <x v="1"/>
    <n v="1576"/>
  </r>
  <r>
    <x v="70"/>
    <s v="School Student"/>
    <x v="1"/>
    <n v="10250"/>
  </r>
  <r>
    <x v="70"/>
    <s v="Senior/Pensioner"/>
    <x v="1"/>
    <n v="140823"/>
  </r>
  <r>
    <x v="70"/>
    <s v="Sgl Trip Ferry Adult"/>
    <x v="1"/>
    <n v="16156"/>
  </r>
  <r>
    <x v="70"/>
    <s v="Sgl Trip Ferry Child/Youth"/>
    <x v="1"/>
    <n v="7719"/>
  </r>
  <r>
    <x v="70"/>
    <s v="Adult"/>
    <x v="2"/>
    <n v="941120"/>
  </r>
  <r>
    <x v="70"/>
    <s v="CTP"/>
    <x v="2"/>
    <n v="714401"/>
  </r>
  <r>
    <x v="70"/>
    <s v="Child/Youth"/>
    <x v="2"/>
    <n v="58003"/>
  </r>
  <r>
    <x v="70"/>
    <s v="Concession"/>
    <x v="2"/>
    <n v="147144"/>
  </r>
  <r>
    <x v="70"/>
    <s v="Day Pass without SAF"/>
    <x v="2"/>
    <n v="25"/>
  </r>
  <r>
    <x v="70"/>
    <s v="Employee"/>
    <x v="2"/>
    <n v="7314"/>
  </r>
  <r>
    <x v="70"/>
    <s v="Free Travel"/>
    <x v="2"/>
    <n v="2750"/>
  </r>
  <r>
    <x v="70"/>
    <s v="School Student"/>
    <x v="2"/>
    <n v="34231"/>
  </r>
  <r>
    <x v="70"/>
    <s v="Senior/Pensioner"/>
    <x v="2"/>
    <n v="306419"/>
  </r>
  <r>
    <x v="70"/>
    <s v="Sgl Trip LR Adult"/>
    <x v="2"/>
    <n v="2277"/>
  </r>
  <r>
    <x v="70"/>
    <s v="Sgl Trip LR Child/Youth"/>
    <x v="2"/>
    <n v="915"/>
  </r>
  <r>
    <x v="70"/>
    <s v="Adult"/>
    <x v="4"/>
    <n v="682645"/>
  </r>
  <r>
    <x v="70"/>
    <s v="CTP"/>
    <x v="4"/>
    <n v="386701"/>
  </r>
  <r>
    <x v="70"/>
    <s v="Child/Youth"/>
    <x v="4"/>
    <n v="76054"/>
  </r>
  <r>
    <x v="70"/>
    <s v="Concession"/>
    <x v="4"/>
    <n v="160565"/>
  </r>
  <r>
    <x v="70"/>
    <s v="Day Pass without SAF"/>
    <x v="4"/>
    <n v="11"/>
  </r>
  <r>
    <x v="70"/>
    <s v="Employee"/>
    <x v="4"/>
    <n v="9020"/>
  </r>
  <r>
    <x v="70"/>
    <s v="Free Travel"/>
    <x v="4"/>
    <n v="1291"/>
  </r>
  <r>
    <x v="70"/>
    <s v="School Student"/>
    <x v="4"/>
    <n v="132269"/>
  </r>
  <r>
    <x v="70"/>
    <s v="Senior/Pensioner"/>
    <x v="4"/>
    <n v="106441"/>
  </r>
  <r>
    <x v="70"/>
    <s v="Sgl Trip Rail Adult"/>
    <x v="4"/>
    <n v="4086"/>
  </r>
  <r>
    <x v="70"/>
    <s v="Sgl Trip Rail Child/Youth"/>
    <x v="4"/>
    <n v="4230"/>
  </r>
  <r>
    <x v="70"/>
    <s v="Adult"/>
    <x v="3"/>
    <n v="9530862"/>
  </r>
  <r>
    <x v="70"/>
    <s v="CTP"/>
    <x v="3"/>
    <n v="5491488"/>
  </r>
  <r>
    <x v="70"/>
    <s v="Child/Youth"/>
    <x v="3"/>
    <n v="514081"/>
  </r>
  <r>
    <x v="70"/>
    <s v="Concession"/>
    <x v="3"/>
    <n v="1075324"/>
  </r>
  <r>
    <x v="70"/>
    <s v="Day Pass Child/Youth w/o SAF"/>
    <x v="3"/>
    <n v="62"/>
  </r>
  <r>
    <x v="70"/>
    <s v="Day Pass without SAF"/>
    <x v="3"/>
    <n v="579"/>
  </r>
  <r>
    <x v="70"/>
    <s v="Employee"/>
    <x v="3"/>
    <n v="221741"/>
  </r>
  <r>
    <x v="70"/>
    <s v="Free Travel"/>
    <x v="3"/>
    <n v="20779"/>
  </r>
  <r>
    <x v="70"/>
    <s v="School Student"/>
    <x v="3"/>
    <n v="1012990"/>
  </r>
  <r>
    <x v="70"/>
    <s v="Senior/Pensioner"/>
    <x v="3"/>
    <n v="2003021"/>
  </r>
  <r>
    <x v="70"/>
    <s v="Sgl Trip Rail Adult"/>
    <x v="3"/>
    <n v="81255"/>
  </r>
  <r>
    <x v="70"/>
    <s v="Sgl Trip Rail Child/Youth"/>
    <x v="3"/>
    <n v="34097"/>
  </r>
  <r>
    <x v="71"/>
    <s v="Adult"/>
    <x v="0"/>
    <n v="5574794"/>
  </r>
  <r>
    <x v="71"/>
    <s v="Adult Single Bus Trip 1"/>
    <x v="0"/>
    <n v="93"/>
  </r>
  <r>
    <x v="71"/>
    <s v="Adult Single Bus Trip 2"/>
    <x v="0"/>
    <n v="39"/>
  </r>
  <r>
    <x v="71"/>
    <s v="Adult Single Bus Trip 3"/>
    <x v="0"/>
    <n v="8"/>
  </r>
  <r>
    <x v="71"/>
    <s v="CTP"/>
    <x v="0"/>
    <n v="3877626"/>
  </r>
  <r>
    <x v="71"/>
    <s v="Child/Youth"/>
    <x v="0"/>
    <n v="568172"/>
  </r>
  <r>
    <x v="71"/>
    <s v="Child/Youth Single Bus Trip 1"/>
    <x v="0"/>
    <n v="4"/>
  </r>
  <r>
    <x v="71"/>
    <s v="Child/Youth Single Bus Trip 2"/>
    <x v="0"/>
    <n v="2"/>
  </r>
  <r>
    <x v="71"/>
    <s v="Concession"/>
    <x v="0"/>
    <n v="663253"/>
  </r>
  <r>
    <x v="71"/>
    <s v="Day Pass Child/Youth w/o SAF"/>
    <x v="0"/>
    <n v="15"/>
  </r>
  <r>
    <x v="71"/>
    <s v="Day Pass without SAF"/>
    <x v="0"/>
    <n v="665"/>
  </r>
  <r>
    <x v="71"/>
    <s v="Employee"/>
    <x v="0"/>
    <n v="55746"/>
  </r>
  <r>
    <x v="71"/>
    <s v="Free Travel"/>
    <x v="0"/>
    <n v="25494"/>
  </r>
  <r>
    <x v="71"/>
    <s v="On Demand"/>
    <x v="0"/>
    <n v="19223"/>
  </r>
  <r>
    <x v="71"/>
    <s v="School Student"/>
    <x v="0"/>
    <n v="1333603"/>
  </r>
  <r>
    <x v="71"/>
    <s v="Senior/Pensioner"/>
    <x v="0"/>
    <n v="2859395"/>
  </r>
  <r>
    <x v="71"/>
    <s v="Adult"/>
    <x v="1"/>
    <n v="346291"/>
  </r>
  <r>
    <x v="71"/>
    <s v="CTP"/>
    <x v="1"/>
    <n v="406455"/>
  </r>
  <r>
    <x v="71"/>
    <s v="Child/Youth"/>
    <x v="1"/>
    <n v="81404"/>
  </r>
  <r>
    <x v="71"/>
    <s v="Concession"/>
    <x v="1"/>
    <n v="18557"/>
  </r>
  <r>
    <x v="71"/>
    <s v="Day Pass without SAF"/>
    <x v="1"/>
    <n v="16"/>
  </r>
  <r>
    <x v="71"/>
    <s v="Employee"/>
    <x v="1"/>
    <n v="5103"/>
  </r>
  <r>
    <x v="71"/>
    <s v="Free Travel"/>
    <x v="1"/>
    <n v="1857"/>
  </r>
  <r>
    <x v="71"/>
    <s v="School Student"/>
    <x v="1"/>
    <n v="8959"/>
  </r>
  <r>
    <x v="71"/>
    <s v="Senior/Pensioner"/>
    <x v="1"/>
    <n v="170352"/>
  </r>
  <r>
    <x v="71"/>
    <s v="Sgl Trip Ferry Adult"/>
    <x v="1"/>
    <n v="23803"/>
  </r>
  <r>
    <x v="71"/>
    <s v="Sgl Trip Ferry Child/Youth"/>
    <x v="1"/>
    <n v="16354"/>
  </r>
  <r>
    <x v="71"/>
    <s v="Adult"/>
    <x v="2"/>
    <n v="974646"/>
  </r>
  <r>
    <x v="71"/>
    <s v="CTP"/>
    <x v="2"/>
    <n v="765968"/>
  </r>
  <r>
    <x v="71"/>
    <s v="Child/Youth"/>
    <x v="2"/>
    <n v="82612"/>
  </r>
  <r>
    <x v="71"/>
    <s v="Concession"/>
    <x v="2"/>
    <n v="238148"/>
  </r>
  <r>
    <x v="71"/>
    <s v="Day Pass without SAF"/>
    <x v="2"/>
    <n v="29"/>
  </r>
  <r>
    <x v="71"/>
    <s v="Employee"/>
    <x v="2"/>
    <n v="8092"/>
  </r>
  <r>
    <x v="71"/>
    <s v="Free Travel"/>
    <x v="2"/>
    <n v="2926"/>
  </r>
  <r>
    <x v="71"/>
    <s v="School Student"/>
    <x v="2"/>
    <n v="30928"/>
  </r>
  <r>
    <x v="71"/>
    <s v="Senior/Pensioner"/>
    <x v="2"/>
    <n v="337616"/>
  </r>
  <r>
    <x v="71"/>
    <s v="Sgl Trip LR Adult"/>
    <x v="2"/>
    <n v="2940"/>
  </r>
  <r>
    <x v="71"/>
    <s v="Sgl Trip LR Child/Youth"/>
    <x v="2"/>
    <n v="1753"/>
  </r>
  <r>
    <x v="71"/>
    <s v="Adult"/>
    <x v="4"/>
    <n v="675361"/>
  </r>
  <r>
    <x v="71"/>
    <s v="CTP"/>
    <x v="4"/>
    <n v="382184"/>
  </r>
  <r>
    <x v="71"/>
    <s v="Child/Youth"/>
    <x v="4"/>
    <n v="87208"/>
  </r>
  <r>
    <x v="71"/>
    <s v="Concession"/>
    <x v="4"/>
    <n v="113875"/>
  </r>
  <r>
    <x v="71"/>
    <s v="Day Pass without SAF"/>
    <x v="4"/>
    <n v="5"/>
  </r>
  <r>
    <x v="71"/>
    <s v="Employee"/>
    <x v="4"/>
    <n v="9548"/>
  </r>
  <r>
    <x v="71"/>
    <s v="Free Travel"/>
    <x v="4"/>
    <n v="1147"/>
  </r>
  <r>
    <x v="71"/>
    <s v="School Student"/>
    <x v="4"/>
    <n v="127005"/>
  </r>
  <r>
    <x v="71"/>
    <s v="Senior/Pensioner"/>
    <x v="4"/>
    <n v="114975"/>
  </r>
  <r>
    <x v="71"/>
    <s v="Sgl Trip Rail Adult"/>
    <x v="4"/>
    <n v="4440"/>
  </r>
  <r>
    <x v="71"/>
    <s v="Sgl Trip Rail Child/Youth"/>
    <x v="4"/>
    <n v="5245"/>
  </r>
  <r>
    <x v="71"/>
    <s v="Adult"/>
    <x v="3"/>
    <n v="9599430"/>
  </r>
  <r>
    <x v="71"/>
    <s v="CTP"/>
    <x v="3"/>
    <n v="5787575"/>
  </r>
  <r>
    <x v="71"/>
    <s v="Child/Youth"/>
    <x v="3"/>
    <n v="658677"/>
  </r>
  <r>
    <x v="71"/>
    <s v="Concession"/>
    <x v="3"/>
    <n v="926877"/>
  </r>
  <r>
    <x v="71"/>
    <s v="Day Pass Child/Youth w/o SAF"/>
    <x v="3"/>
    <n v="196"/>
  </r>
  <r>
    <x v="71"/>
    <s v="Day Pass without SAF"/>
    <x v="3"/>
    <n v="752"/>
  </r>
  <r>
    <x v="71"/>
    <s v="Employee"/>
    <x v="3"/>
    <n v="223849"/>
  </r>
  <r>
    <x v="71"/>
    <s v="Free Travel"/>
    <x v="3"/>
    <n v="20476"/>
  </r>
  <r>
    <x v="71"/>
    <s v="School Student"/>
    <x v="3"/>
    <n v="928372"/>
  </r>
  <r>
    <x v="71"/>
    <s v="Senior/Pensioner"/>
    <x v="3"/>
    <n v="2065840"/>
  </r>
  <r>
    <x v="71"/>
    <s v="Sgl Trip Rail Adult"/>
    <x v="3"/>
    <n v="96650"/>
  </r>
  <r>
    <x v="71"/>
    <s v="Sgl Trip Rail Child/Youth"/>
    <x v="3"/>
    <n v="53636"/>
  </r>
  <r>
    <x v="72"/>
    <s v="Adult"/>
    <x v="0"/>
    <n v="5385400"/>
  </r>
  <r>
    <x v="72"/>
    <s v="Adult Single Bus Trip 1"/>
    <x v="0"/>
    <n v="85"/>
  </r>
  <r>
    <x v="72"/>
    <s v="Adult Single Bus Trip 2"/>
    <x v="0"/>
    <n v="40"/>
  </r>
  <r>
    <x v="72"/>
    <s v="Adult Single Bus Trip 3"/>
    <x v="0"/>
    <n v="18"/>
  </r>
  <r>
    <x v="72"/>
    <s v="CTP"/>
    <x v="0"/>
    <n v="3838227"/>
  </r>
  <r>
    <x v="72"/>
    <s v="Child/Youth"/>
    <x v="0"/>
    <n v="677145"/>
  </r>
  <r>
    <x v="72"/>
    <s v="Child/Youth Single Bus Trip 1"/>
    <x v="0"/>
    <n v="1"/>
  </r>
  <r>
    <x v="72"/>
    <s v="Child/Youth Single Bus Trip 3"/>
    <x v="0"/>
    <n v="1"/>
  </r>
  <r>
    <x v="72"/>
    <s v="Concession"/>
    <x v="0"/>
    <n v="619503"/>
  </r>
  <r>
    <x v="72"/>
    <s v="Day Pass Child/Youth w/o SAF"/>
    <x v="0"/>
    <n v="2"/>
  </r>
  <r>
    <x v="72"/>
    <s v="Day Pass without SAF"/>
    <x v="0"/>
    <n v="591"/>
  </r>
  <r>
    <x v="72"/>
    <s v="Employee"/>
    <x v="0"/>
    <n v="51073"/>
  </r>
  <r>
    <x v="72"/>
    <s v="Free Travel"/>
    <x v="0"/>
    <n v="22670"/>
  </r>
  <r>
    <x v="72"/>
    <s v="On Demand"/>
    <x v="0"/>
    <n v="18983"/>
  </r>
  <r>
    <x v="72"/>
    <s v="School Student"/>
    <x v="0"/>
    <n v="649786"/>
  </r>
  <r>
    <x v="72"/>
    <s v="Senior/Pensioner"/>
    <x v="0"/>
    <n v="2590620"/>
  </r>
  <r>
    <x v="72"/>
    <s v="Adult"/>
    <x v="1"/>
    <n v="257423"/>
  </r>
  <r>
    <x v="72"/>
    <s v="CTP"/>
    <x v="1"/>
    <n v="289461"/>
  </r>
  <r>
    <x v="72"/>
    <s v="Child/Youth"/>
    <x v="1"/>
    <n v="71905"/>
  </r>
  <r>
    <x v="72"/>
    <s v="Concession"/>
    <x v="1"/>
    <n v="12041"/>
  </r>
  <r>
    <x v="72"/>
    <s v="Day Pass without SAF"/>
    <x v="1"/>
    <n v="7"/>
  </r>
  <r>
    <x v="72"/>
    <s v="Employee"/>
    <x v="1"/>
    <n v="3361"/>
  </r>
  <r>
    <x v="72"/>
    <s v="Free Travel"/>
    <x v="1"/>
    <n v="1202"/>
  </r>
  <r>
    <x v="72"/>
    <s v="School Student"/>
    <x v="1"/>
    <n v="3722"/>
  </r>
  <r>
    <x v="72"/>
    <s v="Senior/Pensioner"/>
    <x v="1"/>
    <n v="104607"/>
  </r>
  <r>
    <x v="72"/>
    <s v="Sgl Trip Ferry Adult"/>
    <x v="1"/>
    <n v="21046"/>
  </r>
  <r>
    <x v="72"/>
    <s v="Sgl Trip Ferry Child/Youth"/>
    <x v="1"/>
    <n v="15127"/>
  </r>
  <r>
    <x v="72"/>
    <s v="Adult"/>
    <x v="2"/>
    <n v="941788"/>
  </r>
  <r>
    <x v="72"/>
    <s v="CTP"/>
    <x v="2"/>
    <n v="741452"/>
  </r>
  <r>
    <x v="72"/>
    <s v="Child/Youth"/>
    <x v="2"/>
    <n v="107183"/>
  </r>
  <r>
    <x v="72"/>
    <s v="Concession"/>
    <x v="2"/>
    <n v="191810"/>
  </r>
  <r>
    <x v="72"/>
    <s v="Day Pass Child/Youth w/o SAF"/>
    <x v="2"/>
    <n v="4"/>
  </r>
  <r>
    <x v="72"/>
    <s v="Day Pass without SAF"/>
    <x v="2"/>
    <n v="29"/>
  </r>
  <r>
    <x v="72"/>
    <s v="Employee"/>
    <x v="2"/>
    <n v="7201"/>
  </r>
  <r>
    <x v="72"/>
    <s v="Free Travel"/>
    <x v="2"/>
    <n v="2344"/>
  </r>
  <r>
    <x v="72"/>
    <s v="School Student"/>
    <x v="2"/>
    <n v="14828"/>
  </r>
  <r>
    <x v="72"/>
    <s v="Senior/Pensioner"/>
    <x v="2"/>
    <n v="275890"/>
  </r>
  <r>
    <x v="72"/>
    <s v="Sgl Trip LR Adult"/>
    <x v="2"/>
    <n v="3443"/>
  </r>
  <r>
    <x v="72"/>
    <s v="Sgl Trip LR Child/Youth"/>
    <x v="2"/>
    <n v="2392"/>
  </r>
  <r>
    <x v="72"/>
    <s v="Adult"/>
    <x v="4"/>
    <n v="602643"/>
  </r>
  <r>
    <x v="72"/>
    <s v="CTP"/>
    <x v="4"/>
    <n v="341982"/>
  </r>
  <r>
    <x v="72"/>
    <s v="Child/Youth"/>
    <x v="4"/>
    <n v="113396"/>
  </r>
  <r>
    <x v="72"/>
    <s v="Concession"/>
    <x v="4"/>
    <n v="102727"/>
  </r>
  <r>
    <x v="72"/>
    <s v="Day Pass without SAF"/>
    <x v="4"/>
    <n v="8"/>
  </r>
  <r>
    <x v="72"/>
    <s v="Employee"/>
    <x v="4"/>
    <n v="7928"/>
  </r>
  <r>
    <x v="72"/>
    <s v="Free Travel"/>
    <x v="4"/>
    <n v="990"/>
  </r>
  <r>
    <x v="72"/>
    <s v="School Student"/>
    <x v="4"/>
    <n v="64043"/>
  </r>
  <r>
    <x v="72"/>
    <s v="Senior/Pensioner"/>
    <x v="4"/>
    <n v="94024"/>
  </r>
  <r>
    <x v="72"/>
    <s v="Sgl Trip Rail Adult"/>
    <x v="4"/>
    <n v="3943"/>
  </r>
  <r>
    <x v="72"/>
    <s v="Sgl Trip Rail Child/Youth"/>
    <x v="4"/>
    <n v="5458"/>
  </r>
  <r>
    <x v="72"/>
    <s v="Adult"/>
    <x v="3"/>
    <n v="8505857"/>
  </r>
  <r>
    <x v="72"/>
    <s v="CTP"/>
    <x v="3"/>
    <n v="5029629"/>
  </r>
  <r>
    <x v="72"/>
    <s v="Child/Youth"/>
    <x v="3"/>
    <n v="657340"/>
  </r>
  <r>
    <x v="72"/>
    <s v="Concession"/>
    <x v="3"/>
    <n v="821714"/>
  </r>
  <r>
    <x v="72"/>
    <s v="Day Pass Child/Youth w/o SAF"/>
    <x v="3"/>
    <n v="10"/>
  </r>
  <r>
    <x v="72"/>
    <s v="Day Pass without SAF"/>
    <x v="3"/>
    <n v="558"/>
  </r>
  <r>
    <x v="72"/>
    <s v="Employee"/>
    <x v="3"/>
    <n v="142520"/>
  </r>
  <r>
    <x v="72"/>
    <s v="Free Travel"/>
    <x v="3"/>
    <n v="16303"/>
  </r>
  <r>
    <x v="72"/>
    <s v="School Student"/>
    <x v="3"/>
    <n v="446561"/>
  </r>
  <r>
    <x v="72"/>
    <s v="Senior/Pensioner"/>
    <x v="3"/>
    <n v="1673035"/>
  </r>
  <r>
    <x v="72"/>
    <s v="Sgl Trip Rail Adult"/>
    <x v="3"/>
    <n v="78750"/>
  </r>
  <r>
    <x v="72"/>
    <s v="Sgl Trip Rail Child/Youth"/>
    <x v="3"/>
    <n v="46925"/>
  </r>
  <r>
    <x v="73"/>
    <s v="Adult"/>
    <x v="0"/>
    <n v="6018740"/>
  </r>
  <r>
    <x v="73"/>
    <s v="Adult Single Bus Trip 1"/>
    <x v="0"/>
    <n v="94"/>
  </r>
  <r>
    <x v="73"/>
    <s v="Adult Single Bus Trip 2"/>
    <x v="0"/>
    <n v="52"/>
  </r>
  <r>
    <x v="73"/>
    <s v="Adult Single Bus Trip 3"/>
    <x v="0"/>
    <n v="22"/>
  </r>
  <r>
    <x v="73"/>
    <s v="CTP"/>
    <x v="0"/>
    <n v="4329612"/>
  </r>
  <r>
    <x v="73"/>
    <s v="Child/Youth"/>
    <x v="0"/>
    <n v="556563"/>
  </r>
  <r>
    <x v="73"/>
    <s v="Concession"/>
    <x v="0"/>
    <n v="898039"/>
  </r>
  <r>
    <x v="73"/>
    <s v="Day Pass Child/Youth w/o SAF"/>
    <x v="0"/>
    <n v="9"/>
  </r>
  <r>
    <x v="73"/>
    <s v="Day Pass without SAF"/>
    <x v="0"/>
    <n v="787"/>
  </r>
  <r>
    <x v="73"/>
    <s v="Employee"/>
    <x v="0"/>
    <n v="55583"/>
  </r>
  <r>
    <x v="73"/>
    <s v="Free Travel"/>
    <x v="0"/>
    <n v="26661"/>
  </r>
  <r>
    <x v="73"/>
    <s v="On Demand"/>
    <x v="0"/>
    <n v="21070"/>
  </r>
  <r>
    <x v="73"/>
    <s v="School Student"/>
    <x v="0"/>
    <n v="1558539"/>
  </r>
  <r>
    <x v="73"/>
    <s v="Senior/Pensioner"/>
    <x v="0"/>
    <n v="2936059"/>
  </r>
  <r>
    <x v="73"/>
    <s v="Adult"/>
    <x v="1"/>
    <n v="294302"/>
  </r>
  <r>
    <x v="73"/>
    <s v="CTP"/>
    <x v="1"/>
    <n v="341515"/>
  </r>
  <r>
    <x v="73"/>
    <s v="Child/Youth"/>
    <x v="1"/>
    <n v="44986"/>
  </r>
  <r>
    <x v="73"/>
    <s v="Concession"/>
    <x v="1"/>
    <n v="16600"/>
  </r>
  <r>
    <x v="73"/>
    <s v="Day Pass without SAF"/>
    <x v="1"/>
    <n v="7"/>
  </r>
  <r>
    <x v="73"/>
    <s v="Employee"/>
    <x v="1"/>
    <n v="3470"/>
  </r>
  <r>
    <x v="73"/>
    <s v="Free Travel"/>
    <x v="1"/>
    <n v="1429"/>
  </r>
  <r>
    <x v="73"/>
    <s v="School Student"/>
    <x v="1"/>
    <n v="9400"/>
  </r>
  <r>
    <x v="73"/>
    <s v="Senior/Pensioner"/>
    <x v="1"/>
    <n v="137410"/>
  </r>
  <r>
    <x v="73"/>
    <s v="Sgl Trip Ferry Adult"/>
    <x v="1"/>
    <n v="21714"/>
  </r>
  <r>
    <x v="73"/>
    <s v="Sgl Trip Ferry Child/Youth"/>
    <x v="1"/>
    <n v="9912"/>
  </r>
  <r>
    <x v="73"/>
    <s v="Adult"/>
    <x v="2"/>
    <n v="982069"/>
  </r>
  <r>
    <x v="73"/>
    <s v="CTP"/>
    <x v="2"/>
    <n v="778397"/>
  </r>
  <r>
    <x v="73"/>
    <s v="Child/Youth"/>
    <x v="2"/>
    <n v="61505"/>
  </r>
  <r>
    <x v="73"/>
    <s v="Concession"/>
    <x v="2"/>
    <n v="172408"/>
  </r>
  <r>
    <x v="73"/>
    <s v="Day Pass Child/Youth w/o SAF"/>
    <x v="2"/>
    <n v="5"/>
  </r>
  <r>
    <x v="73"/>
    <s v="Day Pass without SAF"/>
    <x v="2"/>
    <n v="38"/>
  </r>
  <r>
    <x v="73"/>
    <s v="Employee"/>
    <x v="2"/>
    <n v="7555"/>
  </r>
  <r>
    <x v="73"/>
    <s v="Free Travel"/>
    <x v="2"/>
    <n v="2619"/>
  </r>
  <r>
    <x v="73"/>
    <s v="School Student"/>
    <x v="2"/>
    <n v="33868"/>
  </r>
  <r>
    <x v="73"/>
    <s v="Senior/Pensioner"/>
    <x v="2"/>
    <n v="307001"/>
  </r>
  <r>
    <x v="73"/>
    <s v="Sgl Trip LR Adult"/>
    <x v="2"/>
    <n v="3200"/>
  </r>
  <r>
    <x v="73"/>
    <s v="Sgl Trip LR Child/Youth"/>
    <x v="2"/>
    <n v="1261"/>
  </r>
  <r>
    <x v="73"/>
    <s v="Adult"/>
    <x v="4"/>
    <n v="680455"/>
  </r>
  <r>
    <x v="73"/>
    <s v="CTP"/>
    <x v="4"/>
    <n v="399797"/>
  </r>
  <r>
    <x v="73"/>
    <s v="Child/Youth"/>
    <x v="4"/>
    <n v="68298"/>
  </r>
  <r>
    <x v="73"/>
    <s v="Concession"/>
    <x v="4"/>
    <n v="186240"/>
  </r>
  <r>
    <x v="73"/>
    <s v="Day Pass without SAF"/>
    <x v="4"/>
    <n v="3"/>
  </r>
  <r>
    <x v="73"/>
    <s v="Employee"/>
    <x v="4"/>
    <n v="8780"/>
  </r>
  <r>
    <x v="73"/>
    <s v="Free Travel"/>
    <x v="4"/>
    <n v="1041"/>
  </r>
  <r>
    <x v="73"/>
    <s v="School Student"/>
    <x v="4"/>
    <n v="148403"/>
  </r>
  <r>
    <x v="73"/>
    <s v="Senior/Pensioner"/>
    <x v="4"/>
    <n v="102663"/>
  </r>
  <r>
    <x v="73"/>
    <s v="Sgl Trip Rail Adult"/>
    <x v="4"/>
    <n v="3449"/>
  </r>
  <r>
    <x v="73"/>
    <s v="Sgl Trip Rail Child/Youth"/>
    <x v="4"/>
    <n v="3428"/>
  </r>
  <r>
    <x v="73"/>
    <s v="Adult"/>
    <x v="3"/>
    <n v="8832790"/>
  </r>
  <r>
    <x v="73"/>
    <s v="CTP"/>
    <x v="3"/>
    <n v="5206540"/>
  </r>
  <r>
    <x v="73"/>
    <s v="Child/Youth"/>
    <x v="3"/>
    <n v="416534"/>
  </r>
  <r>
    <x v="73"/>
    <s v="Concession"/>
    <x v="3"/>
    <n v="1138259"/>
  </r>
  <r>
    <x v="73"/>
    <s v="Day Pass Child/Youth w/o SAF"/>
    <x v="3"/>
    <n v="7"/>
  </r>
  <r>
    <x v="73"/>
    <s v="Day Pass without SAF"/>
    <x v="3"/>
    <n v="562"/>
  </r>
  <r>
    <x v="73"/>
    <s v="Employee"/>
    <x v="3"/>
    <n v="108228"/>
  </r>
  <r>
    <x v="73"/>
    <s v="Free Travel"/>
    <x v="3"/>
    <n v="15758"/>
  </r>
  <r>
    <x v="73"/>
    <s v="School Student"/>
    <x v="3"/>
    <n v="896023"/>
  </r>
  <r>
    <x v="73"/>
    <s v="Senior/Pensioner"/>
    <x v="3"/>
    <n v="1783567"/>
  </r>
  <r>
    <x v="73"/>
    <s v="Sgl Trip Rail Adult"/>
    <x v="3"/>
    <n v="68780"/>
  </r>
  <r>
    <x v="73"/>
    <s v="Sgl Trip Rail Child/Youth"/>
    <x v="3"/>
    <n v="24711"/>
  </r>
  <r>
    <x v="74"/>
    <s v="Adult"/>
    <x v="0"/>
    <n v="5809458"/>
  </r>
  <r>
    <x v="74"/>
    <s v="Adult Single Bus Trip 1"/>
    <x v="0"/>
    <n v="81"/>
  </r>
  <r>
    <x v="74"/>
    <s v="Adult Single Bus Trip 2"/>
    <x v="0"/>
    <n v="48"/>
  </r>
  <r>
    <x v="74"/>
    <s v="Adult Single Bus Trip 3"/>
    <x v="0"/>
    <n v="24"/>
  </r>
  <r>
    <x v="74"/>
    <s v="CTP"/>
    <x v="0"/>
    <n v="4348438"/>
  </r>
  <r>
    <x v="74"/>
    <s v="Child/Youth"/>
    <x v="0"/>
    <n v="623682"/>
  </r>
  <r>
    <x v="74"/>
    <s v="Child/Youth Single Bus Trip 1"/>
    <x v="0"/>
    <n v="5"/>
  </r>
  <r>
    <x v="74"/>
    <s v="Child/Youth Single Bus Trip 2"/>
    <x v="0"/>
    <n v="7"/>
  </r>
  <r>
    <x v="74"/>
    <s v="Concession"/>
    <x v="0"/>
    <n v="747522"/>
  </r>
  <r>
    <x v="74"/>
    <s v="Day Pass Child/Youth w/o SAF"/>
    <x v="0"/>
    <n v="6"/>
  </r>
  <r>
    <x v="74"/>
    <s v="Day Pass without SAF"/>
    <x v="0"/>
    <n v="693"/>
  </r>
  <r>
    <x v="74"/>
    <s v="Employee"/>
    <x v="0"/>
    <n v="53584"/>
  </r>
  <r>
    <x v="74"/>
    <s v="Free Travel"/>
    <x v="0"/>
    <n v="24843"/>
  </r>
  <r>
    <x v="74"/>
    <s v="On Demand"/>
    <x v="0"/>
    <n v="21062"/>
  </r>
  <r>
    <x v="74"/>
    <s v="School Student"/>
    <x v="0"/>
    <n v="1050246"/>
  </r>
  <r>
    <x v="74"/>
    <s v="Senior/Pensioner"/>
    <x v="0"/>
    <n v="2807482"/>
  </r>
  <r>
    <x v="74"/>
    <s v="Adult"/>
    <x v="1"/>
    <n v="302439"/>
  </r>
  <r>
    <x v="74"/>
    <s v="CTP"/>
    <x v="1"/>
    <n v="369608"/>
  </r>
  <r>
    <x v="74"/>
    <s v="Child/Youth"/>
    <x v="1"/>
    <n v="69066"/>
  </r>
  <r>
    <x v="74"/>
    <s v="Concession"/>
    <x v="1"/>
    <n v="14785"/>
  </r>
  <r>
    <x v="74"/>
    <s v="Day Pass Child/Youth w/o SAF"/>
    <x v="1"/>
    <n v="6"/>
  </r>
  <r>
    <x v="74"/>
    <s v="Day Pass without SAF"/>
    <x v="1"/>
    <n v="34"/>
  </r>
  <r>
    <x v="74"/>
    <s v="Employee"/>
    <x v="1"/>
    <n v="3624"/>
  </r>
  <r>
    <x v="74"/>
    <s v="Free Travel"/>
    <x v="1"/>
    <n v="1485"/>
  </r>
  <r>
    <x v="74"/>
    <s v="School Student"/>
    <x v="1"/>
    <n v="7475"/>
  </r>
  <r>
    <x v="74"/>
    <s v="Senior/Pensioner"/>
    <x v="1"/>
    <n v="135130"/>
  </r>
  <r>
    <x v="74"/>
    <s v="Sgl Trip Ferry Adult"/>
    <x v="1"/>
    <n v="24863"/>
  </r>
  <r>
    <x v="74"/>
    <s v="Sgl Trip Ferry Child/Youth"/>
    <x v="1"/>
    <n v="15116"/>
  </r>
  <r>
    <x v="74"/>
    <s v="Adult"/>
    <x v="2"/>
    <n v="1017785"/>
  </r>
  <r>
    <x v="74"/>
    <s v="CTP"/>
    <x v="2"/>
    <n v="839697"/>
  </r>
  <r>
    <x v="74"/>
    <s v="Child/Youth"/>
    <x v="2"/>
    <n v="91882"/>
  </r>
  <r>
    <x v="74"/>
    <s v="Concession"/>
    <x v="2"/>
    <n v="202936"/>
  </r>
  <r>
    <x v="74"/>
    <s v="Day Pass without SAF"/>
    <x v="2"/>
    <n v="19"/>
  </r>
  <r>
    <x v="74"/>
    <s v="Employee"/>
    <x v="2"/>
    <n v="7184"/>
  </r>
  <r>
    <x v="74"/>
    <s v="Free Travel"/>
    <x v="2"/>
    <n v="2657"/>
  </r>
  <r>
    <x v="74"/>
    <s v="School Student"/>
    <x v="2"/>
    <n v="26405"/>
  </r>
  <r>
    <x v="74"/>
    <s v="Senior/Pensioner"/>
    <x v="2"/>
    <n v="305705"/>
  </r>
  <r>
    <x v="74"/>
    <s v="Sgl Trip LR Adult"/>
    <x v="2"/>
    <n v="3426"/>
  </r>
  <r>
    <x v="74"/>
    <s v="Sgl Trip LR Child/Youth"/>
    <x v="2"/>
    <n v="1837"/>
  </r>
  <r>
    <x v="74"/>
    <s v="Adult"/>
    <x v="4"/>
    <n v="660673"/>
  </r>
  <r>
    <x v="74"/>
    <s v="CTP"/>
    <x v="4"/>
    <n v="397176"/>
  </r>
  <r>
    <x v="74"/>
    <s v="Child/Youth"/>
    <x v="4"/>
    <n v="88386"/>
  </r>
  <r>
    <x v="74"/>
    <s v="Concession"/>
    <x v="4"/>
    <n v="132959"/>
  </r>
  <r>
    <x v="74"/>
    <s v="Day Pass without SAF"/>
    <x v="4"/>
    <n v="4"/>
  </r>
  <r>
    <x v="74"/>
    <s v="Employee"/>
    <x v="4"/>
    <n v="7222"/>
  </r>
  <r>
    <x v="74"/>
    <s v="Free Travel"/>
    <x v="4"/>
    <n v="922"/>
  </r>
  <r>
    <x v="74"/>
    <s v="School Student"/>
    <x v="4"/>
    <n v="103633"/>
  </r>
  <r>
    <x v="74"/>
    <s v="Senior/Pensioner"/>
    <x v="4"/>
    <n v="106598"/>
  </r>
  <r>
    <x v="74"/>
    <s v="Sgl Trip Rail Adult"/>
    <x v="4"/>
    <n v="3587"/>
  </r>
  <r>
    <x v="74"/>
    <s v="Sgl Trip Rail Child/Youth"/>
    <x v="4"/>
    <n v="3904"/>
  </r>
  <r>
    <x v="74"/>
    <s v="Adult"/>
    <x v="3"/>
    <n v="8976720"/>
  </r>
  <r>
    <x v="74"/>
    <s v="CTP"/>
    <x v="3"/>
    <n v="5584493"/>
  </r>
  <r>
    <x v="74"/>
    <s v="Child/Youth"/>
    <x v="3"/>
    <n v="563286"/>
  </r>
  <r>
    <x v="74"/>
    <s v="Concession"/>
    <x v="3"/>
    <n v="1010931"/>
  </r>
  <r>
    <x v="74"/>
    <s v="Day Pass Child/Youth w/o SAF"/>
    <x v="3"/>
    <n v="11"/>
  </r>
  <r>
    <x v="74"/>
    <s v="Day Pass without SAF"/>
    <x v="3"/>
    <n v="661"/>
  </r>
  <r>
    <x v="74"/>
    <s v="Employee"/>
    <x v="3"/>
    <n v="118894"/>
  </r>
  <r>
    <x v="74"/>
    <s v="Free Travel"/>
    <x v="3"/>
    <n v="16554"/>
  </r>
  <r>
    <x v="74"/>
    <s v="School Student"/>
    <x v="3"/>
    <n v="632981"/>
  </r>
  <r>
    <x v="74"/>
    <s v="Senior/Pensioner"/>
    <x v="3"/>
    <n v="1849464"/>
  </r>
  <r>
    <x v="74"/>
    <s v="Sgl Trip Rail Adult"/>
    <x v="3"/>
    <n v="76159"/>
  </r>
  <r>
    <x v="74"/>
    <s v="Sgl Trip Rail Child/Youth"/>
    <x v="3"/>
    <n v="34558"/>
  </r>
  <r>
    <x v="75"/>
    <s v="Adult"/>
    <x v="0"/>
    <n v="6136773"/>
  </r>
  <r>
    <x v="75"/>
    <s v="Adult Single Bus Trip 1"/>
    <x v="0"/>
    <n v="134"/>
  </r>
  <r>
    <x v="75"/>
    <s v="Adult Single Bus Trip 2"/>
    <x v="0"/>
    <n v="42"/>
  </r>
  <r>
    <x v="75"/>
    <s v="Adult Single Bus Trip 3"/>
    <x v="0"/>
    <n v="22"/>
  </r>
  <r>
    <x v="75"/>
    <s v="CTP"/>
    <x v="0"/>
    <n v="4854953"/>
  </r>
  <r>
    <x v="75"/>
    <s v="Child/Youth"/>
    <x v="0"/>
    <n v="683823"/>
  </r>
  <r>
    <x v="75"/>
    <s v="Concession"/>
    <x v="0"/>
    <n v="774831"/>
  </r>
  <r>
    <x v="75"/>
    <s v="Day Pass Child/Youth w/o SAF"/>
    <x v="0"/>
    <n v="18"/>
  </r>
  <r>
    <x v="75"/>
    <s v="Day Pass without SAF"/>
    <x v="0"/>
    <n v="788"/>
  </r>
  <r>
    <x v="75"/>
    <s v="Employee"/>
    <x v="0"/>
    <n v="56671"/>
  </r>
  <r>
    <x v="75"/>
    <s v="Free Travel"/>
    <x v="0"/>
    <n v="26586"/>
  </r>
  <r>
    <x v="75"/>
    <s v="On Demand"/>
    <x v="0"/>
    <n v="20702"/>
  </r>
  <r>
    <x v="75"/>
    <s v="School Student"/>
    <x v="0"/>
    <n v="1066215"/>
  </r>
  <r>
    <x v="75"/>
    <s v="Senior/Pensioner"/>
    <x v="0"/>
    <n v="2961033"/>
  </r>
  <r>
    <x v="75"/>
    <s v="Adult"/>
    <x v="1"/>
    <n v="325122"/>
  </r>
  <r>
    <x v="75"/>
    <s v="CTP"/>
    <x v="1"/>
    <n v="390884"/>
  </r>
  <r>
    <x v="75"/>
    <s v="Child/Youth"/>
    <x v="1"/>
    <n v="70259"/>
  </r>
  <r>
    <x v="75"/>
    <s v="Concession"/>
    <x v="1"/>
    <n v="13911"/>
  </r>
  <r>
    <x v="75"/>
    <s v="Day Pass Child/Youth w/o SAF"/>
    <x v="1"/>
    <n v="45"/>
  </r>
  <r>
    <x v="75"/>
    <s v="Day Pass without SAF"/>
    <x v="1"/>
    <n v="11"/>
  </r>
  <r>
    <x v="75"/>
    <s v="Employee"/>
    <x v="1"/>
    <n v="3867"/>
  </r>
  <r>
    <x v="75"/>
    <s v="Free Travel"/>
    <x v="1"/>
    <n v="1684"/>
  </r>
  <r>
    <x v="75"/>
    <s v="School Student"/>
    <x v="1"/>
    <n v="6787"/>
  </r>
  <r>
    <x v="75"/>
    <s v="Senior/Pensioner"/>
    <x v="1"/>
    <n v="149758"/>
  </r>
  <r>
    <x v="75"/>
    <s v="Sgl Trip Ferry Adult"/>
    <x v="1"/>
    <n v="27587"/>
  </r>
  <r>
    <x v="75"/>
    <s v="Sgl Trip Ferry Child/Youth"/>
    <x v="1"/>
    <n v="12306"/>
  </r>
  <r>
    <x v="75"/>
    <s v="Adult"/>
    <x v="2"/>
    <n v="1019352"/>
  </r>
  <r>
    <x v="75"/>
    <s v="CTP"/>
    <x v="2"/>
    <n v="920500"/>
  </r>
  <r>
    <x v="75"/>
    <s v="Child/Youth"/>
    <x v="2"/>
    <n v="85426"/>
  </r>
  <r>
    <x v="75"/>
    <s v="Concession"/>
    <x v="2"/>
    <n v="190739"/>
  </r>
  <r>
    <x v="75"/>
    <s v="Day Pass Child/Youth w/o SAF"/>
    <x v="2"/>
    <n v="45"/>
  </r>
  <r>
    <x v="75"/>
    <s v="Day Pass without SAF"/>
    <x v="2"/>
    <n v="40"/>
  </r>
  <r>
    <x v="75"/>
    <s v="Employee"/>
    <x v="2"/>
    <n v="7197"/>
  </r>
  <r>
    <x v="75"/>
    <s v="Free Travel"/>
    <x v="2"/>
    <n v="2675"/>
  </r>
  <r>
    <x v="75"/>
    <s v="School Student"/>
    <x v="2"/>
    <n v="20003"/>
  </r>
  <r>
    <x v="75"/>
    <s v="Senior/Pensioner"/>
    <x v="2"/>
    <n v="320637"/>
  </r>
  <r>
    <x v="75"/>
    <s v="Sgl Trip LR Adult"/>
    <x v="2"/>
    <n v="4414"/>
  </r>
  <r>
    <x v="75"/>
    <s v="Sgl Trip LR Child/Youth"/>
    <x v="2"/>
    <n v="1665"/>
  </r>
  <r>
    <x v="75"/>
    <s v="Adult"/>
    <x v="4"/>
    <n v="642145"/>
  </r>
  <r>
    <x v="75"/>
    <s v="CTP"/>
    <x v="4"/>
    <n v="408491"/>
  </r>
  <r>
    <x v="75"/>
    <s v="Child/Youth"/>
    <x v="4"/>
    <n v="90128"/>
  </r>
  <r>
    <x v="75"/>
    <s v="Concession"/>
    <x v="4"/>
    <n v="144844"/>
  </r>
  <r>
    <x v="75"/>
    <s v="Day Pass without SAF"/>
    <x v="4"/>
    <n v="12"/>
  </r>
  <r>
    <x v="75"/>
    <s v="Employee"/>
    <x v="4"/>
    <n v="8227"/>
  </r>
  <r>
    <x v="75"/>
    <s v="Free Travel"/>
    <x v="4"/>
    <n v="1069"/>
  </r>
  <r>
    <x v="75"/>
    <s v="School Student"/>
    <x v="4"/>
    <n v="104338"/>
  </r>
  <r>
    <x v="75"/>
    <s v="Senior/Pensioner"/>
    <x v="4"/>
    <n v="109339"/>
  </r>
  <r>
    <x v="75"/>
    <s v="Sgl Trip Rail Adult"/>
    <x v="4"/>
    <n v="3953"/>
  </r>
  <r>
    <x v="75"/>
    <s v="Sgl Trip Rail Child/Youth"/>
    <x v="4"/>
    <n v="4472"/>
  </r>
  <r>
    <x v="75"/>
    <s v="Adult"/>
    <x v="3"/>
    <n v="9482179"/>
  </r>
  <r>
    <x v="75"/>
    <s v="CTP"/>
    <x v="3"/>
    <n v="6285173"/>
  </r>
  <r>
    <x v="75"/>
    <s v="Child/Youth"/>
    <x v="3"/>
    <n v="605550"/>
  </r>
  <r>
    <x v="75"/>
    <s v="Concession"/>
    <x v="3"/>
    <n v="1046116"/>
  </r>
  <r>
    <x v="75"/>
    <s v="Day Pass Child/Youth w/o SAF"/>
    <x v="3"/>
    <n v="72"/>
  </r>
  <r>
    <x v="75"/>
    <s v="Day Pass without SAF"/>
    <x v="3"/>
    <n v="713"/>
  </r>
  <r>
    <x v="75"/>
    <s v="Employee"/>
    <x v="3"/>
    <n v="132850"/>
  </r>
  <r>
    <x v="75"/>
    <s v="Free Travel"/>
    <x v="3"/>
    <n v="17974"/>
  </r>
  <r>
    <x v="75"/>
    <s v="School Student"/>
    <x v="3"/>
    <n v="661274"/>
  </r>
  <r>
    <x v="75"/>
    <s v="Senior/Pensioner"/>
    <x v="3"/>
    <n v="2046978"/>
  </r>
  <r>
    <x v="75"/>
    <s v="Sgl Trip Rail Adult"/>
    <x v="3"/>
    <n v="92735"/>
  </r>
  <r>
    <x v="75"/>
    <s v="Sgl Trip Rail Child/Youth"/>
    <x v="3"/>
    <n v="38905"/>
  </r>
  <r>
    <x v="76"/>
    <s v="Adult"/>
    <x v="0"/>
    <n v="6474148"/>
  </r>
  <r>
    <x v="76"/>
    <s v="Adult Single Bus Trip 1"/>
    <x v="0"/>
    <n v="91"/>
  </r>
  <r>
    <x v="76"/>
    <s v="Adult Single Bus Trip 2"/>
    <x v="0"/>
    <n v="36"/>
  </r>
  <r>
    <x v="76"/>
    <s v="Adult Single Bus Trip 3"/>
    <x v="0"/>
    <n v="22"/>
  </r>
  <r>
    <x v="76"/>
    <s v="CTP"/>
    <x v="0"/>
    <n v="5249541"/>
  </r>
  <r>
    <x v="76"/>
    <s v="Child/Youth"/>
    <x v="0"/>
    <n v="627975"/>
  </r>
  <r>
    <x v="76"/>
    <s v="Child/Youth Single Bus Trip 1"/>
    <x v="0"/>
    <n v="1"/>
  </r>
  <r>
    <x v="76"/>
    <s v="Child/Youth Single Bus Trip 2"/>
    <x v="0"/>
    <n v="3"/>
  </r>
  <r>
    <x v="76"/>
    <s v="Child/Youth Single Bus Trip 3"/>
    <x v="0"/>
    <n v="1"/>
  </r>
  <r>
    <x v="76"/>
    <s v="Concession"/>
    <x v="0"/>
    <n v="683684"/>
  </r>
  <r>
    <x v="76"/>
    <s v="Day Pass Child/Youth w/o SAF"/>
    <x v="0"/>
    <n v="11"/>
  </r>
  <r>
    <x v="76"/>
    <s v="Day Pass without SAF"/>
    <x v="0"/>
    <n v="846"/>
  </r>
  <r>
    <x v="76"/>
    <s v="Employee"/>
    <x v="0"/>
    <n v="60203"/>
  </r>
  <r>
    <x v="76"/>
    <s v="Free Travel"/>
    <x v="0"/>
    <n v="29299"/>
  </r>
  <r>
    <x v="76"/>
    <s v="On Demand"/>
    <x v="0"/>
    <n v="21311"/>
  </r>
  <r>
    <x v="76"/>
    <s v="School Student"/>
    <x v="0"/>
    <n v="1430322"/>
  </r>
  <r>
    <x v="76"/>
    <s v="Senior/Pensioner"/>
    <x v="0"/>
    <n v="3198927"/>
  </r>
  <r>
    <x v="76"/>
    <s v="Adult"/>
    <x v="1"/>
    <n v="371568"/>
  </r>
  <r>
    <x v="76"/>
    <s v="CTP"/>
    <x v="1"/>
    <n v="488778"/>
  </r>
  <r>
    <x v="76"/>
    <s v="Child/Youth"/>
    <x v="1"/>
    <n v="54727"/>
  </r>
  <r>
    <x v="76"/>
    <s v="Concession"/>
    <x v="1"/>
    <n v="16325"/>
  </r>
  <r>
    <x v="76"/>
    <s v="Day Pass Child/Youth w/o SAF"/>
    <x v="1"/>
    <n v="69"/>
  </r>
  <r>
    <x v="76"/>
    <s v="Day Pass without SAF"/>
    <x v="1"/>
    <n v="21"/>
  </r>
  <r>
    <x v="76"/>
    <s v="Employee"/>
    <x v="1"/>
    <n v="4163"/>
  </r>
  <r>
    <x v="76"/>
    <s v="Free Travel"/>
    <x v="1"/>
    <n v="1842"/>
  </r>
  <r>
    <x v="76"/>
    <s v="School Student"/>
    <x v="1"/>
    <n v="10021"/>
  </r>
  <r>
    <x v="76"/>
    <s v="Senior/Pensioner"/>
    <x v="1"/>
    <n v="172226"/>
  </r>
  <r>
    <x v="76"/>
    <s v="Sgl Trip Ferry Adult"/>
    <x v="1"/>
    <n v="31619"/>
  </r>
  <r>
    <x v="76"/>
    <s v="Sgl Trip Ferry Child/Youth"/>
    <x v="1"/>
    <n v="8872"/>
  </r>
  <r>
    <x v="76"/>
    <s v="Adult"/>
    <x v="2"/>
    <n v="1063223"/>
  </r>
  <r>
    <x v="76"/>
    <s v="CTP"/>
    <x v="2"/>
    <n v="956717"/>
  </r>
  <r>
    <x v="76"/>
    <s v="Child/Youth"/>
    <x v="2"/>
    <n v="66409"/>
  </r>
  <r>
    <x v="76"/>
    <s v="Concession"/>
    <x v="2"/>
    <n v="183694"/>
  </r>
  <r>
    <x v="76"/>
    <s v="Day Pass Child/Youth w/o SAF"/>
    <x v="2"/>
    <n v="2"/>
  </r>
  <r>
    <x v="76"/>
    <s v="Day Pass without SAF"/>
    <x v="2"/>
    <n v="44"/>
  </r>
  <r>
    <x v="76"/>
    <s v="Employee"/>
    <x v="2"/>
    <n v="7874"/>
  </r>
  <r>
    <x v="76"/>
    <s v="Free Travel"/>
    <x v="2"/>
    <n v="2913"/>
  </r>
  <r>
    <x v="76"/>
    <s v="School Student"/>
    <x v="2"/>
    <n v="28666"/>
  </r>
  <r>
    <x v="76"/>
    <s v="Senior/Pensioner"/>
    <x v="2"/>
    <n v="331749"/>
  </r>
  <r>
    <x v="76"/>
    <s v="Sgl Trip LR Adult"/>
    <x v="2"/>
    <n v="3875"/>
  </r>
  <r>
    <x v="76"/>
    <s v="Sgl Trip LR Child/Youth"/>
    <x v="2"/>
    <n v="967"/>
  </r>
  <r>
    <x v="76"/>
    <s v="Adult"/>
    <x v="4"/>
    <n v="604879"/>
  </r>
  <r>
    <x v="76"/>
    <s v="CTP"/>
    <x v="4"/>
    <n v="386998"/>
  </r>
  <r>
    <x v="76"/>
    <s v="Child/Youth"/>
    <x v="4"/>
    <n v="74878"/>
  </r>
  <r>
    <x v="76"/>
    <s v="Concession"/>
    <x v="4"/>
    <n v="96744"/>
  </r>
  <r>
    <x v="76"/>
    <s v="Day Pass without SAF"/>
    <x v="4"/>
    <n v="11"/>
  </r>
  <r>
    <x v="76"/>
    <s v="Employee"/>
    <x v="4"/>
    <n v="7755"/>
  </r>
  <r>
    <x v="76"/>
    <s v="Free Travel"/>
    <x v="4"/>
    <n v="930"/>
  </r>
  <r>
    <x v="76"/>
    <s v="School Student"/>
    <x v="4"/>
    <n v="112233"/>
  </r>
  <r>
    <x v="76"/>
    <s v="Senior/Pensioner"/>
    <x v="4"/>
    <n v="104597"/>
  </r>
  <r>
    <x v="76"/>
    <s v="Sgl Trip Rail Adult"/>
    <x v="4"/>
    <n v="4073"/>
  </r>
  <r>
    <x v="76"/>
    <s v="Sgl Trip Rail Child/Youth"/>
    <x v="4"/>
    <n v="3742"/>
  </r>
  <r>
    <x v="76"/>
    <s v="Adult"/>
    <x v="3"/>
    <n v="8160819"/>
  </r>
  <r>
    <x v="76"/>
    <s v="CTP"/>
    <x v="3"/>
    <n v="5503863"/>
  </r>
  <r>
    <x v="76"/>
    <s v="Child/Youth"/>
    <x v="3"/>
    <n v="443403"/>
  </r>
  <r>
    <x v="76"/>
    <s v="Concession"/>
    <x v="3"/>
    <n v="706517"/>
  </r>
  <r>
    <x v="76"/>
    <s v="Day Pass Child/Youth w/o SAF"/>
    <x v="3"/>
    <n v="137"/>
  </r>
  <r>
    <x v="76"/>
    <s v="Day Pass without SAF"/>
    <x v="3"/>
    <n v="629"/>
  </r>
  <r>
    <x v="76"/>
    <s v="Employee"/>
    <x v="3"/>
    <n v="120096"/>
  </r>
  <r>
    <x v="76"/>
    <s v="Free Travel"/>
    <x v="3"/>
    <n v="16005"/>
  </r>
  <r>
    <x v="76"/>
    <s v="School Student"/>
    <x v="3"/>
    <n v="684882"/>
  </r>
  <r>
    <x v="76"/>
    <s v="Senior/Pensioner"/>
    <x v="3"/>
    <n v="1762103"/>
  </r>
  <r>
    <x v="76"/>
    <s v="Sgl Trip Rail Adult"/>
    <x v="3"/>
    <n v="81731"/>
  </r>
  <r>
    <x v="76"/>
    <s v="Sgl Trip Rail Child/Youth"/>
    <x v="3"/>
    <n v="25125"/>
  </r>
  <r>
    <x v="77"/>
    <s v="Adult"/>
    <x v="0"/>
    <n v="6005060"/>
  </r>
  <r>
    <x v="77"/>
    <s v="Adult Single Bus Trip 1"/>
    <x v="0"/>
    <n v="89"/>
  </r>
  <r>
    <x v="77"/>
    <s v="Adult Single Bus Trip 2"/>
    <x v="0"/>
    <n v="26"/>
  </r>
  <r>
    <x v="77"/>
    <s v="Adult Single Bus Trip 3"/>
    <x v="0"/>
    <n v="23"/>
  </r>
  <r>
    <x v="77"/>
    <s v="CTP"/>
    <x v="0"/>
    <n v="5154068"/>
  </r>
  <r>
    <x v="77"/>
    <s v="Child/Youth"/>
    <x v="0"/>
    <n v="779633"/>
  </r>
  <r>
    <x v="77"/>
    <s v="Child/Youth Single Bus Trip 1"/>
    <x v="0"/>
    <n v="2"/>
  </r>
  <r>
    <x v="77"/>
    <s v="Child/Youth Single Bus Trip 2"/>
    <x v="0"/>
    <n v="1"/>
  </r>
  <r>
    <x v="77"/>
    <s v="Concession"/>
    <x v="0"/>
    <n v="540844"/>
  </r>
  <r>
    <x v="77"/>
    <s v="Day Pass Child/Youth w/o SAF"/>
    <x v="0"/>
    <n v="76"/>
  </r>
  <r>
    <x v="77"/>
    <s v="Day Pass without SAF"/>
    <x v="0"/>
    <n v="875"/>
  </r>
  <r>
    <x v="77"/>
    <s v="Employee"/>
    <x v="0"/>
    <n v="57600"/>
  </r>
  <r>
    <x v="77"/>
    <s v="Free Travel"/>
    <x v="0"/>
    <n v="27112"/>
  </r>
  <r>
    <x v="77"/>
    <s v="On Demand"/>
    <x v="0"/>
    <n v="19991"/>
  </r>
  <r>
    <x v="77"/>
    <s v="School Student"/>
    <x v="0"/>
    <n v="609216"/>
  </r>
  <r>
    <x v="77"/>
    <s v="Senior/Pensioner"/>
    <x v="0"/>
    <n v="3033997"/>
  </r>
  <r>
    <x v="77"/>
    <s v="Adult"/>
    <x v="1"/>
    <n v="429176"/>
  </r>
  <r>
    <x v="77"/>
    <s v="CTP"/>
    <x v="1"/>
    <n v="566889"/>
  </r>
  <r>
    <x v="77"/>
    <s v="Child/Youth"/>
    <x v="1"/>
    <n v="103735"/>
  </r>
  <r>
    <x v="77"/>
    <s v="Concession"/>
    <x v="1"/>
    <n v="17670"/>
  </r>
  <r>
    <x v="77"/>
    <s v="Day Pass Child/Youth w/o SAF"/>
    <x v="1"/>
    <n v="99"/>
  </r>
  <r>
    <x v="77"/>
    <s v="Day Pass without SAF"/>
    <x v="1"/>
    <n v="27"/>
  </r>
  <r>
    <x v="77"/>
    <s v="Employee"/>
    <x v="1"/>
    <n v="4430"/>
  </r>
  <r>
    <x v="77"/>
    <s v="Free Travel"/>
    <x v="1"/>
    <n v="1886"/>
  </r>
  <r>
    <x v="77"/>
    <s v="School Student"/>
    <x v="1"/>
    <n v="5633"/>
  </r>
  <r>
    <x v="77"/>
    <s v="Senior/Pensioner"/>
    <x v="1"/>
    <n v="168663"/>
  </r>
  <r>
    <x v="77"/>
    <s v="Sgl Trip Ferry Adult"/>
    <x v="1"/>
    <n v="40557"/>
  </r>
  <r>
    <x v="77"/>
    <s v="Sgl Trip Ferry Child/Youth"/>
    <x v="1"/>
    <n v="22256"/>
  </r>
  <r>
    <x v="77"/>
    <s v="Adult"/>
    <x v="2"/>
    <n v="1158784"/>
  </r>
  <r>
    <x v="77"/>
    <s v="CTP"/>
    <x v="2"/>
    <n v="1053040"/>
  </r>
  <r>
    <x v="77"/>
    <s v="Child/Youth"/>
    <x v="2"/>
    <n v="129748"/>
  </r>
  <r>
    <x v="77"/>
    <s v="Concession"/>
    <x v="2"/>
    <n v="102961"/>
  </r>
  <r>
    <x v="77"/>
    <s v="Day Pass Child/Youth w/o SAF"/>
    <x v="2"/>
    <n v="195"/>
  </r>
  <r>
    <x v="77"/>
    <s v="Day Pass without SAF"/>
    <x v="2"/>
    <n v="73"/>
  </r>
  <r>
    <x v="77"/>
    <s v="Employee"/>
    <x v="2"/>
    <n v="8923"/>
  </r>
  <r>
    <x v="77"/>
    <s v="Free Travel"/>
    <x v="2"/>
    <n v="2934"/>
  </r>
  <r>
    <x v="77"/>
    <s v="School Student"/>
    <x v="2"/>
    <n v="14245"/>
  </r>
  <r>
    <x v="77"/>
    <s v="Senior/Pensioner"/>
    <x v="2"/>
    <n v="354456"/>
  </r>
  <r>
    <x v="77"/>
    <s v="Sgl Trip LR Adult"/>
    <x v="2"/>
    <n v="5591"/>
  </r>
  <r>
    <x v="77"/>
    <s v="Sgl Trip LR Child/Youth"/>
    <x v="2"/>
    <n v="3115"/>
  </r>
  <r>
    <x v="77"/>
    <s v="Adult"/>
    <x v="4"/>
    <n v="674886"/>
  </r>
  <r>
    <x v="77"/>
    <s v="CTP"/>
    <x v="4"/>
    <n v="467954"/>
  </r>
  <r>
    <x v="77"/>
    <s v="Child/Youth"/>
    <x v="4"/>
    <n v="126355"/>
  </r>
  <r>
    <x v="77"/>
    <s v="Concession"/>
    <x v="4"/>
    <n v="90333"/>
  </r>
  <r>
    <x v="77"/>
    <s v="Day Pass without SAF"/>
    <x v="4"/>
    <n v="13"/>
  </r>
  <r>
    <x v="77"/>
    <s v="Employee"/>
    <x v="4"/>
    <n v="9087"/>
  </r>
  <r>
    <x v="77"/>
    <s v="Free Travel"/>
    <x v="4"/>
    <n v="1212"/>
  </r>
  <r>
    <x v="77"/>
    <s v="School Student"/>
    <x v="4"/>
    <n v="65619"/>
  </r>
  <r>
    <x v="77"/>
    <s v="Senior/Pensioner"/>
    <x v="4"/>
    <n v="127601"/>
  </r>
  <r>
    <x v="77"/>
    <s v="Sgl Trip Rail Adult"/>
    <x v="4"/>
    <n v="6339"/>
  </r>
  <r>
    <x v="77"/>
    <s v="Sgl Trip Rail Child/Youth"/>
    <x v="4"/>
    <n v="7821"/>
  </r>
  <r>
    <x v="77"/>
    <s v="Adult"/>
    <x v="3"/>
    <n v="9440309"/>
  </r>
  <r>
    <x v="77"/>
    <s v="CTP"/>
    <x v="3"/>
    <n v="6825016"/>
  </r>
  <r>
    <x v="77"/>
    <s v="Child/Youth"/>
    <x v="3"/>
    <n v="801421"/>
  </r>
  <r>
    <x v="77"/>
    <s v="Concession"/>
    <x v="3"/>
    <n v="729352"/>
  </r>
  <r>
    <x v="77"/>
    <s v="Day Pass Child/Youth w/o SAF"/>
    <x v="3"/>
    <n v="90"/>
  </r>
  <r>
    <x v="77"/>
    <s v="Day Pass without SAF"/>
    <x v="3"/>
    <n v="958"/>
  </r>
  <r>
    <x v="77"/>
    <s v="Employee"/>
    <x v="3"/>
    <n v="205108"/>
  </r>
  <r>
    <x v="77"/>
    <s v="Free Travel"/>
    <x v="3"/>
    <n v="20288"/>
  </r>
  <r>
    <x v="77"/>
    <s v="School Student"/>
    <x v="3"/>
    <n v="401437"/>
  </r>
  <r>
    <x v="77"/>
    <s v="Senior/Pensioner"/>
    <x v="3"/>
    <n v="2128260"/>
  </r>
  <r>
    <x v="77"/>
    <s v="Sgl Trip Rail Adult"/>
    <x v="3"/>
    <n v="117625"/>
  </r>
  <r>
    <x v="77"/>
    <s v="Sgl Trip Rail Child/Youth"/>
    <x v="3"/>
    <n v="63508"/>
  </r>
  <r>
    <x v="78"/>
    <s v="Adult"/>
    <x v="0"/>
    <n v="5837688"/>
  </r>
  <r>
    <x v="78"/>
    <s v="Adult Single Bus Trip 1"/>
    <x v="0"/>
    <n v="118"/>
  </r>
  <r>
    <x v="78"/>
    <s v="Adult Single Bus Trip 2"/>
    <x v="0"/>
    <n v="39"/>
  </r>
  <r>
    <x v="78"/>
    <s v="Adult Single Bus Trip 3"/>
    <x v="0"/>
    <n v="16"/>
  </r>
  <r>
    <x v="78"/>
    <s v="CTP"/>
    <x v="0"/>
    <n v="5225867"/>
  </r>
  <r>
    <x v="78"/>
    <s v="Child/Youth"/>
    <x v="0"/>
    <n v="937575"/>
  </r>
  <r>
    <x v="78"/>
    <s v="Child/Youth Single Bus Trip 1"/>
    <x v="0"/>
    <n v="4"/>
  </r>
  <r>
    <x v="78"/>
    <s v="Child/Youth Single Bus Trip 3"/>
    <x v="0"/>
    <n v="2"/>
  </r>
  <r>
    <x v="78"/>
    <s v="Concession"/>
    <x v="0"/>
    <n v="497056"/>
  </r>
  <r>
    <x v="78"/>
    <s v="Day Pass Child/Youth w/o SAF"/>
    <x v="0"/>
    <n v="27"/>
  </r>
  <r>
    <x v="78"/>
    <s v="Day Pass without SAF"/>
    <x v="0"/>
    <n v="843"/>
  </r>
  <r>
    <x v="78"/>
    <s v="Employee"/>
    <x v="0"/>
    <n v="53044"/>
  </r>
  <r>
    <x v="78"/>
    <s v="Free Travel"/>
    <x v="0"/>
    <n v="24933"/>
  </r>
  <r>
    <x v="78"/>
    <s v="On Demand"/>
    <x v="0"/>
    <n v="20233"/>
  </r>
  <r>
    <x v="78"/>
    <s v="School Student"/>
    <x v="0"/>
    <n v="68263"/>
  </r>
  <r>
    <x v="78"/>
    <s v="Senior/Pensioner"/>
    <x v="0"/>
    <n v="2864913"/>
  </r>
  <r>
    <x v="78"/>
    <s v="Adult"/>
    <x v="1"/>
    <n v="458697"/>
  </r>
  <r>
    <x v="78"/>
    <s v="CTP"/>
    <x v="1"/>
    <n v="602638"/>
  </r>
  <r>
    <x v="78"/>
    <s v="Child/Youth"/>
    <x v="1"/>
    <n v="156183"/>
  </r>
  <r>
    <x v="78"/>
    <s v="Concession"/>
    <x v="1"/>
    <n v="16483"/>
  </r>
  <r>
    <x v="78"/>
    <s v="Day Pass without SAF"/>
    <x v="1"/>
    <n v="3"/>
  </r>
  <r>
    <x v="78"/>
    <s v="Employee"/>
    <x v="1"/>
    <n v="5006"/>
  </r>
  <r>
    <x v="78"/>
    <s v="Free Travel"/>
    <x v="1"/>
    <n v="2108"/>
  </r>
  <r>
    <x v="78"/>
    <s v="School Student"/>
    <x v="1"/>
    <n v="592"/>
  </r>
  <r>
    <x v="78"/>
    <s v="Senior/Pensioner"/>
    <x v="1"/>
    <n v="198602"/>
  </r>
  <r>
    <x v="78"/>
    <s v="Sgl Trip Ferry Adult"/>
    <x v="1"/>
    <n v="42441"/>
  </r>
  <r>
    <x v="78"/>
    <s v="Sgl Trip Ferry Child/Youth"/>
    <x v="1"/>
    <n v="27107"/>
  </r>
  <r>
    <x v="78"/>
    <s v="Adult"/>
    <x v="2"/>
    <n v="1110981"/>
  </r>
  <r>
    <x v="78"/>
    <s v="CTP"/>
    <x v="2"/>
    <n v="1031438"/>
  </r>
  <r>
    <x v="78"/>
    <s v="Child/Youth"/>
    <x v="2"/>
    <n v="170987"/>
  </r>
  <r>
    <x v="78"/>
    <s v="Concession"/>
    <x v="2"/>
    <n v="93351"/>
  </r>
  <r>
    <x v="78"/>
    <s v="Day Pass Child/Youth w/o SAF"/>
    <x v="2"/>
    <n v="2"/>
  </r>
  <r>
    <x v="78"/>
    <s v="Day Pass without SAF"/>
    <x v="2"/>
    <n v="40"/>
  </r>
  <r>
    <x v="78"/>
    <s v="Employee"/>
    <x v="2"/>
    <n v="8167"/>
  </r>
  <r>
    <x v="78"/>
    <s v="Free Travel"/>
    <x v="2"/>
    <n v="3026"/>
  </r>
  <r>
    <x v="78"/>
    <s v="School Student"/>
    <x v="2"/>
    <n v="2246"/>
  </r>
  <r>
    <x v="78"/>
    <s v="Senior/Pensioner"/>
    <x v="2"/>
    <n v="358571"/>
  </r>
  <r>
    <x v="78"/>
    <s v="Sgl Trip LR Adult"/>
    <x v="2"/>
    <n v="5136"/>
  </r>
  <r>
    <x v="78"/>
    <s v="Sgl Trip LR Child/Youth"/>
    <x v="2"/>
    <n v="3370"/>
  </r>
  <r>
    <x v="78"/>
    <s v="Adult"/>
    <x v="4"/>
    <n v="616617"/>
  </r>
  <r>
    <x v="78"/>
    <s v="CTP"/>
    <x v="4"/>
    <n v="415504"/>
  </r>
  <r>
    <x v="78"/>
    <s v="Child/Youth"/>
    <x v="4"/>
    <n v="150281"/>
  </r>
  <r>
    <x v="78"/>
    <s v="Concession"/>
    <x v="4"/>
    <n v="79385"/>
  </r>
  <r>
    <x v="78"/>
    <s v="Day Pass without SAF"/>
    <x v="4"/>
    <n v="10"/>
  </r>
  <r>
    <x v="78"/>
    <s v="Employee"/>
    <x v="4"/>
    <n v="7705"/>
  </r>
  <r>
    <x v="78"/>
    <s v="Free Travel"/>
    <x v="4"/>
    <n v="1034"/>
  </r>
  <r>
    <x v="78"/>
    <s v="School Student"/>
    <x v="4"/>
    <n v="7161"/>
  </r>
  <r>
    <x v="78"/>
    <s v="Senior/Pensioner"/>
    <x v="4"/>
    <n v="117304"/>
  </r>
  <r>
    <x v="78"/>
    <s v="Sgl Trip Rail Adult"/>
    <x v="4"/>
    <n v="5058"/>
  </r>
  <r>
    <x v="78"/>
    <s v="Sgl Trip Rail Child/Youth"/>
    <x v="4"/>
    <n v="7938"/>
  </r>
  <r>
    <x v="78"/>
    <s v="Adult"/>
    <x v="3"/>
    <n v="9018713"/>
  </r>
  <r>
    <x v="78"/>
    <s v="CTP"/>
    <x v="3"/>
    <n v="6630220"/>
  </r>
  <r>
    <x v="78"/>
    <s v="Child/Youth"/>
    <x v="3"/>
    <n v="967399"/>
  </r>
  <r>
    <x v="78"/>
    <s v="Concession"/>
    <x v="3"/>
    <n v="663041"/>
  </r>
  <r>
    <x v="78"/>
    <s v="Day Pass Child/Youth w/o SAF"/>
    <x v="3"/>
    <n v="17"/>
  </r>
  <r>
    <x v="78"/>
    <s v="Day Pass without SAF"/>
    <x v="3"/>
    <n v="892"/>
  </r>
  <r>
    <x v="78"/>
    <s v="Employee"/>
    <x v="3"/>
    <n v="193986"/>
  </r>
  <r>
    <x v="78"/>
    <s v="Free Travel"/>
    <x v="3"/>
    <n v="18695"/>
  </r>
  <r>
    <x v="78"/>
    <s v="School Student"/>
    <x v="3"/>
    <n v="46014"/>
  </r>
  <r>
    <x v="78"/>
    <s v="Senior/Pensioner"/>
    <x v="3"/>
    <n v="2013174"/>
  </r>
  <r>
    <x v="78"/>
    <s v="Sgl Trip Rail Adult"/>
    <x v="3"/>
    <n v="103423"/>
  </r>
  <r>
    <x v="78"/>
    <s v="Sgl Trip Rail Child/Youth"/>
    <x v="3"/>
    <n v="72852"/>
  </r>
  <r>
    <x v="79"/>
    <s v="Adult"/>
    <x v="0"/>
    <n v="6556480"/>
  </r>
  <r>
    <x v="79"/>
    <s v="Adult Single Bus Trip 1"/>
    <x v="0"/>
    <n v="123"/>
  </r>
  <r>
    <x v="79"/>
    <s v="Adult Single Bus Trip 2"/>
    <x v="0"/>
    <n v="45"/>
  </r>
  <r>
    <x v="79"/>
    <s v="Adult Single Bus Trip 3"/>
    <x v="0"/>
    <n v="18"/>
  </r>
  <r>
    <x v="79"/>
    <s v="CTP"/>
    <x v="0"/>
    <n v="5722372"/>
  </r>
  <r>
    <x v="79"/>
    <s v="Child/Youth"/>
    <x v="0"/>
    <n v="711553"/>
  </r>
  <r>
    <x v="79"/>
    <s v="Child/Youth Single Bus Trip 1"/>
    <x v="0"/>
    <n v="3"/>
  </r>
  <r>
    <x v="79"/>
    <s v="Concession"/>
    <x v="0"/>
    <n v="744808"/>
  </r>
  <r>
    <x v="79"/>
    <s v="Day Pass Child/Youth w/o SAF"/>
    <x v="0"/>
    <n v="17"/>
  </r>
  <r>
    <x v="79"/>
    <s v="Day Pass without SAF"/>
    <x v="0"/>
    <n v="797"/>
  </r>
  <r>
    <x v="79"/>
    <s v="Employee"/>
    <x v="0"/>
    <n v="56198"/>
  </r>
  <r>
    <x v="79"/>
    <s v="Free Travel"/>
    <x v="0"/>
    <n v="27684"/>
  </r>
  <r>
    <x v="79"/>
    <s v="On Demand"/>
    <x v="0"/>
    <n v="20943"/>
  </r>
  <r>
    <x v="79"/>
    <s v="School Student"/>
    <x v="0"/>
    <n v="1649956"/>
  </r>
  <r>
    <x v="79"/>
    <s v="Senior/Pensioner"/>
    <x v="0"/>
    <n v="3008755"/>
  </r>
  <r>
    <x v="79"/>
    <s v="Adult"/>
    <x v="1"/>
    <n v="372101"/>
  </r>
  <r>
    <x v="79"/>
    <s v="CTP"/>
    <x v="1"/>
    <n v="522601"/>
  </r>
  <r>
    <x v="79"/>
    <s v="Child/Youth"/>
    <x v="1"/>
    <n v="44689"/>
  </r>
  <r>
    <x v="79"/>
    <s v="Concession"/>
    <x v="1"/>
    <n v="16731"/>
  </r>
  <r>
    <x v="79"/>
    <s v="Day Pass without SAF"/>
    <x v="1"/>
    <n v="11"/>
  </r>
  <r>
    <x v="79"/>
    <s v="Employee"/>
    <x v="1"/>
    <n v="4377"/>
  </r>
  <r>
    <x v="79"/>
    <s v="Free Travel"/>
    <x v="1"/>
    <n v="1734"/>
  </r>
  <r>
    <x v="79"/>
    <s v="School Student"/>
    <x v="1"/>
    <n v="9663"/>
  </r>
  <r>
    <x v="79"/>
    <s v="Senior/Pensioner"/>
    <x v="1"/>
    <n v="177824"/>
  </r>
  <r>
    <x v="79"/>
    <s v="Sgl Trip Ferry Adult"/>
    <x v="1"/>
    <n v="29743"/>
  </r>
  <r>
    <x v="79"/>
    <s v="Sgl Trip Ferry Child/Youth"/>
    <x v="1"/>
    <n v="6722"/>
  </r>
  <r>
    <x v="79"/>
    <s v="Adult"/>
    <x v="2"/>
    <n v="1156528"/>
  </r>
  <r>
    <x v="79"/>
    <s v="CTP"/>
    <x v="2"/>
    <n v="1117377"/>
  </r>
  <r>
    <x v="79"/>
    <s v="Child/Youth"/>
    <x v="2"/>
    <n v="86549"/>
  </r>
  <r>
    <x v="79"/>
    <s v="Concession"/>
    <x v="2"/>
    <n v="227531"/>
  </r>
  <r>
    <x v="79"/>
    <s v="Day Pass without SAF"/>
    <x v="2"/>
    <n v="49"/>
  </r>
  <r>
    <x v="79"/>
    <s v="Employee"/>
    <x v="2"/>
    <n v="7841"/>
  </r>
  <r>
    <x v="79"/>
    <s v="Free Travel"/>
    <x v="2"/>
    <n v="2880"/>
  </r>
  <r>
    <x v="79"/>
    <s v="School Student"/>
    <x v="2"/>
    <n v="39837"/>
  </r>
  <r>
    <x v="79"/>
    <s v="Senior/Pensioner"/>
    <x v="2"/>
    <n v="355797"/>
  </r>
  <r>
    <x v="79"/>
    <s v="Sgl Trip LR Adult"/>
    <x v="2"/>
    <n v="3896"/>
  </r>
  <r>
    <x v="79"/>
    <s v="Sgl Trip LR Child/Youth"/>
    <x v="2"/>
    <n v="919"/>
  </r>
  <r>
    <x v="79"/>
    <s v="Adult"/>
    <x v="4"/>
    <n v="719458"/>
  </r>
  <r>
    <x v="79"/>
    <s v="CTP"/>
    <x v="4"/>
    <n v="480110"/>
  </r>
  <r>
    <x v="79"/>
    <s v="Child/Youth"/>
    <x v="4"/>
    <n v="92516"/>
  </r>
  <r>
    <x v="79"/>
    <s v="Concession"/>
    <x v="4"/>
    <n v="126243"/>
  </r>
  <r>
    <x v="79"/>
    <s v="Day Pass without SAF"/>
    <x v="4"/>
    <n v="15"/>
  </r>
  <r>
    <x v="79"/>
    <s v="Employee"/>
    <x v="4"/>
    <n v="8932"/>
  </r>
  <r>
    <x v="79"/>
    <s v="Free Travel"/>
    <x v="4"/>
    <n v="1186"/>
  </r>
  <r>
    <x v="79"/>
    <s v="School Student"/>
    <x v="4"/>
    <n v="148817"/>
  </r>
  <r>
    <x v="79"/>
    <s v="Senior/Pensioner"/>
    <x v="4"/>
    <n v="119054"/>
  </r>
  <r>
    <x v="79"/>
    <s v="Sgl Trip Rail Adult"/>
    <x v="4"/>
    <n v="4560"/>
  </r>
  <r>
    <x v="79"/>
    <s v="Sgl Trip Rail Child/Youth"/>
    <x v="4"/>
    <n v="4013"/>
  </r>
  <r>
    <x v="79"/>
    <s v="Adult"/>
    <x v="3"/>
    <n v="9966221"/>
  </r>
  <r>
    <x v="79"/>
    <s v="CTP"/>
    <x v="3"/>
    <n v="7363351"/>
  </r>
  <r>
    <x v="79"/>
    <s v="Child/Youth"/>
    <x v="3"/>
    <n v="588340"/>
  </r>
  <r>
    <x v="79"/>
    <s v="Concession"/>
    <x v="3"/>
    <n v="1028752"/>
  </r>
  <r>
    <x v="79"/>
    <s v="Day Pass Child/Youth w/o SAF"/>
    <x v="3"/>
    <n v="43"/>
  </r>
  <r>
    <x v="79"/>
    <s v="Day Pass without SAF"/>
    <x v="3"/>
    <n v="744"/>
  </r>
  <r>
    <x v="79"/>
    <s v="Employee"/>
    <x v="3"/>
    <n v="203824"/>
  </r>
  <r>
    <x v="79"/>
    <s v="Free Travel"/>
    <x v="3"/>
    <n v="21275"/>
  </r>
  <r>
    <x v="79"/>
    <s v="School Student"/>
    <x v="3"/>
    <n v="1020671"/>
  </r>
  <r>
    <x v="79"/>
    <s v="Senior/Pensioner"/>
    <x v="3"/>
    <n v="2096692"/>
  </r>
  <r>
    <x v="79"/>
    <s v="Sgl Trip Rail Adult"/>
    <x v="3"/>
    <n v="99920"/>
  </r>
  <r>
    <x v="79"/>
    <s v="Sgl Trip Rail Child/Youth"/>
    <x v="3"/>
    <n v="34769"/>
  </r>
  <r>
    <x v="80"/>
    <s v="Adult"/>
    <x v="0"/>
    <n v="7519038"/>
  </r>
  <r>
    <x v="80"/>
    <s v="Adult Single Bus Trip 1"/>
    <x v="0"/>
    <n v="166"/>
  </r>
  <r>
    <x v="80"/>
    <s v="Adult Single Bus Trip 2"/>
    <x v="0"/>
    <n v="43"/>
  </r>
  <r>
    <x v="80"/>
    <s v="Adult Single Bus Trip 3"/>
    <x v="0"/>
    <n v="35"/>
  </r>
  <r>
    <x v="80"/>
    <s v="CTP"/>
    <x v="0"/>
    <n v="6535087"/>
  </r>
  <r>
    <x v="80"/>
    <s v="Child/Youth"/>
    <x v="0"/>
    <n v="700890"/>
  </r>
  <r>
    <x v="80"/>
    <s v="Child/Youth Single Bus Trip 1"/>
    <x v="0"/>
    <n v="2"/>
  </r>
  <r>
    <x v="80"/>
    <s v="Child/Youth Single Bus Trip 2"/>
    <x v="0"/>
    <n v="1"/>
  </r>
  <r>
    <x v="80"/>
    <s v="Child/Youth Single Bus Trip 3"/>
    <x v="0"/>
    <n v="4"/>
  </r>
  <r>
    <x v="80"/>
    <s v="Concession"/>
    <x v="0"/>
    <n v="1124148"/>
  </r>
  <r>
    <x v="80"/>
    <s v="Day Pass Child/Youth w/o SAF"/>
    <x v="0"/>
    <n v="5"/>
  </r>
  <r>
    <x v="80"/>
    <s v="Day Pass without SAF"/>
    <x v="0"/>
    <n v="828"/>
  </r>
  <r>
    <x v="80"/>
    <s v="Employee"/>
    <x v="0"/>
    <n v="63019"/>
  </r>
  <r>
    <x v="80"/>
    <s v="Free Travel"/>
    <x v="0"/>
    <n v="31190"/>
  </r>
  <r>
    <x v="80"/>
    <s v="On Demand"/>
    <x v="0"/>
    <n v="23727"/>
  </r>
  <r>
    <x v="80"/>
    <s v="School Student"/>
    <x v="0"/>
    <n v="1838842"/>
  </r>
  <r>
    <x v="80"/>
    <s v="Senior/Pensioner"/>
    <x v="0"/>
    <n v="3379990"/>
  </r>
  <r>
    <x v="80"/>
    <s v="Adult"/>
    <x v="1"/>
    <n v="392791"/>
  </r>
  <r>
    <x v="80"/>
    <s v="CTP"/>
    <x v="1"/>
    <n v="560673"/>
  </r>
  <r>
    <x v="80"/>
    <s v="Child/Youth"/>
    <x v="1"/>
    <n v="47928"/>
  </r>
  <r>
    <x v="80"/>
    <s v="Concession"/>
    <x v="1"/>
    <n v="20678"/>
  </r>
  <r>
    <x v="80"/>
    <s v="Day Pass without SAF"/>
    <x v="1"/>
    <n v="14"/>
  </r>
  <r>
    <x v="80"/>
    <s v="Employee"/>
    <x v="1"/>
    <n v="4107"/>
  </r>
  <r>
    <x v="80"/>
    <s v="Free Travel"/>
    <x v="1"/>
    <n v="1835"/>
  </r>
  <r>
    <x v="80"/>
    <s v="School Student"/>
    <x v="1"/>
    <n v="11554"/>
  </r>
  <r>
    <x v="80"/>
    <s v="Senior/Pensioner"/>
    <x v="1"/>
    <n v="179375"/>
  </r>
  <r>
    <x v="80"/>
    <s v="Sgl Trip Ferry Adult"/>
    <x v="1"/>
    <n v="30795"/>
  </r>
  <r>
    <x v="80"/>
    <s v="Sgl Trip Ferry Child/Youth"/>
    <x v="1"/>
    <n v="9368"/>
  </r>
  <r>
    <x v="80"/>
    <s v="Adult"/>
    <x v="2"/>
    <n v="1263515"/>
  </r>
  <r>
    <x v="80"/>
    <s v="CTP"/>
    <x v="2"/>
    <n v="1240900"/>
  </r>
  <r>
    <x v="80"/>
    <s v="Child/Youth"/>
    <x v="2"/>
    <n v="79402"/>
  </r>
  <r>
    <x v="80"/>
    <s v="Concession"/>
    <x v="2"/>
    <n v="328904"/>
  </r>
  <r>
    <x v="80"/>
    <s v="Day Pass without SAF"/>
    <x v="2"/>
    <n v="32"/>
  </r>
  <r>
    <x v="80"/>
    <s v="Employee"/>
    <x v="2"/>
    <n v="8668"/>
  </r>
  <r>
    <x v="80"/>
    <s v="Free Travel"/>
    <x v="2"/>
    <n v="3118"/>
  </r>
  <r>
    <x v="80"/>
    <s v="School Student"/>
    <x v="2"/>
    <n v="46106"/>
  </r>
  <r>
    <x v="80"/>
    <s v="Senior/Pensioner"/>
    <x v="2"/>
    <n v="372739"/>
  </r>
  <r>
    <x v="80"/>
    <s v="Sgl Trip LR Adult"/>
    <x v="2"/>
    <n v="3803"/>
  </r>
  <r>
    <x v="80"/>
    <s v="Sgl Trip LR Child/Youth"/>
    <x v="2"/>
    <n v="1069"/>
  </r>
  <r>
    <x v="80"/>
    <s v="Adult"/>
    <x v="4"/>
    <n v="859491"/>
  </r>
  <r>
    <x v="80"/>
    <s v="CTP"/>
    <x v="4"/>
    <n v="593827"/>
  </r>
  <r>
    <x v="80"/>
    <s v="Child/Youth"/>
    <x v="4"/>
    <n v="94967"/>
  </r>
  <r>
    <x v="80"/>
    <s v="Concession"/>
    <x v="4"/>
    <n v="236763"/>
  </r>
  <r>
    <x v="80"/>
    <s v="Day Pass without SAF"/>
    <x v="4"/>
    <n v="16"/>
  </r>
  <r>
    <x v="80"/>
    <s v="Employee"/>
    <x v="4"/>
    <n v="10210"/>
  </r>
  <r>
    <x v="80"/>
    <s v="Free Travel"/>
    <x v="4"/>
    <n v="1577"/>
  </r>
  <r>
    <x v="80"/>
    <s v="School Student"/>
    <x v="4"/>
    <n v="173163"/>
  </r>
  <r>
    <x v="80"/>
    <s v="Senior/Pensioner"/>
    <x v="4"/>
    <n v="135604"/>
  </r>
  <r>
    <x v="80"/>
    <s v="Sgl Trip Rail Adult"/>
    <x v="4"/>
    <n v="4970"/>
  </r>
  <r>
    <x v="80"/>
    <s v="Sgl Trip Rail Child/Youth"/>
    <x v="4"/>
    <n v="4484"/>
  </r>
  <r>
    <x v="80"/>
    <s v="Adult"/>
    <x v="3"/>
    <n v="11361473"/>
  </r>
  <r>
    <x v="80"/>
    <s v="CTP"/>
    <x v="3"/>
    <n v="8328869"/>
  </r>
  <r>
    <x v="80"/>
    <s v="Child/Youth"/>
    <x v="3"/>
    <n v="581902"/>
  </r>
  <r>
    <x v="80"/>
    <s v="Concession"/>
    <x v="3"/>
    <n v="1610377"/>
  </r>
  <r>
    <x v="80"/>
    <s v="Day Pass Child/Youth w/o SAF"/>
    <x v="3"/>
    <n v="35"/>
  </r>
  <r>
    <x v="80"/>
    <s v="Day Pass without SAF"/>
    <x v="3"/>
    <n v="753"/>
  </r>
  <r>
    <x v="80"/>
    <s v="Employee"/>
    <x v="3"/>
    <n v="226388"/>
  </r>
  <r>
    <x v="80"/>
    <s v="Free Travel"/>
    <x v="3"/>
    <n v="23917"/>
  </r>
  <r>
    <x v="80"/>
    <s v="School Student"/>
    <x v="3"/>
    <n v="1167751"/>
  </r>
  <r>
    <x v="80"/>
    <s v="Senior/Pensioner"/>
    <x v="3"/>
    <n v="2317254"/>
  </r>
  <r>
    <x v="80"/>
    <s v="Sgl Trip Rail Adult"/>
    <x v="3"/>
    <n v="110408"/>
  </r>
  <r>
    <x v="80"/>
    <s v="Sgl Trip Rail Child/Youth"/>
    <x v="3"/>
    <n v="40080"/>
  </r>
  <r>
    <x v="81"/>
    <s v="Adult"/>
    <x v="0"/>
    <n v="6160543"/>
  </r>
  <r>
    <x v="81"/>
    <s v="Adult Single Bus Trip 1"/>
    <x v="0"/>
    <n v="136"/>
  </r>
  <r>
    <x v="81"/>
    <s v="Adult Single Bus Trip 2"/>
    <x v="0"/>
    <n v="38"/>
  </r>
  <r>
    <x v="81"/>
    <s v="Adult Single Bus Trip 3"/>
    <x v="0"/>
    <n v="19"/>
  </r>
  <r>
    <x v="81"/>
    <s v="CTP"/>
    <x v="0"/>
    <n v="5449786"/>
  </r>
  <r>
    <x v="81"/>
    <s v="Child/Youth"/>
    <x v="0"/>
    <n v="793429"/>
  </r>
  <r>
    <x v="81"/>
    <s v="Child/Youth Single Bus Trip 1"/>
    <x v="0"/>
    <n v="4"/>
  </r>
  <r>
    <x v="81"/>
    <s v="Concession"/>
    <x v="0"/>
    <n v="737056"/>
  </r>
  <r>
    <x v="81"/>
    <s v="Day Pass Child/Youth w/o SAF"/>
    <x v="0"/>
    <n v="10"/>
  </r>
  <r>
    <x v="81"/>
    <s v="Day Pass without SAF"/>
    <x v="0"/>
    <n v="640"/>
  </r>
  <r>
    <x v="81"/>
    <s v="Employee"/>
    <x v="0"/>
    <n v="52762"/>
  </r>
  <r>
    <x v="81"/>
    <s v="Free Travel"/>
    <x v="0"/>
    <n v="25999"/>
  </r>
  <r>
    <x v="81"/>
    <s v="On Demand"/>
    <x v="0"/>
    <n v="19879"/>
  </r>
  <r>
    <x v="81"/>
    <s v="School Student"/>
    <x v="0"/>
    <n v="535317"/>
  </r>
  <r>
    <x v="81"/>
    <s v="Senior/Pensioner"/>
    <x v="0"/>
    <n v="2870360"/>
  </r>
  <r>
    <x v="81"/>
    <s v="Adult"/>
    <x v="1"/>
    <n v="376680"/>
  </r>
  <r>
    <x v="81"/>
    <s v="CTP"/>
    <x v="1"/>
    <n v="505026"/>
  </r>
  <r>
    <x v="81"/>
    <s v="Child/Youth"/>
    <x v="1"/>
    <n v="105759"/>
  </r>
  <r>
    <x v="81"/>
    <s v="Concession"/>
    <x v="1"/>
    <n v="15783"/>
  </r>
  <r>
    <x v="81"/>
    <s v="Day Pass without SAF"/>
    <x v="1"/>
    <n v="10"/>
  </r>
  <r>
    <x v="81"/>
    <s v="Employee"/>
    <x v="1"/>
    <n v="3908"/>
  </r>
  <r>
    <x v="81"/>
    <s v="Free Travel"/>
    <x v="1"/>
    <n v="1571"/>
  </r>
  <r>
    <x v="81"/>
    <s v="School Student"/>
    <x v="1"/>
    <n v="3444"/>
  </r>
  <r>
    <x v="81"/>
    <s v="Senior/Pensioner"/>
    <x v="1"/>
    <n v="165124"/>
  </r>
  <r>
    <x v="81"/>
    <s v="Sgl Trip Ferry Adult"/>
    <x v="1"/>
    <n v="35373"/>
  </r>
  <r>
    <x v="81"/>
    <s v="Sgl Trip Ferry Child/Youth"/>
    <x v="1"/>
    <n v="21510"/>
  </r>
  <r>
    <x v="81"/>
    <s v="Adult"/>
    <x v="2"/>
    <n v="1035060"/>
  </r>
  <r>
    <x v="81"/>
    <s v="CTP"/>
    <x v="2"/>
    <n v="1001129"/>
  </r>
  <r>
    <x v="81"/>
    <s v="Child/Youth"/>
    <x v="2"/>
    <n v="119764"/>
  </r>
  <r>
    <x v="81"/>
    <s v="Concession"/>
    <x v="2"/>
    <n v="218283"/>
  </r>
  <r>
    <x v="81"/>
    <s v="Day Pass Child/Youth w/o SAF"/>
    <x v="2"/>
    <n v="1"/>
  </r>
  <r>
    <x v="81"/>
    <s v="Day Pass without SAF"/>
    <x v="2"/>
    <n v="48"/>
  </r>
  <r>
    <x v="81"/>
    <s v="Employee"/>
    <x v="2"/>
    <n v="7343"/>
  </r>
  <r>
    <x v="81"/>
    <s v="Free Travel"/>
    <x v="2"/>
    <n v="2502"/>
  </r>
  <r>
    <x v="81"/>
    <s v="School Student"/>
    <x v="2"/>
    <n v="13673"/>
  </r>
  <r>
    <x v="81"/>
    <s v="Senior/Pensioner"/>
    <x v="2"/>
    <n v="312835"/>
  </r>
  <r>
    <x v="81"/>
    <s v="Sgl Trip LR Adult"/>
    <x v="2"/>
    <n v="3796"/>
  </r>
  <r>
    <x v="81"/>
    <s v="Sgl Trip LR Child/Youth"/>
    <x v="2"/>
    <n v="2192"/>
  </r>
  <r>
    <x v="81"/>
    <s v="Adult"/>
    <x v="4"/>
    <n v="692354"/>
  </r>
  <r>
    <x v="81"/>
    <s v="CTP"/>
    <x v="4"/>
    <n v="488164"/>
  </r>
  <r>
    <x v="81"/>
    <s v="Child/Youth"/>
    <x v="4"/>
    <n v="132364"/>
  </r>
  <r>
    <x v="81"/>
    <s v="Concession"/>
    <x v="4"/>
    <n v="133672"/>
  </r>
  <r>
    <x v="81"/>
    <s v="Day Pass without SAF"/>
    <x v="4"/>
    <n v="12"/>
  </r>
  <r>
    <x v="81"/>
    <s v="Employee"/>
    <x v="4"/>
    <n v="7441"/>
  </r>
  <r>
    <x v="81"/>
    <s v="Free Travel"/>
    <x v="4"/>
    <n v="1154"/>
  </r>
  <r>
    <x v="81"/>
    <s v="School Student"/>
    <x v="4"/>
    <n v="52326"/>
  </r>
  <r>
    <x v="81"/>
    <s v="Senior/Pensioner"/>
    <x v="4"/>
    <n v="120699"/>
  </r>
  <r>
    <x v="81"/>
    <s v="Sgl Trip Rail Adult"/>
    <x v="4"/>
    <n v="4655"/>
  </r>
  <r>
    <x v="81"/>
    <s v="Sgl Trip Rail Child/Youth"/>
    <x v="4"/>
    <n v="6337"/>
  </r>
  <r>
    <x v="81"/>
    <s v="Adult"/>
    <x v="3"/>
    <n v="9567193"/>
  </r>
  <r>
    <x v="81"/>
    <s v="CTP"/>
    <x v="3"/>
    <n v="7118961"/>
  </r>
  <r>
    <x v="81"/>
    <s v="Child/Youth"/>
    <x v="3"/>
    <n v="835400"/>
  </r>
  <r>
    <x v="81"/>
    <s v="Concession"/>
    <x v="3"/>
    <n v="1054815"/>
  </r>
  <r>
    <x v="81"/>
    <s v="Day Pass Child/Youth w/o SAF"/>
    <x v="3"/>
    <n v="17"/>
  </r>
  <r>
    <x v="81"/>
    <s v="Day Pass without SAF"/>
    <x v="3"/>
    <n v="724"/>
  </r>
  <r>
    <x v="81"/>
    <s v="Employee"/>
    <x v="3"/>
    <n v="189165"/>
  </r>
  <r>
    <x v="81"/>
    <s v="Free Travel"/>
    <x v="3"/>
    <n v="20247"/>
  </r>
  <r>
    <x v="81"/>
    <s v="School Student"/>
    <x v="3"/>
    <n v="352915"/>
  </r>
  <r>
    <x v="81"/>
    <s v="Senior/Pensioner"/>
    <x v="3"/>
    <n v="2045717"/>
  </r>
  <r>
    <x v="81"/>
    <s v="Sgl Trip Rail Adult"/>
    <x v="3"/>
    <n v="93819"/>
  </r>
  <r>
    <x v="81"/>
    <s v="Sgl Trip Rail Child/Youth"/>
    <x v="3"/>
    <n v="60464"/>
  </r>
  <r>
    <x v="82"/>
    <s v="Adult"/>
    <x v="0"/>
    <n v="7183054"/>
  </r>
  <r>
    <x v="82"/>
    <s v="Adult Single Bus Trip 1"/>
    <x v="0"/>
    <n v="122"/>
  </r>
  <r>
    <x v="82"/>
    <s v="Adult Single Bus Trip 2"/>
    <x v="0"/>
    <n v="60"/>
  </r>
  <r>
    <x v="82"/>
    <s v="Adult Single Bus Trip 3"/>
    <x v="0"/>
    <n v="50"/>
  </r>
  <r>
    <x v="82"/>
    <s v="CTP"/>
    <x v="0"/>
    <n v="6225131"/>
  </r>
  <r>
    <x v="82"/>
    <s v="Child/Youth"/>
    <x v="0"/>
    <n v="620035"/>
  </r>
  <r>
    <x v="82"/>
    <s v="Child/Youth Single Bus Trip 1"/>
    <x v="0"/>
    <n v="4"/>
  </r>
  <r>
    <x v="82"/>
    <s v="Child/Youth Single Bus Trip 2"/>
    <x v="0"/>
    <n v="6"/>
  </r>
  <r>
    <x v="82"/>
    <s v="Concession"/>
    <x v="0"/>
    <n v="913933"/>
  </r>
  <r>
    <x v="82"/>
    <s v="Day Pass Child/Youth w/o SAF"/>
    <x v="0"/>
    <n v="42"/>
  </r>
  <r>
    <x v="82"/>
    <s v="Day Pass without SAF"/>
    <x v="0"/>
    <n v="812"/>
  </r>
  <r>
    <x v="82"/>
    <s v="Employee"/>
    <x v="0"/>
    <n v="60831"/>
  </r>
  <r>
    <x v="82"/>
    <s v="Free Travel"/>
    <x v="0"/>
    <n v="30606"/>
  </r>
  <r>
    <x v="82"/>
    <s v="On Demand"/>
    <x v="0"/>
    <n v="23498"/>
  </r>
  <r>
    <x v="82"/>
    <s v="School Student"/>
    <x v="0"/>
    <n v="1732938"/>
  </r>
  <r>
    <x v="82"/>
    <s v="Senior/Pensioner"/>
    <x v="0"/>
    <n v="3303661"/>
  </r>
  <r>
    <x v="82"/>
    <s v="Adult"/>
    <x v="1"/>
    <n v="342935"/>
  </r>
  <r>
    <x v="82"/>
    <s v="CTP"/>
    <x v="1"/>
    <n v="476029"/>
  </r>
  <r>
    <x v="82"/>
    <s v="Child/Youth"/>
    <x v="1"/>
    <n v="44247"/>
  </r>
  <r>
    <x v="82"/>
    <s v="Concession"/>
    <x v="1"/>
    <n v="17959"/>
  </r>
  <r>
    <x v="82"/>
    <s v="Day Pass Child/Youth w/o SAF"/>
    <x v="1"/>
    <n v="192"/>
  </r>
  <r>
    <x v="82"/>
    <s v="Day Pass without SAF"/>
    <x v="1"/>
    <n v="62"/>
  </r>
  <r>
    <x v="82"/>
    <s v="Employee"/>
    <x v="1"/>
    <n v="4379"/>
  </r>
  <r>
    <x v="82"/>
    <s v="Free Travel"/>
    <x v="1"/>
    <n v="1826"/>
  </r>
  <r>
    <x v="82"/>
    <s v="School Student"/>
    <x v="1"/>
    <n v="10800"/>
  </r>
  <r>
    <x v="82"/>
    <s v="Senior/Pensioner"/>
    <x v="1"/>
    <n v="179950"/>
  </r>
  <r>
    <x v="82"/>
    <s v="Sgl Trip Ferry Adult"/>
    <x v="1"/>
    <n v="22430"/>
  </r>
  <r>
    <x v="82"/>
    <s v="Sgl Trip Ferry Child/Youth"/>
    <x v="1"/>
    <n v="7432"/>
  </r>
  <r>
    <x v="82"/>
    <s v="Adult"/>
    <x v="2"/>
    <n v="1210127"/>
  </r>
  <r>
    <x v="82"/>
    <s v="CTP"/>
    <x v="2"/>
    <n v="1168270"/>
  </r>
  <r>
    <x v="82"/>
    <s v="Child/Youth"/>
    <x v="2"/>
    <n v="67316"/>
  </r>
  <r>
    <x v="82"/>
    <s v="Concession"/>
    <x v="2"/>
    <n v="195075"/>
  </r>
  <r>
    <x v="82"/>
    <s v="Day Pass Child/Youth w/o SAF"/>
    <x v="2"/>
    <n v="41"/>
  </r>
  <r>
    <x v="82"/>
    <s v="Day Pass without SAF"/>
    <x v="2"/>
    <n v="44"/>
  </r>
  <r>
    <x v="82"/>
    <s v="Employee"/>
    <x v="2"/>
    <n v="8635"/>
  </r>
  <r>
    <x v="82"/>
    <s v="Free Travel"/>
    <x v="2"/>
    <n v="3017"/>
  </r>
  <r>
    <x v="82"/>
    <s v="School Student"/>
    <x v="2"/>
    <n v="45586"/>
  </r>
  <r>
    <x v="82"/>
    <s v="Senior/Pensioner"/>
    <x v="2"/>
    <n v="376123"/>
  </r>
  <r>
    <x v="82"/>
    <s v="Sgl Trip LR Adult"/>
    <x v="2"/>
    <n v="3756"/>
  </r>
  <r>
    <x v="82"/>
    <s v="Sgl Trip LR Child/Youth"/>
    <x v="2"/>
    <n v="1159"/>
  </r>
  <r>
    <x v="82"/>
    <s v="Adult"/>
    <x v="4"/>
    <n v="850043"/>
  </r>
  <r>
    <x v="82"/>
    <s v="CTP"/>
    <x v="4"/>
    <n v="591619"/>
  </r>
  <r>
    <x v="82"/>
    <s v="Child/Youth"/>
    <x v="4"/>
    <n v="77264"/>
  </r>
  <r>
    <x v="82"/>
    <s v="Concession"/>
    <x v="4"/>
    <n v="186032"/>
  </r>
  <r>
    <x v="82"/>
    <s v="Day Pass Child/Youth w/o SAF"/>
    <x v="4"/>
    <n v="14"/>
  </r>
  <r>
    <x v="82"/>
    <s v="Day Pass without SAF"/>
    <x v="4"/>
    <n v="7"/>
  </r>
  <r>
    <x v="82"/>
    <s v="Employee"/>
    <x v="4"/>
    <n v="10185"/>
  </r>
  <r>
    <x v="82"/>
    <s v="Free Travel"/>
    <x v="4"/>
    <n v="1470"/>
  </r>
  <r>
    <x v="82"/>
    <s v="School Student"/>
    <x v="4"/>
    <n v="172299"/>
  </r>
  <r>
    <x v="82"/>
    <s v="Senior/Pensioner"/>
    <x v="4"/>
    <n v="135577"/>
  </r>
  <r>
    <x v="82"/>
    <s v="Sgl Trip Rail Adult"/>
    <x v="4"/>
    <n v="4280"/>
  </r>
  <r>
    <x v="82"/>
    <s v="Sgl Trip Rail Child/Youth"/>
    <x v="4"/>
    <n v="4203"/>
  </r>
  <r>
    <x v="82"/>
    <s v="Adult"/>
    <x v="3"/>
    <n v="11513916"/>
  </r>
  <r>
    <x v="82"/>
    <s v="CTP"/>
    <x v="3"/>
    <n v="8499972"/>
  </r>
  <r>
    <x v="82"/>
    <s v="Child/Youth"/>
    <x v="3"/>
    <n v="541395"/>
  </r>
  <r>
    <x v="82"/>
    <s v="Concession"/>
    <x v="3"/>
    <n v="1282805"/>
  </r>
  <r>
    <x v="82"/>
    <s v="Day Pass Child/Youth w/o SAF"/>
    <x v="3"/>
    <n v="40"/>
  </r>
  <r>
    <x v="82"/>
    <s v="Day Pass without SAF"/>
    <x v="3"/>
    <n v="848"/>
  </r>
  <r>
    <x v="82"/>
    <s v="Employee"/>
    <x v="3"/>
    <n v="229190"/>
  </r>
  <r>
    <x v="82"/>
    <s v="Free Travel"/>
    <x v="3"/>
    <n v="23881"/>
  </r>
  <r>
    <x v="82"/>
    <s v="School Student"/>
    <x v="3"/>
    <n v="1169300"/>
  </r>
  <r>
    <x v="82"/>
    <s v="Senior/Pensioner"/>
    <x v="3"/>
    <n v="2363546"/>
  </r>
  <r>
    <x v="82"/>
    <s v="Sgl Trip Rail Adult"/>
    <x v="3"/>
    <n v="95421"/>
  </r>
  <r>
    <x v="82"/>
    <s v="Sgl Trip Rail Child/Youth"/>
    <x v="3"/>
    <n v="38794"/>
  </r>
  <r>
    <x v="83"/>
    <s v="Adult"/>
    <x v="0"/>
    <n v="6737620"/>
  </r>
  <r>
    <x v="83"/>
    <s v="Adult Single Bus Trip 1"/>
    <x v="0"/>
    <n v="122"/>
  </r>
  <r>
    <x v="83"/>
    <s v="Adult Single Bus Trip 2"/>
    <x v="0"/>
    <n v="36"/>
  </r>
  <r>
    <x v="83"/>
    <s v="Adult Single Bus Trip 3"/>
    <x v="0"/>
    <n v="20"/>
  </r>
  <r>
    <x v="83"/>
    <s v="CTP"/>
    <x v="0"/>
    <n v="5807866"/>
  </r>
  <r>
    <x v="83"/>
    <s v="Child/Youth"/>
    <x v="0"/>
    <n v="631376"/>
  </r>
  <r>
    <x v="83"/>
    <s v="Child/Youth Single Bus Trip 1"/>
    <x v="0"/>
    <n v="2"/>
  </r>
  <r>
    <x v="83"/>
    <s v="Child/Youth Single Bus Trip 2"/>
    <x v="0"/>
    <n v="2"/>
  </r>
  <r>
    <x v="83"/>
    <s v="Child/Youth Single Bus Trip 3"/>
    <x v="0"/>
    <n v="2"/>
  </r>
  <r>
    <x v="83"/>
    <s v="Concession"/>
    <x v="0"/>
    <n v="738771"/>
  </r>
  <r>
    <x v="83"/>
    <s v="Day Pass Child/Youth w/o SAF"/>
    <x v="0"/>
    <n v="32"/>
  </r>
  <r>
    <x v="83"/>
    <s v="Day Pass without SAF"/>
    <x v="0"/>
    <n v="795"/>
  </r>
  <r>
    <x v="83"/>
    <s v="Employee"/>
    <x v="0"/>
    <n v="59092"/>
  </r>
  <r>
    <x v="83"/>
    <s v="Free Travel"/>
    <x v="0"/>
    <n v="28632"/>
  </r>
  <r>
    <x v="83"/>
    <s v="On Demand"/>
    <x v="0"/>
    <n v="21708"/>
  </r>
  <r>
    <x v="83"/>
    <s v="School Student"/>
    <x v="0"/>
    <n v="1438756"/>
  </r>
  <r>
    <x v="83"/>
    <s v="Senior/Pensioner"/>
    <x v="0"/>
    <n v="3121090"/>
  </r>
  <r>
    <x v="83"/>
    <s v="Adult"/>
    <x v="1"/>
    <n v="368793"/>
  </r>
  <r>
    <x v="83"/>
    <s v="CTP"/>
    <x v="1"/>
    <n v="525745"/>
  </r>
  <r>
    <x v="83"/>
    <s v="Child/Youth"/>
    <x v="1"/>
    <n v="81197"/>
  </r>
  <r>
    <x v="83"/>
    <s v="Concession"/>
    <x v="1"/>
    <n v="17989"/>
  </r>
  <r>
    <x v="83"/>
    <s v="Day Pass Child/Youth w/o SAF"/>
    <x v="1"/>
    <n v="180"/>
  </r>
  <r>
    <x v="83"/>
    <s v="Day Pass without SAF"/>
    <x v="1"/>
    <n v="25"/>
  </r>
  <r>
    <x v="83"/>
    <s v="Employee"/>
    <x v="1"/>
    <n v="4629"/>
  </r>
  <r>
    <x v="83"/>
    <s v="Free Travel"/>
    <x v="1"/>
    <n v="1959"/>
  </r>
  <r>
    <x v="83"/>
    <s v="School Student"/>
    <x v="1"/>
    <n v="9444"/>
  </r>
  <r>
    <x v="83"/>
    <s v="Senior/Pensioner"/>
    <x v="1"/>
    <n v="187557"/>
  </r>
  <r>
    <x v="83"/>
    <s v="Sgl Trip Ferry Adult"/>
    <x v="1"/>
    <n v="25841"/>
  </r>
  <r>
    <x v="83"/>
    <s v="Sgl Trip Ferry Child/Youth"/>
    <x v="1"/>
    <n v="15060"/>
  </r>
  <r>
    <x v="83"/>
    <s v="Adult"/>
    <x v="2"/>
    <n v="1215247"/>
  </r>
  <r>
    <x v="83"/>
    <s v="CTP"/>
    <x v="2"/>
    <n v="1192649"/>
  </r>
  <r>
    <x v="83"/>
    <s v="Child/Youth"/>
    <x v="2"/>
    <n v="98239"/>
  </r>
  <r>
    <x v="83"/>
    <s v="Concession"/>
    <x v="2"/>
    <n v="290288"/>
  </r>
  <r>
    <x v="83"/>
    <s v="Day Pass without SAF"/>
    <x v="2"/>
    <n v="54"/>
  </r>
  <r>
    <x v="83"/>
    <s v="Employee"/>
    <x v="2"/>
    <n v="9010"/>
  </r>
  <r>
    <x v="83"/>
    <s v="Free Travel"/>
    <x v="2"/>
    <n v="3044"/>
  </r>
  <r>
    <x v="83"/>
    <s v="School Student"/>
    <x v="2"/>
    <n v="36701"/>
  </r>
  <r>
    <x v="83"/>
    <s v="Senior/Pensioner"/>
    <x v="2"/>
    <n v="378319"/>
  </r>
  <r>
    <x v="83"/>
    <s v="Sgl Trip LR Adult"/>
    <x v="2"/>
    <n v="3976"/>
  </r>
  <r>
    <x v="83"/>
    <s v="Sgl Trip LR Child/Youth"/>
    <x v="2"/>
    <n v="2101"/>
  </r>
  <r>
    <x v="83"/>
    <s v="Adult"/>
    <x v="4"/>
    <n v="804348"/>
  </r>
  <r>
    <x v="83"/>
    <s v="CTP"/>
    <x v="4"/>
    <n v="561048"/>
  </r>
  <r>
    <x v="83"/>
    <s v="Child/Youth"/>
    <x v="4"/>
    <n v="97142"/>
  </r>
  <r>
    <x v="83"/>
    <s v="Concession"/>
    <x v="4"/>
    <n v="127955"/>
  </r>
  <r>
    <x v="83"/>
    <s v="Day Pass without SAF"/>
    <x v="4"/>
    <n v="12"/>
  </r>
  <r>
    <x v="83"/>
    <s v="Employee"/>
    <x v="4"/>
    <n v="10409"/>
  </r>
  <r>
    <x v="83"/>
    <s v="Free Travel"/>
    <x v="4"/>
    <n v="1396"/>
  </r>
  <r>
    <x v="83"/>
    <s v="School Student"/>
    <x v="4"/>
    <n v="151260"/>
  </r>
  <r>
    <x v="83"/>
    <s v="Senior/Pensioner"/>
    <x v="4"/>
    <n v="137428"/>
  </r>
  <r>
    <x v="83"/>
    <s v="Sgl Trip Rail Adult"/>
    <x v="4"/>
    <n v="5053"/>
  </r>
  <r>
    <x v="83"/>
    <s v="Sgl Trip Rail Child/Youth"/>
    <x v="4"/>
    <n v="5699"/>
  </r>
  <r>
    <x v="83"/>
    <s v="Adult"/>
    <x v="3"/>
    <n v="11125518"/>
  </r>
  <r>
    <x v="83"/>
    <s v="CTP"/>
    <x v="3"/>
    <n v="8362292"/>
  </r>
  <r>
    <x v="83"/>
    <s v="Child/Youth"/>
    <x v="3"/>
    <n v="699889"/>
  </r>
  <r>
    <x v="83"/>
    <s v="Concession"/>
    <x v="3"/>
    <n v="1035260"/>
  </r>
  <r>
    <x v="83"/>
    <s v="Day Pass Child/Youth w/o SAF"/>
    <x v="3"/>
    <n v="53"/>
  </r>
  <r>
    <x v="83"/>
    <s v="Day Pass without SAF"/>
    <x v="3"/>
    <n v="762"/>
  </r>
  <r>
    <x v="83"/>
    <s v="Employee"/>
    <x v="3"/>
    <n v="232823"/>
  </r>
  <r>
    <x v="83"/>
    <s v="Free Travel"/>
    <x v="3"/>
    <n v="22808"/>
  </r>
  <r>
    <x v="83"/>
    <s v="School Student"/>
    <x v="3"/>
    <n v="989713"/>
  </r>
  <r>
    <x v="83"/>
    <s v="Senior/Pensioner"/>
    <x v="3"/>
    <n v="2313958"/>
  </r>
  <r>
    <x v="83"/>
    <s v="Sgl Trip Rail Adult"/>
    <x v="3"/>
    <n v="98915"/>
  </r>
  <r>
    <x v="83"/>
    <s v="Sgl Trip Rail Child/Youth"/>
    <x v="3"/>
    <n v="55583"/>
  </r>
  <r>
    <x v="84"/>
    <s v="Adult"/>
    <x v="0"/>
    <n v="6954647"/>
  </r>
  <r>
    <x v="84"/>
    <s v="Adult Single Bus Trip 1"/>
    <x v="0"/>
    <n v="167"/>
  </r>
  <r>
    <x v="84"/>
    <s v="Adult Single Bus Trip 2"/>
    <x v="0"/>
    <n v="58"/>
  </r>
  <r>
    <x v="84"/>
    <s v="Adult Single Bus Trip 3"/>
    <x v="0"/>
    <n v="31"/>
  </r>
  <r>
    <x v="84"/>
    <s v="CTP"/>
    <x v="0"/>
    <n v="5933683"/>
  </r>
  <r>
    <x v="84"/>
    <s v="Child/Youth"/>
    <x v="0"/>
    <n v="862457"/>
  </r>
  <r>
    <x v="84"/>
    <s v="Child/Youth Single Bus Trip 1"/>
    <x v="0"/>
    <n v="2"/>
  </r>
  <r>
    <x v="84"/>
    <s v="Child/Youth Single Bus Trip 2"/>
    <x v="0"/>
    <n v="2"/>
  </r>
  <r>
    <x v="84"/>
    <s v="Concession"/>
    <x v="0"/>
    <n v="704268"/>
  </r>
  <r>
    <x v="84"/>
    <s v="Day Pass Child/Youth w/o SAF"/>
    <x v="0"/>
    <n v="75"/>
  </r>
  <r>
    <x v="84"/>
    <s v="Day Pass without SAF"/>
    <x v="0"/>
    <n v="897"/>
  </r>
  <r>
    <x v="84"/>
    <s v="Employee"/>
    <x v="0"/>
    <n v="55711"/>
  </r>
  <r>
    <x v="84"/>
    <s v="Free Travel"/>
    <x v="0"/>
    <n v="28817"/>
  </r>
  <r>
    <x v="84"/>
    <s v="On Demand"/>
    <x v="0"/>
    <n v="22410"/>
  </r>
  <r>
    <x v="84"/>
    <s v="School Student"/>
    <x v="0"/>
    <n v="732360"/>
  </r>
  <r>
    <x v="84"/>
    <s v="Senior/Pensioner"/>
    <x v="0"/>
    <n v="3144619"/>
  </r>
  <r>
    <x v="84"/>
    <s v="Adult"/>
    <x v="1"/>
    <n v="377456"/>
  </r>
  <r>
    <x v="84"/>
    <s v="CTP"/>
    <x v="1"/>
    <n v="507179"/>
  </r>
  <r>
    <x v="84"/>
    <s v="Child/Youth"/>
    <x v="1"/>
    <n v="115924"/>
  </r>
  <r>
    <x v="84"/>
    <s v="Concession"/>
    <x v="1"/>
    <n v="16318"/>
  </r>
  <r>
    <x v="84"/>
    <s v="Day Pass without SAF"/>
    <x v="1"/>
    <n v="14"/>
  </r>
  <r>
    <x v="84"/>
    <s v="Employee"/>
    <x v="1"/>
    <n v="4069"/>
  </r>
  <r>
    <x v="84"/>
    <s v="Free Travel"/>
    <x v="1"/>
    <n v="1813"/>
  </r>
  <r>
    <x v="84"/>
    <s v="School Student"/>
    <x v="1"/>
    <n v="4909"/>
  </r>
  <r>
    <x v="84"/>
    <s v="Senior/Pensioner"/>
    <x v="1"/>
    <n v="177909"/>
  </r>
  <r>
    <x v="84"/>
    <s v="Sgl Trip Ferry Adult"/>
    <x v="1"/>
    <n v="33586"/>
  </r>
  <r>
    <x v="84"/>
    <s v="Sgl Trip Ferry Child/Youth"/>
    <x v="1"/>
    <n v="23753"/>
  </r>
  <r>
    <x v="84"/>
    <s v="Adult"/>
    <x v="2"/>
    <n v="1149868"/>
  </r>
  <r>
    <x v="84"/>
    <s v="CTP"/>
    <x v="2"/>
    <n v="1104264"/>
  </r>
  <r>
    <x v="84"/>
    <s v="Child/Youth"/>
    <x v="2"/>
    <n v="134564"/>
  </r>
  <r>
    <x v="84"/>
    <s v="Concession"/>
    <x v="2"/>
    <n v="235995"/>
  </r>
  <r>
    <x v="84"/>
    <s v="Day Pass Child/Youth w/o SAF"/>
    <x v="2"/>
    <n v="3"/>
  </r>
  <r>
    <x v="84"/>
    <s v="Day Pass without SAF"/>
    <x v="2"/>
    <n v="54"/>
  </r>
  <r>
    <x v="84"/>
    <s v="Employee"/>
    <x v="2"/>
    <n v="7572"/>
  </r>
  <r>
    <x v="84"/>
    <s v="Free Travel"/>
    <x v="2"/>
    <n v="2689"/>
  </r>
  <r>
    <x v="84"/>
    <s v="School Student"/>
    <x v="2"/>
    <n v="18370"/>
  </r>
  <r>
    <x v="84"/>
    <s v="Senior/Pensioner"/>
    <x v="2"/>
    <n v="343471"/>
  </r>
  <r>
    <x v="84"/>
    <s v="Sgl Trip LR Adult"/>
    <x v="2"/>
    <n v="4842"/>
  </r>
  <r>
    <x v="84"/>
    <s v="Sgl Trip LR Child/Youth"/>
    <x v="2"/>
    <n v="3125"/>
  </r>
  <r>
    <x v="84"/>
    <s v="Adult"/>
    <x v="4"/>
    <n v="825582"/>
  </r>
  <r>
    <x v="84"/>
    <s v="CTP"/>
    <x v="4"/>
    <n v="569571"/>
  </r>
  <r>
    <x v="84"/>
    <s v="Child/Youth"/>
    <x v="4"/>
    <n v="149843"/>
  </r>
  <r>
    <x v="84"/>
    <s v="Concession"/>
    <x v="4"/>
    <n v="124525"/>
  </r>
  <r>
    <x v="84"/>
    <s v="Day Pass without SAF"/>
    <x v="4"/>
    <n v="5"/>
  </r>
  <r>
    <x v="84"/>
    <s v="Employee"/>
    <x v="4"/>
    <n v="9371"/>
  </r>
  <r>
    <x v="84"/>
    <s v="Free Travel"/>
    <x v="4"/>
    <n v="1427"/>
  </r>
  <r>
    <x v="84"/>
    <s v="School Student"/>
    <x v="4"/>
    <n v="78880"/>
  </r>
  <r>
    <x v="84"/>
    <s v="Senior/Pensioner"/>
    <x v="4"/>
    <n v="143432"/>
  </r>
  <r>
    <x v="84"/>
    <s v="Sgl Trip Rail Adult"/>
    <x v="4"/>
    <n v="5401"/>
  </r>
  <r>
    <x v="84"/>
    <s v="Sgl Trip Rail Child/Youth"/>
    <x v="4"/>
    <n v="7864"/>
  </r>
  <r>
    <x v="84"/>
    <s v="Adult"/>
    <x v="3"/>
    <n v="11122119"/>
  </r>
  <r>
    <x v="84"/>
    <s v="CTP"/>
    <x v="3"/>
    <n v="8136606"/>
  </r>
  <r>
    <x v="84"/>
    <s v="Child/Youth"/>
    <x v="3"/>
    <n v="907208"/>
  </r>
  <r>
    <x v="84"/>
    <s v="Concession"/>
    <x v="3"/>
    <n v="977222"/>
  </r>
  <r>
    <x v="84"/>
    <s v="Day Pass Child/Youth w/o SAF"/>
    <x v="3"/>
    <n v="257"/>
  </r>
  <r>
    <x v="84"/>
    <s v="Day Pass without SAF"/>
    <x v="3"/>
    <n v="846"/>
  </r>
  <r>
    <x v="84"/>
    <s v="Employee"/>
    <x v="3"/>
    <n v="218727"/>
  </r>
  <r>
    <x v="84"/>
    <s v="Free Travel"/>
    <x v="3"/>
    <n v="22258"/>
  </r>
  <r>
    <x v="84"/>
    <s v="School Student"/>
    <x v="3"/>
    <n v="515761"/>
  </r>
  <r>
    <x v="84"/>
    <s v="Senior/Pensioner"/>
    <x v="3"/>
    <n v="2273206"/>
  </r>
  <r>
    <x v="84"/>
    <s v="Sgl Trip Rail Adult"/>
    <x v="3"/>
    <n v="101309"/>
  </r>
  <r>
    <x v="84"/>
    <s v="Sgl Trip Rail Child/Youth"/>
    <x v="3"/>
    <n v="68642"/>
  </r>
  <r>
    <x v="85"/>
    <s v="Adult"/>
    <x v="0"/>
    <n v="7488394"/>
  </r>
  <r>
    <x v="85"/>
    <s v="Adult Single Bus Trip 1"/>
    <x v="0"/>
    <n v="119"/>
  </r>
  <r>
    <x v="85"/>
    <s v="Adult Single Bus Trip 2"/>
    <x v="0"/>
    <n v="40"/>
  </r>
  <r>
    <x v="85"/>
    <s v="Adult Single Bus Trip 3"/>
    <x v="0"/>
    <n v="12"/>
  </r>
  <r>
    <x v="85"/>
    <s v="CTP"/>
    <x v="0"/>
    <n v="6452578"/>
  </r>
  <r>
    <x v="85"/>
    <s v="Child/Youth"/>
    <x v="0"/>
    <n v="654775"/>
  </r>
  <r>
    <x v="85"/>
    <s v="Child/Youth Single Bus Trip 1"/>
    <x v="0"/>
    <n v="9"/>
  </r>
  <r>
    <x v="85"/>
    <s v="Child/Youth Single Bus Trip 2"/>
    <x v="0"/>
    <n v="1"/>
  </r>
  <r>
    <x v="85"/>
    <s v="Concession"/>
    <x v="0"/>
    <n v="1009829"/>
  </r>
  <r>
    <x v="85"/>
    <s v="Day Pass Child/Youth w/o SAF"/>
    <x v="0"/>
    <n v="24"/>
  </r>
  <r>
    <x v="85"/>
    <s v="Day Pass without SAF"/>
    <x v="0"/>
    <n v="1072"/>
  </r>
  <r>
    <x v="85"/>
    <s v="Employee"/>
    <x v="0"/>
    <n v="61504"/>
  </r>
  <r>
    <x v="85"/>
    <s v="Free Travel"/>
    <x v="0"/>
    <n v="30404"/>
  </r>
  <r>
    <x v="85"/>
    <s v="On Demand"/>
    <x v="0"/>
    <n v="23305"/>
  </r>
  <r>
    <x v="85"/>
    <s v="School Student"/>
    <x v="0"/>
    <n v="1659586"/>
  </r>
  <r>
    <x v="85"/>
    <s v="Senior/Pensioner"/>
    <x v="0"/>
    <n v="3327349"/>
  </r>
  <r>
    <x v="85"/>
    <s v="Adult"/>
    <x v="1"/>
    <n v="350097"/>
  </r>
  <r>
    <x v="85"/>
    <s v="CTP"/>
    <x v="1"/>
    <n v="492569"/>
  </r>
  <r>
    <x v="85"/>
    <s v="Child/Youth"/>
    <x v="1"/>
    <n v="58485"/>
  </r>
  <r>
    <x v="85"/>
    <s v="Concession"/>
    <x v="1"/>
    <n v="17980"/>
  </r>
  <r>
    <x v="85"/>
    <s v="Day Pass without SAF"/>
    <x v="1"/>
    <n v="6"/>
  </r>
  <r>
    <x v="85"/>
    <s v="Employee"/>
    <x v="1"/>
    <n v="4023"/>
  </r>
  <r>
    <x v="85"/>
    <s v="Free Travel"/>
    <x v="1"/>
    <n v="1505"/>
  </r>
  <r>
    <x v="85"/>
    <s v="School Student"/>
    <x v="1"/>
    <n v="10774"/>
  </r>
  <r>
    <x v="85"/>
    <s v="Senior/Pensioner"/>
    <x v="1"/>
    <n v="171227"/>
  </r>
  <r>
    <x v="85"/>
    <s v="Sgl Trip Ferry Adult"/>
    <x v="1"/>
    <n v="28060"/>
  </r>
  <r>
    <x v="85"/>
    <s v="Sgl Trip Ferry Child/Youth"/>
    <x v="1"/>
    <n v="12682"/>
  </r>
  <r>
    <x v="85"/>
    <s v="Adult"/>
    <x v="2"/>
    <n v="1275747"/>
  </r>
  <r>
    <x v="85"/>
    <s v="CTP"/>
    <x v="2"/>
    <n v="1253138"/>
  </r>
  <r>
    <x v="85"/>
    <s v="Child/Youth"/>
    <x v="2"/>
    <n v="90965"/>
  </r>
  <r>
    <x v="85"/>
    <s v="Concession"/>
    <x v="2"/>
    <n v="218189"/>
  </r>
  <r>
    <x v="85"/>
    <s v="Day Pass Child/Youth w/o SAF"/>
    <x v="2"/>
    <n v="8"/>
  </r>
  <r>
    <x v="85"/>
    <s v="Day Pass without SAF"/>
    <x v="2"/>
    <n v="45"/>
  </r>
  <r>
    <x v="85"/>
    <s v="Employee"/>
    <x v="2"/>
    <n v="9078"/>
  </r>
  <r>
    <x v="85"/>
    <s v="Free Travel"/>
    <x v="2"/>
    <n v="3044"/>
  </r>
  <r>
    <x v="85"/>
    <s v="School Student"/>
    <x v="2"/>
    <n v="40469"/>
  </r>
  <r>
    <x v="85"/>
    <s v="Senior/Pensioner"/>
    <x v="2"/>
    <n v="381478"/>
  </r>
  <r>
    <x v="85"/>
    <s v="Sgl Trip LR Adult"/>
    <x v="2"/>
    <n v="4586"/>
  </r>
  <r>
    <x v="85"/>
    <s v="Sgl Trip LR Child/Youth"/>
    <x v="2"/>
    <n v="2033"/>
  </r>
  <r>
    <x v="85"/>
    <s v="Adult"/>
    <x v="4"/>
    <n v="909233"/>
  </r>
  <r>
    <x v="85"/>
    <s v="CTP"/>
    <x v="4"/>
    <n v="635045"/>
  </r>
  <r>
    <x v="85"/>
    <s v="Child/Youth"/>
    <x v="4"/>
    <n v="83827"/>
  </r>
  <r>
    <x v="85"/>
    <s v="Concession"/>
    <x v="4"/>
    <n v="215132"/>
  </r>
  <r>
    <x v="85"/>
    <s v="Day Pass without SAF"/>
    <x v="4"/>
    <n v="11"/>
  </r>
  <r>
    <x v="85"/>
    <s v="Employee"/>
    <x v="4"/>
    <n v="10206"/>
  </r>
  <r>
    <x v="85"/>
    <s v="Free Travel"/>
    <x v="4"/>
    <n v="1528"/>
  </r>
  <r>
    <x v="85"/>
    <s v="School Student"/>
    <x v="4"/>
    <n v="177958"/>
  </r>
  <r>
    <x v="85"/>
    <s v="Senior/Pensioner"/>
    <x v="4"/>
    <n v="146962"/>
  </r>
  <r>
    <x v="85"/>
    <s v="Sgl Trip Rail Adult"/>
    <x v="4"/>
    <n v="4397"/>
  </r>
  <r>
    <x v="85"/>
    <s v="Sgl Trip Rail Child/Youth"/>
    <x v="4"/>
    <n v="4478"/>
  </r>
  <r>
    <x v="85"/>
    <s v="Adult"/>
    <x v="3"/>
    <n v="12120198"/>
  </r>
  <r>
    <x v="85"/>
    <s v="CTP"/>
    <x v="3"/>
    <n v="9038757"/>
  </r>
  <r>
    <x v="85"/>
    <s v="Child/Youth"/>
    <x v="3"/>
    <n v="601211"/>
  </r>
  <r>
    <x v="85"/>
    <s v="Concession"/>
    <x v="3"/>
    <n v="1466217"/>
  </r>
  <r>
    <x v="85"/>
    <s v="Day Pass Child/Youth w/o SAF"/>
    <x v="3"/>
    <n v="53"/>
  </r>
  <r>
    <x v="85"/>
    <s v="Day Pass without SAF"/>
    <x v="3"/>
    <n v="954"/>
  </r>
  <r>
    <x v="85"/>
    <s v="Employee"/>
    <x v="3"/>
    <n v="244741"/>
  </r>
  <r>
    <x v="85"/>
    <s v="Free Travel"/>
    <x v="3"/>
    <n v="24221"/>
  </r>
  <r>
    <x v="85"/>
    <s v="School Student"/>
    <x v="3"/>
    <n v="1166240"/>
  </r>
  <r>
    <x v="85"/>
    <s v="Senior/Pensioner"/>
    <x v="3"/>
    <n v="2435494"/>
  </r>
  <r>
    <x v="85"/>
    <s v="Sgl Trip Rail Adult"/>
    <x v="3"/>
    <n v="98722"/>
  </r>
  <r>
    <x v="85"/>
    <s v="Sgl Trip Rail Child/Youth"/>
    <x v="3"/>
    <n v="45109"/>
  </r>
  <r>
    <x v="86"/>
    <s v="Adult"/>
    <x v="0"/>
    <n v="7210065"/>
  </r>
  <r>
    <x v="86"/>
    <s v="Adult Single Bus Trip 1"/>
    <x v="0"/>
    <n v="205"/>
  </r>
  <r>
    <x v="86"/>
    <s v="Adult Single Bus Trip 2"/>
    <x v="0"/>
    <n v="36"/>
  </r>
  <r>
    <x v="86"/>
    <s v="Adult Single Bus Trip 3"/>
    <x v="0"/>
    <n v="21"/>
  </r>
  <r>
    <x v="86"/>
    <s v="CTP"/>
    <x v="0"/>
    <n v="6414509"/>
  </r>
  <r>
    <x v="86"/>
    <s v="Child/Youth"/>
    <x v="0"/>
    <n v="745820"/>
  </r>
  <r>
    <x v="86"/>
    <s v="Child/Youth Single Bus Trip 1"/>
    <x v="0"/>
    <n v="4"/>
  </r>
  <r>
    <x v="86"/>
    <s v="Child/Youth Single Bus Trip 2"/>
    <x v="0"/>
    <n v="6"/>
  </r>
  <r>
    <x v="86"/>
    <s v="Concession"/>
    <x v="0"/>
    <n v="878719"/>
  </r>
  <r>
    <x v="86"/>
    <s v="Day Pass Child/Youth w/o SAF"/>
    <x v="0"/>
    <n v="35"/>
  </r>
  <r>
    <x v="86"/>
    <s v="Day Pass without SAF"/>
    <x v="0"/>
    <n v="1104"/>
  </r>
  <r>
    <x v="86"/>
    <s v="Employee"/>
    <x v="0"/>
    <n v="59160"/>
  </r>
  <r>
    <x v="86"/>
    <s v="Free Travel"/>
    <x v="0"/>
    <n v="28199"/>
  </r>
  <r>
    <x v="86"/>
    <s v="On Demand"/>
    <x v="0"/>
    <n v="21874"/>
  </r>
  <r>
    <x v="86"/>
    <s v="School Student"/>
    <x v="0"/>
    <n v="1103009"/>
  </r>
  <r>
    <x v="86"/>
    <s v="Senior/Pensioner"/>
    <x v="0"/>
    <n v="3177181"/>
  </r>
  <r>
    <x v="86"/>
    <s v="Adult"/>
    <x v="1"/>
    <n v="376791"/>
  </r>
  <r>
    <x v="86"/>
    <s v="CTP"/>
    <x v="1"/>
    <n v="556722"/>
  </r>
  <r>
    <x v="86"/>
    <s v="Child/Youth"/>
    <x v="1"/>
    <n v="92422"/>
  </r>
  <r>
    <x v="86"/>
    <s v="Concession"/>
    <x v="1"/>
    <n v="19627"/>
  </r>
  <r>
    <x v="86"/>
    <s v="Day Pass Child/Youth w/o SAF"/>
    <x v="1"/>
    <n v="288"/>
  </r>
  <r>
    <x v="86"/>
    <s v="Day Pass without SAF"/>
    <x v="1"/>
    <n v="64"/>
  </r>
  <r>
    <x v="86"/>
    <s v="Employee"/>
    <x v="1"/>
    <n v="4148"/>
  </r>
  <r>
    <x v="86"/>
    <s v="Free Travel"/>
    <x v="1"/>
    <n v="1866"/>
  </r>
  <r>
    <x v="86"/>
    <s v="School Student"/>
    <x v="1"/>
    <n v="9030"/>
  </r>
  <r>
    <x v="86"/>
    <s v="Senior/Pensioner"/>
    <x v="1"/>
    <n v="179761"/>
  </r>
  <r>
    <x v="86"/>
    <s v="Sgl Trip Ferry Adult"/>
    <x v="1"/>
    <n v="29477"/>
  </r>
  <r>
    <x v="86"/>
    <s v="Sgl Trip Ferry Child/Youth"/>
    <x v="1"/>
    <n v="16992"/>
  </r>
  <r>
    <x v="86"/>
    <s v="Adult"/>
    <x v="2"/>
    <n v="1358618"/>
  </r>
  <r>
    <x v="86"/>
    <s v="CTP"/>
    <x v="2"/>
    <n v="1359296"/>
  </r>
  <r>
    <x v="86"/>
    <s v="Child/Youth"/>
    <x v="2"/>
    <n v="125859"/>
  </r>
  <r>
    <x v="86"/>
    <s v="Concession"/>
    <x v="2"/>
    <n v="271630"/>
  </r>
  <r>
    <x v="86"/>
    <s v="Day Pass Child/Youth w/o SAF"/>
    <x v="2"/>
    <n v="2"/>
  </r>
  <r>
    <x v="86"/>
    <s v="Day Pass without SAF"/>
    <x v="2"/>
    <n v="41"/>
  </r>
  <r>
    <x v="86"/>
    <s v="Employee"/>
    <x v="2"/>
    <n v="9270"/>
  </r>
  <r>
    <x v="86"/>
    <s v="Free Travel"/>
    <x v="2"/>
    <n v="3081"/>
  </r>
  <r>
    <x v="86"/>
    <s v="School Student"/>
    <x v="2"/>
    <n v="27329"/>
  </r>
  <r>
    <x v="86"/>
    <s v="Senior/Pensioner"/>
    <x v="2"/>
    <n v="397490"/>
  </r>
  <r>
    <x v="86"/>
    <s v="Sgl Trip LR Adult"/>
    <x v="2"/>
    <n v="4465"/>
  </r>
  <r>
    <x v="86"/>
    <s v="Sgl Trip LR Child/Youth"/>
    <x v="2"/>
    <n v="2130"/>
  </r>
  <r>
    <x v="86"/>
    <s v="Adult"/>
    <x v="4"/>
    <n v="840910"/>
  </r>
  <r>
    <x v="86"/>
    <s v="CTP"/>
    <x v="4"/>
    <n v="604732"/>
  </r>
  <r>
    <x v="86"/>
    <s v="Child/Youth"/>
    <x v="4"/>
    <n v="117707"/>
  </r>
  <r>
    <x v="86"/>
    <s v="Concession"/>
    <x v="4"/>
    <n v="158540"/>
  </r>
  <r>
    <x v="86"/>
    <s v="Day Pass without SAF"/>
    <x v="4"/>
    <n v="3"/>
  </r>
  <r>
    <x v="86"/>
    <s v="Employee"/>
    <x v="4"/>
    <n v="9809"/>
  </r>
  <r>
    <x v="86"/>
    <s v="Free Travel"/>
    <x v="4"/>
    <n v="1399"/>
  </r>
  <r>
    <x v="86"/>
    <s v="School Student"/>
    <x v="4"/>
    <n v="126407"/>
  </r>
  <r>
    <x v="86"/>
    <s v="Senior/Pensioner"/>
    <x v="4"/>
    <n v="146648"/>
  </r>
  <r>
    <x v="86"/>
    <s v="Sgl Trip Rail Adult"/>
    <x v="4"/>
    <n v="4262"/>
  </r>
  <r>
    <x v="86"/>
    <s v="Sgl Trip Rail Child/Youth"/>
    <x v="4"/>
    <n v="6096"/>
  </r>
  <r>
    <x v="86"/>
    <s v="Adult"/>
    <x v="3"/>
    <n v="11311219"/>
  </r>
  <r>
    <x v="86"/>
    <s v="CTP"/>
    <x v="3"/>
    <n v="8689041"/>
  </r>
  <r>
    <x v="86"/>
    <s v="Child/Youth"/>
    <x v="3"/>
    <n v="738875"/>
  </r>
  <r>
    <x v="86"/>
    <s v="Concession"/>
    <x v="3"/>
    <n v="1262255"/>
  </r>
  <r>
    <x v="86"/>
    <s v="Day Pass Child/Youth w/o SAF"/>
    <x v="3"/>
    <n v="39"/>
  </r>
  <r>
    <x v="86"/>
    <s v="Day Pass without SAF"/>
    <x v="3"/>
    <n v="946"/>
  </r>
  <r>
    <x v="86"/>
    <s v="Employee"/>
    <x v="3"/>
    <n v="225478"/>
  </r>
  <r>
    <x v="86"/>
    <s v="Free Travel"/>
    <x v="3"/>
    <n v="22390"/>
  </r>
  <r>
    <x v="86"/>
    <s v="School Student"/>
    <x v="3"/>
    <n v="786034"/>
  </r>
  <r>
    <x v="86"/>
    <s v="Senior/Pensioner"/>
    <x v="3"/>
    <n v="2331482"/>
  </r>
  <r>
    <x v="86"/>
    <s v="Sgl Trip Rail Adult"/>
    <x v="3"/>
    <n v="94539"/>
  </r>
  <r>
    <x v="86"/>
    <s v="Sgl Trip Rail Child/Youth"/>
    <x v="3"/>
    <n v="52145"/>
  </r>
  <r>
    <x v="87"/>
    <s v="Adult"/>
    <x v="0"/>
    <n v="7376720"/>
  </r>
  <r>
    <x v="87"/>
    <s v="Adult Single Bus Trip 1"/>
    <x v="0"/>
    <n v="109"/>
  </r>
  <r>
    <x v="87"/>
    <s v="Adult Single Bus Trip 2"/>
    <x v="0"/>
    <n v="48"/>
  </r>
  <r>
    <x v="87"/>
    <s v="Adult Single Bus Trip 3"/>
    <x v="0"/>
    <n v="26"/>
  </r>
  <r>
    <x v="87"/>
    <s v="CTP"/>
    <x v="0"/>
    <n v="6848735"/>
  </r>
  <r>
    <x v="87"/>
    <s v="Child/Youth"/>
    <x v="0"/>
    <n v="750832"/>
  </r>
  <r>
    <x v="87"/>
    <s v="Child/Youth Single Bus Trip 1"/>
    <x v="0"/>
    <n v="1"/>
  </r>
  <r>
    <x v="87"/>
    <s v="Child/Youth Single Bus Trip 3"/>
    <x v="0"/>
    <n v="1"/>
  </r>
  <r>
    <x v="87"/>
    <s v="Concession"/>
    <x v="0"/>
    <n v="913122"/>
  </r>
  <r>
    <x v="87"/>
    <s v="Day Pass Child/Youth w/o SAF"/>
    <x v="0"/>
    <n v="46"/>
  </r>
  <r>
    <x v="87"/>
    <s v="Day Pass without SAF"/>
    <x v="0"/>
    <n v="965"/>
  </r>
  <r>
    <x v="87"/>
    <s v="Employee"/>
    <x v="0"/>
    <n v="62160"/>
  </r>
  <r>
    <x v="87"/>
    <s v="Free Travel"/>
    <x v="0"/>
    <n v="29730"/>
  </r>
  <r>
    <x v="87"/>
    <s v="On Demand"/>
    <x v="0"/>
    <n v="22581"/>
  </r>
  <r>
    <x v="87"/>
    <s v="School Student"/>
    <x v="0"/>
    <n v="1149219"/>
  </r>
  <r>
    <x v="87"/>
    <s v="Senior/Pensioner"/>
    <x v="0"/>
    <n v="3261947"/>
  </r>
  <r>
    <x v="87"/>
    <s v="Adult"/>
    <x v="1"/>
    <n v="442219"/>
  </r>
  <r>
    <x v="87"/>
    <s v="CTP"/>
    <x v="1"/>
    <n v="702214"/>
  </r>
  <r>
    <x v="87"/>
    <s v="Child/Youth"/>
    <x v="1"/>
    <n v="86327"/>
  </r>
  <r>
    <x v="87"/>
    <s v="Concession"/>
    <x v="1"/>
    <n v="20405"/>
  </r>
  <r>
    <x v="87"/>
    <s v="Day Pass without SAF"/>
    <x v="1"/>
    <n v="25"/>
  </r>
  <r>
    <x v="87"/>
    <s v="Employee"/>
    <x v="1"/>
    <n v="4548"/>
  </r>
  <r>
    <x v="87"/>
    <s v="Free Travel"/>
    <x v="1"/>
    <n v="1941"/>
  </r>
  <r>
    <x v="87"/>
    <s v="School Student"/>
    <x v="1"/>
    <n v="7801"/>
  </r>
  <r>
    <x v="87"/>
    <s v="Senior/Pensioner"/>
    <x v="1"/>
    <n v="190452"/>
  </r>
  <r>
    <x v="87"/>
    <s v="Sgl Trip Ferry Adult"/>
    <x v="1"/>
    <n v="30061"/>
  </r>
  <r>
    <x v="87"/>
    <s v="Sgl Trip Ferry Child/Youth"/>
    <x v="1"/>
    <n v="14062"/>
  </r>
  <r>
    <x v="87"/>
    <s v="Adult"/>
    <x v="2"/>
    <n v="1348216"/>
  </r>
  <r>
    <x v="87"/>
    <s v="CTP"/>
    <x v="2"/>
    <n v="1413262"/>
  </r>
  <r>
    <x v="87"/>
    <s v="Child/Youth"/>
    <x v="2"/>
    <n v="104704"/>
  </r>
  <r>
    <x v="87"/>
    <s v="Concession"/>
    <x v="2"/>
    <n v="275764"/>
  </r>
  <r>
    <x v="87"/>
    <s v="Day Pass Child/Youth w/o SAF"/>
    <x v="2"/>
    <n v="1"/>
  </r>
  <r>
    <x v="87"/>
    <s v="Day Pass without SAF"/>
    <x v="2"/>
    <n v="68"/>
  </r>
  <r>
    <x v="87"/>
    <s v="Employee"/>
    <x v="2"/>
    <n v="9672"/>
  </r>
  <r>
    <x v="87"/>
    <s v="Free Travel"/>
    <x v="2"/>
    <n v="2962"/>
  </r>
  <r>
    <x v="87"/>
    <s v="School Student"/>
    <x v="2"/>
    <n v="26385"/>
  </r>
  <r>
    <x v="87"/>
    <s v="Senior/Pensioner"/>
    <x v="2"/>
    <n v="403177"/>
  </r>
  <r>
    <x v="87"/>
    <s v="Sgl Trip LR Adult"/>
    <x v="2"/>
    <n v="4201"/>
  </r>
  <r>
    <x v="87"/>
    <s v="Sgl Trip LR Child/Youth"/>
    <x v="2"/>
    <n v="1770"/>
  </r>
  <r>
    <x v="87"/>
    <s v="Adult"/>
    <x v="4"/>
    <n v="852938"/>
  </r>
  <r>
    <x v="87"/>
    <s v="CTP"/>
    <x v="4"/>
    <n v="601032"/>
  </r>
  <r>
    <x v="87"/>
    <s v="Child/Youth"/>
    <x v="4"/>
    <n v="110704"/>
  </r>
  <r>
    <x v="87"/>
    <s v="Concession"/>
    <x v="4"/>
    <n v="177429"/>
  </r>
  <r>
    <x v="87"/>
    <s v="Day Pass without SAF"/>
    <x v="4"/>
    <n v="10"/>
  </r>
  <r>
    <x v="87"/>
    <s v="Employee"/>
    <x v="4"/>
    <n v="10057"/>
  </r>
  <r>
    <x v="87"/>
    <s v="Free Travel"/>
    <x v="4"/>
    <n v="1623"/>
  </r>
  <r>
    <x v="87"/>
    <s v="School Student"/>
    <x v="4"/>
    <n v="128319"/>
  </r>
  <r>
    <x v="87"/>
    <s v="Senior/Pensioner"/>
    <x v="4"/>
    <n v="141713"/>
  </r>
  <r>
    <x v="87"/>
    <s v="Sgl Trip Rail Adult"/>
    <x v="4"/>
    <n v="4173"/>
  </r>
  <r>
    <x v="87"/>
    <s v="Sgl Trip Rail Child/Youth"/>
    <x v="4"/>
    <n v="5416"/>
  </r>
  <r>
    <x v="87"/>
    <s v="Adult"/>
    <x v="3"/>
    <n v="11463667"/>
  </r>
  <r>
    <x v="87"/>
    <s v="CTP"/>
    <x v="3"/>
    <n v="9076600"/>
  </r>
  <r>
    <x v="87"/>
    <s v="Child/Youth"/>
    <x v="3"/>
    <n v="705858"/>
  </r>
  <r>
    <x v="87"/>
    <s v="Concession"/>
    <x v="3"/>
    <n v="1300116"/>
  </r>
  <r>
    <x v="87"/>
    <s v="Day Pass Child/Youth w/o SAF"/>
    <x v="3"/>
    <n v="23"/>
  </r>
  <r>
    <x v="87"/>
    <s v="Day Pass without SAF"/>
    <x v="3"/>
    <n v="999"/>
  </r>
  <r>
    <x v="87"/>
    <s v="Employee"/>
    <x v="3"/>
    <n v="233221"/>
  </r>
  <r>
    <x v="87"/>
    <s v="Free Travel"/>
    <x v="3"/>
    <n v="22991"/>
  </r>
  <r>
    <x v="87"/>
    <s v="School Student"/>
    <x v="3"/>
    <n v="798096"/>
  </r>
  <r>
    <x v="87"/>
    <s v="Senior/Pensioner"/>
    <x v="3"/>
    <n v="2357874"/>
  </r>
  <r>
    <x v="87"/>
    <s v="Sgl Trip Rail Adult"/>
    <x v="3"/>
    <n v="96729"/>
  </r>
  <r>
    <x v="87"/>
    <s v="Sgl Trip Rail Child/Youth"/>
    <x v="3"/>
    <n v="49139"/>
  </r>
  <r>
    <x v="88"/>
    <s v="Adult"/>
    <x v="0"/>
    <n v="7332267"/>
  </r>
  <r>
    <x v="88"/>
    <s v="Adult Single Bus Trip 1"/>
    <x v="0"/>
    <n v="120"/>
  </r>
  <r>
    <x v="88"/>
    <s v="Adult Single Bus Trip 2"/>
    <x v="0"/>
    <n v="72"/>
  </r>
  <r>
    <x v="88"/>
    <s v="Adult Single Bus Trip 3"/>
    <x v="0"/>
    <n v="29"/>
  </r>
  <r>
    <x v="88"/>
    <s v="CTP"/>
    <x v="0"/>
    <n v="7022689"/>
  </r>
  <r>
    <x v="88"/>
    <s v="Child/Youth"/>
    <x v="0"/>
    <n v="638475"/>
  </r>
  <r>
    <x v="88"/>
    <s v="Child/Youth Single Bus Trip 2"/>
    <x v="0"/>
    <n v="1"/>
  </r>
  <r>
    <x v="88"/>
    <s v="Child/Youth Single Bus Trip 3"/>
    <x v="0"/>
    <n v="2"/>
  </r>
  <r>
    <x v="88"/>
    <s v="Concession"/>
    <x v="0"/>
    <n v="764431"/>
  </r>
  <r>
    <x v="88"/>
    <s v="Day Pass Child/Youth w/o SAF"/>
    <x v="0"/>
    <n v="35"/>
  </r>
  <r>
    <x v="88"/>
    <s v="Day Pass without SAF"/>
    <x v="0"/>
    <n v="1000"/>
  </r>
  <r>
    <x v="88"/>
    <s v="Employee"/>
    <x v="0"/>
    <n v="62959"/>
  </r>
  <r>
    <x v="88"/>
    <s v="Free Travel"/>
    <x v="0"/>
    <n v="30071"/>
  </r>
  <r>
    <x v="88"/>
    <s v="On Demand"/>
    <x v="0"/>
    <n v="22514"/>
  </r>
  <r>
    <x v="88"/>
    <s v="School Student"/>
    <x v="0"/>
    <n v="1421368"/>
  </r>
  <r>
    <x v="88"/>
    <s v="Senior/Pensioner"/>
    <x v="0"/>
    <n v="3352004"/>
  </r>
  <r>
    <x v="88"/>
    <s v="Adult"/>
    <x v="1"/>
    <n v="404050"/>
  </r>
  <r>
    <x v="88"/>
    <s v="CTP"/>
    <x v="1"/>
    <n v="700752"/>
  </r>
  <r>
    <x v="88"/>
    <s v="Child/Youth"/>
    <x v="1"/>
    <n v="54515"/>
  </r>
  <r>
    <x v="88"/>
    <s v="Concession"/>
    <x v="1"/>
    <n v="16881"/>
  </r>
  <r>
    <x v="88"/>
    <s v="Day Pass Child/Youth w/o SAF"/>
    <x v="1"/>
    <n v="179"/>
  </r>
  <r>
    <x v="88"/>
    <s v="Day Pass without SAF"/>
    <x v="1"/>
    <n v="51"/>
  </r>
  <r>
    <x v="88"/>
    <s v="Employee"/>
    <x v="1"/>
    <n v="4495"/>
  </r>
  <r>
    <x v="88"/>
    <s v="Free Travel"/>
    <x v="1"/>
    <n v="1798"/>
  </r>
  <r>
    <x v="88"/>
    <s v="School Student"/>
    <x v="1"/>
    <n v="11206"/>
  </r>
  <r>
    <x v="88"/>
    <s v="Senior/Pensioner"/>
    <x v="1"/>
    <n v="178886"/>
  </r>
  <r>
    <x v="88"/>
    <s v="Sgl Trip Ferry Adult"/>
    <x v="1"/>
    <n v="26596"/>
  </r>
  <r>
    <x v="88"/>
    <s v="Sgl Trip Ferry Child/Youth"/>
    <x v="1"/>
    <n v="7473"/>
  </r>
  <r>
    <x v="88"/>
    <s v="Adult"/>
    <x v="2"/>
    <n v="1303119"/>
  </r>
  <r>
    <x v="88"/>
    <s v="CTP"/>
    <x v="2"/>
    <n v="1454149"/>
  </r>
  <r>
    <x v="88"/>
    <s v="Child/Youth"/>
    <x v="2"/>
    <n v="82530"/>
  </r>
  <r>
    <x v="88"/>
    <s v="Concession"/>
    <x v="2"/>
    <n v="228118"/>
  </r>
  <r>
    <x v="88"/>
    <s v="Day Pass Child/Youth w/o SAF"/>
    <x v="2"/>
    <n v="6"/>
  </r>
  <r>
    <x v="88"/>
    <s v="Day Pass without SAF"/>
    <x v="2"/>
    <n v="23"/>
  </r>
  <r>
    <x v="88"/>
    <s v="Employee"/>
    <x v="2"/>
    <n v="10259"/>
  </r>
  <r>
    <x v="88"/>
    <s v="Free Travel"/>
    <x v="2"/>
    <n v="3282"/>
  </r>
  <r>
    <x v="88"/>
    <s v="School Student"/>
    <x v="2"/>
    <n v="36321"/>
  </r>
  <r>
    <x v="88"/>
    <s v="Senior/Pensioner"/>
    <x v="2"/>
    <n v="395800"/>
  </r>
  <r>
    <x v="88"/>
    <s v="Sgl Trip LR Adult"/>
    <x v="2"/>
    <n v="4257"/>
  </r>
  <r>
    <x v="88"/>
    <s v="Sgl Trip LR Child/Youth"/>
    <x v="2"/>
    <n v="1258"/>
  </r>
  <r>
    <x v="88"/>
    <s v="Adult"/>
    <x v="4"/>
    <n v="854398"/>
  </r>
  <r>
    <x v="88"/>
    <s v="CTP"/>
    <x v="4"/>
    <n v="611217"/>
  </r>
  <r>
    <x v="88"/>
    <s v="Child/Youth"/>
    <x v="4"/>
    <n v="90685"/>
  </r>
  <r>
    <x v="88"/>
    <s v="Concession"/>
    <x v="4"/>
    <n v="128213"/>
  </r>
  <r>
    <x v="88"/>
    <s v="Day Pass without SAF"/>
    <x v="4"/>
    <n v="103"/>
  </r>
  <r>
    <x v="88"/>
    <s v="Employee"/>
    <x v="4"/>
    <n v="10148"/>
  </r>
  <r>
    <x v="88"/>
    <s v="Free Travel"/>
    <x v="4"/>
    <n v="1674"/>
  </r>
  <r>
    <x v="88"/>
    <s v="School Student"/>
    <x v="4"/>
    <n v="166224"/>
  </r>
  <r>
    <x v="88"/>
    <s v="Senior/Pensioner"/>
    <x v="4"/>
    <n v="147231"/>
  </r>
  <r>
    <x v="88"/>
    <s v="Sgl Trip Rail Adult"/>
    <x v="4"/>
    <n v="4240"/>
  </r>
  <r>
    <x v="88"/>
    <s v="Sgl Trip Rail Child/Youth"/>
    <x v="4"/>
    <n v="4173"/>
  </r>
  <r>
    <x v="88"/>
    <s v="Adult"/>
    <x v="3"/>
    <n v="11520770"/>
  </r>
  <r>
    <x v="88"/>
    <s v="CTP"/>
    <x v="3"/>
    <n v="9333408"/>
  </r>
  <r>
    <x v="88"/>
    <s v="Child/Youth"/>
    <x v="3"/>
    <n v="591971"/>
  </r>
  <r>
    <x v="88"/>
    <s v="Concession"/>
    <x v="3"/>
    <n v="1036134"/>
  </r>
  <r>
    <x v="88"/>
    <s v="Day Pass Child/Youth w/o SAF"/>
    <x v="3"/>
    <n v="99"/>
  </r>
  <r>
    <x v="88"/>
    <s v="Day Pass without SAF"/>
    <x v="3"/>
    <n v="847"/>
  </r>
  <r>
    <x v="88"/>
    <s v="Employee"/>
    <x v="3"/>
    <n v="240870"/>
  </r>
  <r>
    <x v="88"/>
    <s v="Free Travel"/>
    <x v="3"/>
    <n v="24423"/>
  </r>
  <r>
    <x v="88"/>
    <s v="School Student"/>
    <x v="3"/>
    <n v="1015165"/>
  </r>
  <r>
    <x v="88"/>
    <s v="Senior/Pensioner"/>
    <x v="3"/>
    <n v="2426988"/>
  </r>
  <r>
    <x v="88"/>
    <s v="Sgl Trip Rail Adult"/>
    <x v="3"/>
    <n v="98566"/>
  </r>
  <r>
    <x v="88"/>
    <s v="Sgl Trip Rail Child/Youth"/>
    <x v="3"/>
    <n v="37905"/>
  </r>
  <r>
    <x v="89"/>
    <s v="Adult"/>
    <x v="0"/>
    <n v="6558058"/>
  </r>
  <r>
    <x v="89"/>
    <s v="Adult Single Bus Trip 1"/>
    <x v="0"/>
    <n v="140"/>
  </r>
  <r>
    <x v="89"/>
    <s v="Adult Single Bus Trip 2"/>
    <x v="0"/>
    <n v="36"/>
  </r>
  <r>
    <x v="89"/>
    <s v="Adult Single Bus Trip 3"/>
    <x v="0"/>
    <n v="21"/>
  </r>
  <r>
    <x v="89"/>
    <s v="CTP"/>
    <x v="0"/>
    <n v="6687137"/>
  </r>
  <r>
    <x v="89"/>
    <s v="Child/Youth"/>
    <x v="0"/>
    <n v="788695"/>
  </r>
  <r>
    <x v="89"/>
    <s v="Child/Youth Single Bus Trip 1"/>
    <x v="0"/>
    <n v="2"/>
  </r>
  <r>
    <x v="89"/>
    <s v="Child/Youth Single Bus Trip 2"/>
    <x v="0"/>
    <n v="1"/>
  </r>
  <r>
    <x v="89"/>
    <s v="Concession"/>
    <x v="0"/>
    <n v="564924"/>
  </r>
  <r>
    <x v="89"/>
    <s v="Day Pass Child/Youth w/o SAF"/>
    <x v="0"/>
    <n v="17"/>
  </r>
  <r>
    <x v="89"/>
    <s v="Day Pass without SAF"/>
    <x v="0"/>
    <n v="1002"/>
  </r>
  <r>
    <x v="89"/>
    <s v="Employee"/>
    <x v="0"/>
    <n v="59638"/>
  </r>
  <r>
    <x v="89"/>
    <s v="Free Travel"/>
    <x v="0"/>
    <n v="27716"/>
  </r>
  <r>
    <x v="89"/>
    <s v="On Demand"/>
    <x v="0"/>
    <n v="19650"/>
  </r>
  <r>
    <x v="89"/>
    <s v="School Student"/>
    <x v="0"/>
    <n v="547473"/>
  </r>
  <r>
    <x v="89"/>
    <s v="Senior/Pensioner"/>
    <x v="0"/>
    <n v="3116395"/>
  </r>
  <r>
    <x v="89"/>
    <s v="Adult"/>
    <x v="1"/>
    <n v="491772"/>
  </r>
  <r>
    <x v="89"/>
    <s v="CTP"/>
    <x v="1"/>
    <n v="871206"/>
  </r>
  <r>
    <x v="89"/>
    <s v="Child/Youth"/>
    <x v="1"/>
    <n v="117082"/>
  </r>
  <r>
    <x v="89"/>
    <s v="Concession"/>
    <x v="1"/>
    <n v="20165"/>
  </r>
  <r>
    <x v="89"/>
    <s v="Day Pass Child/Youth w/o SAF"/>
    <x v="1"/>
    <n v="1"/>
  </r>
  <r>
    <x v="89"/>
    <s v="Day Pass without SAF"/>
    <x v="1"/>
    <n v="54"/>
  </r>
  <r>
    <x v="89"/>
    <s v="Employee"/>
    <x v="1"/>
    <n v="4786"/>
  </r>
  <r>
    <x v="89"/>
    <s v="Free Travel"/>
    <x v="1"/>
    <n v="1937"/>
  </r>
  <r>
    <x v="89"/>
    <s v="School Student"/>
    <x v="1"/>
    <n v="7817"/>
  </r>
  <r>
    <x v="89"/>
    <s v="Senior/Pensioner"/>
    <x v="1"/>
    <n v="189510"/>
  </r>
  <r>
    <x v="89"/>
    <s v="Sgl Trip Ferry Adult"/>
    <x v="1"/>
    <n v="43482"/>
  </r>
  <r>
    <x v="89"/>
    <s v="Sgl Trip Ferry Child/Youth"/>
    <x v="1"/>
    <n v="23980"/>
  </r>
  <r>
    <x v="89"/>
    <s v="Adult"/>
    <x v="2"/>
    <n v="1307770"/>
  </r>
  <r>
    <x v="89"/>
    <s v="CTP"/>
    <x v="2"/>
    <n v="1471476"/>
  </r>
  <r>
    <x v="89"/>
    <s v="Child/Youth"/>
    <x v="2"/>
    <n v="150385"/>
  </r>
  <r>
    <x v="89"/>
    <s v="Concession"/>
    <x v="2"/>
    <n v="113096"/>
  </r>
  <r>
    <x v="89"/>
    <s v="Day Pass Child/Youth w/o SAF"/>
    <x v="2"/>
    <n v="5"/>
  </r>
  <r>
    <x v="89"/>
    <s v="Day Pass without SAF"/>
    <x v="2"/>
    <n v="62"/>
  </r>
  <r>
    <x v="89"/>
    <s v="Employee"/>
    <x v="2"/>
    <n v="10667"/>
  </r>
  <r>
    <x v="89"/>
    <s v="Free Travel"/>
    <x v="2"/>
    <n v="3228"/>
  </r>
  <r>
    <x v="89"/>
    <s v="School Student"/>
    <x v="2"/>
    <n v="16331"/>
  </r>
  <r>
    <x v="89"/>
    <s v="Senior/Pensioner"/>
    <x v="2"/>
    <n v="412941"/>
  </r>
  <r>
    <x v="89"/>
    <s v="Sgl Trip LR Adult"/>
    <x v="2"/>
    <n v="5543"/>
  </r>
  <r>
    <x v="89"/>
    <s v="Sgl Trip LR Child/Youth"/>
    <x v="2"/>
    <n v="3046"/>
  </r>
  <r>
    <x v="89"/>
    <s v="Adult"/>
    <x v="4"/>
    <n v="696546"/>
  </r>
  <r>
    <x v="89"/>
    <s v="CTP"/>
    <x v="4"/>
    <n v="495827"/>
  </r>
  <r>
    <x v="89"/>
    <s v="Child/Youth"/>
    <x v="4"/>
    <n v="118165"/>
  </r>
  <r>
    <x v="89"/>
    <s v="Concession"/>
    <x v="4"/>
    <n v="86504"/>
  </r>
  <r>
    <x v="89"/>
    <s v="Day Pass without SAF"/>
    <x v="4"/>
    <n v="16"/>
  </r>
  <r>
    <x v="89"/>
    <s v="Employee"/>
    <x v="4"/>
    <n v="8690"/>
  </r>
  <r>
    <x v="89"/>
    <s v="Free Travel"/>
    <x v="4"/>
    <n v="1253"/>
  </r>
  <r>
    <x v="89"/>
    <s v="School Student"/>
    <x v="4"/>
    <n v="67107"/>
  </r>
  <r>
    <x v="89"/>
    <s v="Senior/Pensioner"/>
    <x v="4"/>
    <n v="133112"/>
  </r>
  <r>
    <x v="89"/>
    <s v="Sgl Trip Rail Adult"/>
    <x v="4"/>
    <n v="5328"/>
  </r>
  <r>
    <x v="89"/>
    <s v="Sgl Trip Rail Child/Youth"/>
    <x v="4"/>
    <n v="6936"/>
  </r>
  <r>
    <x v="89"/>
    <s v="Adult"/>
    <x v="3"/>
    <n v="10198973"/>
  </r>
  <r>
    <x v="89"/>
    <s v="CTP"/>
    <x v="3"/>
    <n v="8647726"/>
  </r>
  <r>
    <x v="89"/>
    <s v="Child/Youth"/>
    <x v="3"/>
    <n v="837053"/>
  </r>
  <r>
    <x v="89"/>
    <s v="Concession"/>
    <x v="3"/>
    <n v="757253"/>
  </r>
  <r>
    <x v="89"/>
    <s v="Day Pass Child/Youth w/o SAF"/>
    <x v="3"/>
    <n v="20"/>
  </r>
  <r>
    <x v="89"/>
    <s v="Day Pass without SAF"/>
    <x v="3"/>
    <n v="972"/>
  </r>
  <r>
    <x v="89"/>
    <s v="Employee"/>
    <x v="3"/>
    <n v="225374"/>
  </r>
  <r>
    <x v="89"/>
    <s v="Free Travel"/>
    <x v="3"/>
    <n v="20970"/>
  </r>
  <r>
    <x v="89"/>
    <s v="School Student"/>
    <x v="3"/>
    <n v="394784"/>
  </r>
  <r>
    <x v="89"/>
    <s v="Senior/Pensioner"/>
    <x v="3"/>
    <n v="2286113"/>
  </r>
  <r>
    <x v="89"/>
    <s v="Sgl Trip Rail Adult"/>
    <x v="3"/>
    <n v="114217"/>
  </r>
  <r>
    <x v="89"/>
    <s v="Sgl Trip Rail Child/Youth"/>
    <x v="3"/>
    <n v="70483"/>
  </r>
  <r>
    <x v="90"/>
    <s v="Adult"/>
    <x v="0"/>
    <n v="6775154"/>
  </r>
  <r>
    <x v="90"/>
    <s v="Adult"/>
    <x v="1"/>
    <n v="412245"/>
  </r>
  <r>
    <x v="90"/>
    <s v="Adult"/>
    <x v="2"/>
    <n v="1223563"/>
  </r>
  <r>
    <x v="90"/>
    <s v="Adult"/>
    <x v="4"/>
    <n v="791620.84"/>
  </r>
  <r>
    <x v="90"/>
    <s v="Adult"/>
    <x v="3"/>
    <n v="10678496.050000001"/>
  </r>
  <r>
    <x v="90"/>
    <s v="Adult"/>
    <x v="5"/>
    <n v="3"/>
  </r>
  <r>
    <x v="90"/>
    <s v="CTP"/>
    <x v="0"/>
    <n v="6993234"/>
  </r>
  <r>
    <x v="90"/>
    <s v="CTP"/>
    <x v="1"/>
    <n v="752230"/>
  </r>
  <r>
    <x v="90"/>
    <s v="CTP"/>
    <x v="2"/>
    <n v="1452810"/>
  </r>
  <r>
    <x v="90"/>
    <s v="CTP"/>
    <x v="4"/>
    <n v="594538.66"/>
  </r>
  <r>
    <x v="90"/>
    <s v="CTP"/>
    <x v="3"/>
    <n v="9404460.1199999992"/>
  </r>
  <r>
    <x v="90"/>
    <s v="CTP"/>
    <x v="5"/>
    <n v="2"/>
  </r>
  <r>
    <x v="90"/>
    <s v="Child/Youth"/>
    <x v="0"/>
    <n v="786103"/>
  </r>
  <r>
    <x v="90"/>
    <s v="Child/Youth"/>
    <x v="1"/>
    <n v="114058"/>
  </r>
  <r>
    <x v="90"/>
    <s v="Child/Youth"/>
    <x v="2"/>
    <n v="137895"/>
  </r>
  <r>
    <x v="90"/>
    <s v="Child/Youth"/>
    <x v="4"/>
    <n v="119336.3"/>
  </r>
  <r>
    <x v="90"/>
    <s v="Child/Youth"/>
    <x v="3"/>
    <n v="842225.86"/>
  </r>
  <r>
    <x v="90"/>
    <s v="Child/Youth"/>
    <x v="5"/>
    <n v="2"/>
  </r>
  <r>
    <x v="90"/>
    <s v="Concession"/>
    <x v="0"/>
    <n v="920390"/>
  </r>
  <r>
    <x v="90"/>
    <s v="Concession"/>
    <x v="1"/>
    <n v="22489"/>
  </r>
  <r>
    <x v="90"/>
    <s v="Concession"/>
    <x v="2"/>
    <n v="294086"/>
  </r>
  <r>
    <x v="90"/>
    <s v="Concession"/>
    <x v="4"/>
    <n v="170192.73"/>
  </r>
  <r>
    <x v="90"/>
    <s v="Concession"/>
    <x v="3"/>
    <n v="1385525.44"/>
  </r>
  <r>
    <x v="90"/>
    <s v="Day Pass Child/Youth w/o SAF"/>
    <x v="0"/>
    <n v="53"/>
  </r>
  <r>
    <x v="90"/>
    <s v="Day Pass Child/Youth w/o SAF"/>
    <x v="1"/>
    <n v="2"/>
  </r>
  <r>
    <x v="90"/>
    <s v="Day Pass Child/Youth w/o SAF"/>
    <x v="2"/>
    <n v="5"/>
  </r>
  <r>
    <x v="90"/>
    <s v="Day Pass Child/Youth w/o SAF"/>
    <x v="3"/>
    <n v="26"/>
  </r>
  <r>
    <x v="90"/>
    <s v="Day Pass without SAF"/>
    <x v="0"/>
    <n v="1078"/>
  </r>
  <r>
    <x v="90"/>
    <s v="Day Pass without SAF"/>
    <x v="1"/>
    <n v="34"/>
  </r>
  <r>
    <x v="90"/>
    <s v="Day Pass without SAF"/>
    <x v="2"/>
    <n v="61"/>
  </r>
  <r>
    <x v="90"/>
    <s v="Day Pass without SAF"/>
    <x v="4"/>
    <n v="8.4"/>
  </r>
  <r>
    <x v="90"/>
    <s v="Day Pass without SAF"/>
    <x v="3"/>
    <n v="909.6"/>
  </r>
  <r>
    <x v="90"/>
    <s v="Employee"/>
    <x v="0"/>
    <n v="63375"/>
  </r>
  <r>
    <x v="90"/>
    <s v="Employee"/>
    <x v="1"/>
    <n v="4565"/>
  </r>
  <r>
    <x v="90"/>
    <s v="Employee"/>
    <x v="2"/>
    <n v="9662"/>
  </r>
  <r>
    <x v="90"/>
    <s v="Employee"/>
    <x v="4"/>
    <n v="8121.53"/>
  </r>
  <r>
    <x v="90"/>
    <s v="Employee"/>
    <x v="3"/>
    <n v="190294.89"/>
  </r>
  <r>
    <x v="90"/>
    <s v="Employee"/>
    <x v="5"/>
    <n v="1"/>
  </r>
  <r>
    <x v="90"/>
    <s v="Free Travel"/>
    <x v="0"/>
    <n v="27880"/>
  </r>
  <r>
    <x v="90"/>
    <s v="Free Travel"/>
    <x v="1"/>
    <n v="1919"/>
  </r>
  <r>
    <x v="90"/>
    <s v="Free Travel"/>
    <x v="2"/>
    <n v="3246"/>
  </r>
  <r>
    <x v="90"/>
    <s v="Free Travel"/>
    <x v="4"/>
    <n v="1467.2"/>
  </r>
  <r>
    <x v="90"/>
    <s v="Free Travel"/>
    <x v="3"/>
    <n v="24357.119999999999"/>
  </r>
  <r>
    <x v="90"/>
    <s v="On Demand"/>
    <x v="0"/>
    <n v="21270"/>
  </r>
  <r>
    <x v="90"/>
    <s v="School Student"/>
    <x v="0"/>
    <n v="655809"/>
  </r>
  <r>
    <x v="90"/>
    <s v="School Student"/>
    <x v="1"/>
    <n v="5517"/>
  </r>
  <r>
    <x v="90"/>
    <s v="School Student"/>
    <x v="2"/>
    <n v="22162"/>
  </r>
  <r>
    <x v="90"/>
    <s v="School Student"/>
    <x v="4"/>
    <n v="81285.23"/>
  </r>
  <r>
    <x v="90"/>
    <s v="School Student"/>
    <x v="3"/>
    <n v="476402.87"/>
  </r>
  <r>
    <x v="90"/>
    <s v="Senior/Pensioner"/>
    <x v="0"/>
    <n v="3157857"/>
  </r>
  <r>
    <x v="90"/>
    <s v="Senior/Pensioner"/>
    <x v="1"/>
    <n v="196066"/>
  </r>
  <r>
    <x v="90"/>
    <s v="Senior/Pensioner"/>
    <x v="2"/>
    <n v="405015"/>
  </r>
  <r>
    <x v="90"/>
    <s v="Senior/Pensioner"/>
    <x v="4"/>
    <n v="137204.21"/>
  </r>
  <r>
    <x v="90"/>
    <s v="Senior/Pensioner"/>
    <x v="3"/>
    <n v="2335545.64"/>
  </r>
  <r>
    <x v="90"/>
    <s v="Sgl Trip Ferry Adult"/>
    <x v="1"/>
    <n v="26513"/>
  </r>
  <r>
    <x v="90"/>
    <s v="Sgl Trip Ferry Child/Youth"/>
    <x v="1"/>
    <n v="17666"/>
  </r>
  <r>
    <x v="90"/>
    <s v="Sgl Trip LR Adult"/>
    <x v="2"/>
    <n v="3925"/>
  </r>
  <r>
    <x v="90"/>
    <s v="Sgl Trip LR Child/Youth"/>
    <x v="2"/>
    <n v="2461"/>
  </r>
  <r>
    <x v="90"/>
    <s v="Sgl Trip Rail Adult"/>
    <x v="4"/>
    <n v="3807.47"/>
  </r>
  <r>
    <x v="90"/>
    <s v="Sgl Trip Rail Adult"/>
    <x v="3"/>
    <n v="81105.78"/>
  </r>
  <r>
    <x v="90"/>
    <s v="Sgl Trip Rail Adult"/>
    <x v="5"/>
    <n v="1"/>
  </r>
  <r>
    <x v="90"/>
    <s v="Sgl Trip Rail Child/Youth"/>
    <x v="4"/>
    <n v="6167.17"/>
  </r>
  <r>
    <x v="90"/>
    <s v="Sgl Trip Rail Child/Youth"/>
    <x v="3"/>
    <n v="56796.91"/>
  </r>
  <r>
    <x v="90"/>
    <s v="Sgl Trip Rail Child/Youth"/>
    <x v="5"/>
    <n v="1"/>
  </r>
  <r>
    <x v="90"/>
    <s v="UNKNOWN"/>
    <x v="0"/>
    <n v="144"/>
  </r>
  <r>
    <x v="90"/>
    <s v="UNKNOWN"/>
    <x v="1"/>
    <n v="1"/>
  </r>
  <r>
    <x v="90"/>
    <s v="UNKNOWN"/>
    <x v="2"/>
    <n v="2"/>
  </r>
  <r>
    <x v="90"/>
    <s v="UNKNOWN"/>
    <x v="4"/>
    <n v="19"/>
  </r>
  <r>
    <x v="90"/>
    <s v="UNKNOWN"/>
    <x v="3"/>
    <n v="145"/>
  </r>
  <r>
    <x v="91"/>
    <s v="Adult"/>
    <x v="0"/>
    <n v="6181583"/>
  </r>
  <r>
    <x v="91"/>
    <s v="Adult"/>
    <x v="1"/>
    <n v="384257"/>
  </r>
  <r>
    <x v="91"/>
    <s v="Adult"/>
    <x v="2"/>
    <n v="1279221"/>
  </r>
  <r>
    <x v="91"/>
    <s v="Adult"/>
    <x v="4"/>
    <n v="2176537.96"/>
  </r>
  <r>
    <x v="91"/>
    <s v="Adult"/>
    <x v="3"/>
    <n v="9004743.5700000003"/>
  </r>
  <r>
    <x v="91"/>
    <s v="CTP"/>
    <x v="0"/>
    <n v="7511778"/>
  </r>
  <r>
    <x v="91"/>
    <s v="CTP"/>
    <x v="1"/>
    <n v="888316"/>
  </r>
  <r>
    <x v="91"/>
    <s v="CTP"/>
    <x v="2"/>
    <n v="1715511"/>
  </r>
  <r>
    <x v="91"/>
    <s v="CTP"/>
    <x v="4"/>
    <n v="2349744.16"/>
  </r>
  <r>
    <x v="91"/>
    <s v="CTP"/>
    <x v="3"/>
    <n v="8960501.8000000007"/>
  </r>
  <r>
    <x v="91"/>
    <s v="Child/Youth"/>
    <x v="0"/>
    <n v="728464"/>
  </r>
  <r>
    <x v="91"/>
    <s v="Child/Youth"/>
    <x v="1"/>
    <n v="108722"/>
  </r>
  <r>
    <x v="91"/>
    <s v="Child/Youth"/>
    <x v="2"/>
    <n v="155656"/>
  </r>
  <r>
    <x v="91"/>
    <s v="Child/Youth"/>
    <x v="4"/>
    <n v="271922.31"/>
  </r>
  <r>
    <x v="91"/>
    <s v="Child/Youth"/>
    <x v="3"/>
    <n v="766391.43"/>
  </r>
  <r>
    <x v="91"/>
    <s v="Concession"/>
    <x v="0"/>
    <n v="1055684"/>
  </r>
  <r>
    <x v="91"/>
    <s v="Concession"/>
    <x v="1"/>
    <n v="27316"/>
  </r>
  <r>
    <x v="91"/>
    <s v="Concession"/>
    <x v="2"/>
    <n v="360012"/>
  </r>
  <r>
    <x v="91"/>
    <s v="Concession"/>
    <x v="4"/>
    <n v="447576.63"/>
  </r>
  <r>
    <x v="91"/>
    <s v="Concession"/>
    <x v="3"/>
    <n v="1370899.1"/>
  </r>
  <r>
    <x v="91"/>
    <s v="Day Pass Child/Youth w/o SAF"/>
    <x v="0"/>
    <n v="7"/>
  </r>
  <r>
    <x v="91"/>
    <s v="Day Pass Child/Youth w/o SAF"/>
    <x v="1"/>
    <n v="1"/>
  </r>
  <r>
    <x v="91"/>
    <s v="Day Pass Child/Youth w/o SAF"/>
    <x v="2"/>
    <n v="4"/>
  </r>
  <r>
    <x v="91"/>
    <s v="Day Pass Child/Youth w/o SAF"/>
    <x v="4"/>
    <n v="8"/>
  </r>
  <r>
    <x v="91"/>
    <s v="Day Pass Child/Youth w/o SAF"/>
    <x v="3"/>
    <n v="34"/>
  </r>
  <r>
    <x v="91"/>
    <s v="Day Pass without SAF"/>
    <x v="0"/>
    <n v="918"/>
  </r>
  <r>
    <x v="91"/>
    <s v="Day Pass without SAF"/>
    <x v="1"/>
    <n v="43"/>
  </r>
  <r>
    <x v="91"/>
    <s v="Day Pass without SAF"/>
    <x v="2"/>
    <n v="69"/>
  </r>
  <r>
    <x v="91"/>
    <s v="Day Pass without SAF"/>
    <x v="4"/>
    <n v="50.82"/>
  </r>
  <r>
    <x v="91"/>
    <s v="Day Pass without SAF"/>
    <x v="3"/>
    <n v="915.58"/>
  </r>
  <r>
    <x v="91"/>
    <s v="Employee"/>
    <x v="0"/>
    <n v="74306"/>
  </r>
  <r>
    <x v="91"/>
    <s v="Employee"/>
    <x v="1"/>
    <n v="5064"/>
  </r>
  <r>
    <x v="91"/>
    <s v="Employee"/>
    <x v="2"/>
    <n v="13476"/>
  </r>
  <r>
    <x v="91"/>
    <s v="Employee"/>
    <x v="4"/>
    <n v="34437.85"/>
  </r>
  <r>
    <x v="91"/>
    <s v="Employee"/>
    <x v="3"/>
    <n v="176170.89"/>
  </r>
  <r>
    <x v="91"/>
    <s v="Free Travel"/>
    <x v="0"/>
    <n v="27513"/>
  </r>
  <r>
    <x v="91"/>
    <s v="Free Travel"/>
    <x v="1"/>
    <n v="1930"/>
  </r>
  <r>
    <x v="91"/>
    <s v="Free Travel"/>
    <x v="2"/>
    <n v="3677"/>
  </r>
  <r>
    <x v="91"/>
    <s v="Free Travel"/>
    <x v="4"/>
    <n v="5104.33"/>
  </r>
  <r>
    <x v="91"/>
    <s v="Free Travel"/>
    <x v="3"/>
    <n v="22150.87"/>
  </r>
  <r>
    <x v="91"/>
    <s v="On Demand"/>
    <x v="0"/>
    <n v="16330"/>
  </r>
  <r>
    <x v="91"/>
    <s v="School Student"/>
    <x v="0"/>
    <n v="716898"/>
  </r>
  <r>
    <x v="91"/>
    <s v="School Student"/>
    <x v="1"/>
    <n v="6000"/>
  </r>
  <r>
    <x v="91"/>
    <s v="School Student"/>
    <x v="2"/>
    <n v="28712"/>
  </r>
  <r>
    <x v="91"/>
    <s v="School Student"/>
    <x v="4"/>
    <n v="156573.73000000001"/>
  </r>
  <r>
    <x v="91"/>
    <s v="School Student"/>
    <x v="3"/>
    <n v="472462.72"/>
  </r>
  <r>
    <x v="91"/>
    <s v="Senior/Pensioner"/>
    <x v="0"/>
    <n v="3134836"/>
  </r>
  <r>
    <x v="91"/>
    <s v="Senior/Pensioner"/>
    <x v="1"/>
    <n v="194436"/>
  </r>
  <r>
    <x v="91"/>
    <s v="Senior/Pensioner"/>
    <x v="2"/>
    <n v="474695"/>
  </r>
  <r>
    <x v="91"/>
    <s v="Senior/Pensioner"/>
    <x v="4"/>
    <n v="435647.21"/>
  </r>
  <r>
    <x v="91"/>
    <s v="Senior/Pensioner"/>
    <x v="3"/>
    <n v="2272153.88"/>
  </r>
  <r>
    <x v="91"/>
    <s v="Sgl Trip Ferry Adult"/>
    <x v="1"/>
    <n v="27713"/>
  </r>
  <r>
    <x v="91"/>
    <s v="Sgl Trip Ferry Child/Youth"/>
    <x v="1"/>
    <n v="18420"/>
  </r>
  <r>
    <x v="91"/>
    <s v="Sgl Trip LR Adult"/>
    <x v="2"/>
    <n v="4096"/>
  </r>
  <r>
    <x v="91"/>
    <s v="Sgl Trip LR Child/Youth"/>
    <x v="2"/>
    <n v="2727"/>
  </r>
  <r>
    <x v="91"/>
    <s v="Sgl Trip Rail Adult"/>
    <x v="4"/>
    <n v="11053.64"/>
  </r>
  <r>
    <x v="91"/>
    <s v="Sgl Trip Rail Adult"/>
    <x v="3"/>
    <n v="70526.36"/>
  </r>
  <r>
    <x v="91"/>
    <s v="Sgl Trip Rail Child/Youth"/>
    <x v="4"/>
    <n v="15592.32"/>
  </r>
  <r>
    <x v="91"/>
    <s v="Sgl Trip Rail Child/Youth"/>
    <x v="3"/>
    <n v="56154.8"/>
  </r>
  <r>
    <x v="91"/>
    <s v="UNKNOWN"/>
    <x v="0"/>
    <n v="66"/>
  </r>
  <r>
    <x v="91"/>
    <s v="UNKNOWN"/>
    <x v="1"/>
    <n v="12"/>
  </r>
  <r>
    <x v="91"/>
    <s v="UNKNOWN"/>
    <x v="2"/>
    <n v="8"/>
  </r>
  <r>
    <x v="91"/>
    <s v="UNKNOWN"/>
    <x v="4"/>
    <n v="2.11"/>
  </r>
  <r>
    <x v="91"/>
    <s v="UNKNOWN"/>
    <x v="3"/>
    <n v="71"/>
  </r>
  <r>
    <x v="92"/>
    <s v="Adult"/>
    <x v="0"/>
    <n v="7133317"/>
  </r>
  <r>
    <x v="92"/>
    <s v="Adult"/>
    <x v="1"/>
    <n v="362762"/>
  </r>
  <r>
    <x v="92"/>
    <s v="Adult"/>
    <x v="2"/>
    <n v="1267089"/>
  </r>
  <r>
    <x v="92"/>
    <s v="Adult"/>
    <x v="4"/>
    <n v="1514414.91"/>
  </r>
  <r>
    <x v="92"/>
    <s v="Adult"/>
    <x v="3"/>
    <n v="11522067.68"/>
  </r>
  <r>
    <x v="92"/>
    <s v="CTP"/>
    <x v="0"/>
    <n v="7234374"/>
  </r>
  <r>
    <x v="92"/>
    <s v="CTP"/>
    <x v="1"/>
    <n v="634998"/>
  </r>
  <r>
    <x v="92"/>
    <s v="CTP"/>
    <x v="2"/>
    <n v="1483846"/>
  </r>
  <r>
    <x v="92"/>
    <s v="CTP"/>
    <x v="4"/>
    <n v="1368611.17"/>
  </r>
  <r>
    <x v="92"/>
    <s v="CTP"/>
    <x v="3"/>
    <n v="10090564.949999999"/>
  </r>
  <r>
    <x v="92"/>
    <s v="Child/Youth"/>
    <x v="0"/>
    <n v="635475"/>
  </r>
  <r>
    <x v="92"/>
    <s v="Child/Youth"/>
    <x v="1"/>
    <n v="64954"/>
  </r>
  <r>
    <x v="92"/>
    <s v="Child/Youth"/>
    <x v="2"/>
    <n v="102834"/>
  </r>
  <r>
    <x v="92"/>
    <s v="Child/Youth"/>
    <x v="4"/>
    <n v="149909.13"/>
  </r>
  <r>
    <x v="92"/>
    <s v="Child/Youth"/>
    <x v="3"/>
    <n v="636391.04"/>
  </r>
  <r>
    <x v="92"/>
    <s v="Concession"/>
    <x v="0"/>
    <n v="1100388"/>
  </r>
  <r>
    <x v="92"/>
    <s v="Concession"/>
    <x v="1"/>
    <n v="23687"/>
  </r>
  <r>
    <x v="92"/>
    <s v="Concession"/>
    <x v="2"/>
    <n v="236167"/>
  </r>
  <r>
    <x v="92"/>
    <s v="Concession"/>
    <x v="4"/>
    <n v="337739.59"/>
  </r>
  <r>
    <x v="92"/>
    <s v="Concession"/>
    <x v="3"/>
    <n v="1617591.46"/>
  </r>
  <r>
    <x v="92"/>
    <s v="Day Pass Child/Youth w/o SAF"/>
    <x v="0"/>
    <n v="10"/>
  </r>
  <r>
    <x v="92"/>
    <s v="Day Pass Child/Youth w/o SAF"/>
    <x v="1"/>
    <n v="58"/>
  </r>
  <r>
    <x v="92"/>
    <s v="Day Pass Child/Youth w/o SAF"/>
    <x v="2"/>
    <n v="17"/>
  </r>
  <r>
    <x v="92"/>
    <s v="Day Pass Child/Youth w/o SAF"/>
    <x v="4"/>
    <n v="2"/>
  </r>
  <r>
    <x v="92"/>
    <s v="Day Pass Child/Youth w/o SAF"/>
    <x v="3"/>
    <n v="292"/>
  </r>
  <r>
    <x v="92"/>
    <s v="Day Pass without SAF"/>
    <x v="0"/>
    <n v="1219"/>
  </r>
  <r>
    <x v="92"/>
    <s v="Day Pass without SAF"/>
    <x v="1"/>
    <n v="50"/>
  </r>
  <r>
    <x v="92"/>
    <s v="Day Pass without SAF"/>
    <x v="2"/>
    <n v="74"/>
  </r>
  <r>
    <x v="92"/>
    <s v="Day Pass without SAF"/>
    <x v="4"/>
    <n v="32.44"/>
  </r>
  <r>
    <x v="92"/>
    <s v="Day Pass without SAF"/>
    <x v="3"/>
    <n v="974.6"/>
  </r>
  <r>
    <x v="92"/>
    <s v="Employee"/>
    <x v="0"/>
    <n v="76526"/>
  </r>
  <r>
    <x v="92"/>
    <s v="Employee"/>
    <x v="1"/>
    <n v="4368"/>
  </r>
  <r>
    <x v="92"/>
    <s v="Employee"/>
    <x v="2"/>
    <n v="11051"/>
  </r>
  <r>
    <x v="92"/>
    <s v="Employee"/>
    <x v="4"/>
    <n v="21640.27"/>
  </r>
  <r>
    <x v="92"/>
    <s v="Employee"/>
    <x v="3"/>
    <n v="212160.53"/>
  </r>
  <r>
    <x v="92"/>
    <s v="Free Travel"/>
    <x v="0"/>
    <n v="30146"/>
  </r>
  <r>
    <x v="92"/>
    <s v="Free Travel"/>
    <x v="1"/>
    <n v="1784"/>
  </r>
  <r>
    <x v="92"/>
    <s v="Free Travel"/>
    <x v="2"/>
    <n v="3512"/>
  </r>
  <r>
    <x v="92"/>
    <s v="Free Travel"/>
    <x v="4"/>
    <n v="4203.08"/>
  </r>
  <r>
    <x v="92"/>
    <s v="Free Travel"/>
    <x v="3"/>
    <n v="26000.04"/>
  </r>
  <r>
    <x v="92"/>
    <s v="On Demand"/>
    <x v="0"/>
    <n v="18237"/>
  </r>
  <r>
    <x v="92"/>
    <s v="School Student"/>
    <x v="0"/>
    <n v="1410956"/>
  </r>
  <r>
    <x v="92"/>
    <s v="School Student"/>
    <x v="1"/>
    <n v="10335"/>
  </r>
  <r>
    <x v="92"/>
    <s v="School Student"/>
    <x v="2"/>
    <n v="40717"/>
  </r>
  <r>
    <x v="92"/>
    <s v="School Student"/>
    <x v="4"/>
    <n v="231151.12"/>
  </r>
  <r>
    <x v="92"/>
    <s v="School Student"/>
    <x v="3"/>
    <n v="1039430.46"/>
  </r>
  <r>
    <x v="92"/>
    <s v="Senior/Pensioner"/>
    <x v="0"/>
    <n v="3401132"/>
  </r>
  <r>
    <x v="92"/>
    <s v="Senior/Pensioner"/>
    <x v="1"/>
    <n v="175547"/>
  </r>
  <r>
    <x v="92"/>
    <s v="Senior/Pensioner"/>
    <x v="2"/>
    <n v="422349"/>
  </r>
  <r>
    <x v="92"/>
    <s v="Senior/Pensioner"/>
    <x v="4"/>
    <n v="355339.91"/>
  </r>
  <r>
    <x v="92"/>
    <s v="Senior/Pensioner"/>
    <x v="3"/>
    <n v="2609523.08"/>
  </r>
  <r>
    <x v="92"/>
    <s v="Sgl Trip Ferry Adult"/>
    <x v="1"/>
    <n v="19857"/>
  </r>
  <r>
    <x v="92"/>
    <s v="Sgl Trip Ferry Child/Youth"/>
    <x v="1"/>
    <n v="10279"/>
  </r>
  <r>
    <x v="92"/>
    <s v="Sgl Trip LR Adult"/>
    <x v="2"/>
    <n v="4327"/>
  </r>
  <r>
    <x v="92"/>
    <s v="Sgl Trip LR Child/Youth"/>
    <x v="2"/>
    <n v="2286"/>
  </r>
  <r>
    <x v="92"/>
    <s v="Sgl Trip Rail Adult"/>
    <x v="4"/>
    <n v="6489.19"/>
  </r>
  <r>
    <x v="92"/>
    <s v="Sgl Trip Rail Adult"/>
    <x v="3"/>
    <n v="77568.83"/>
  </r>
  <r>
    <x v="92"/>
    <s v="Sgl Trip Rail Child/Youth"/>
    <x v="4"/>
    <n v="8214.9699999999993"/>
  </r>
  <r>
    <x v="92"/>
    <s v="Sgl Trip Rail Child/Youth"/>
    <x v="3"/>
    <n v="43136.94"/>
  </r>
  <r>
    <x v="92"/>
    <s v="UNKNOWN"/>
    <x v="0"/>
    <n v="150"/>
  </r>
  <r>
    <x v="92"/>
    <s v="UNKNOWN"/>
    <x v="1"/>
    <n v="25"/>
  </r>
  <r>
    <x v="92"/>
    <s v="UNKNOWN"/>
    <x v="2"/>
    <n v="2"/>
  </r>
  <r>
    <x v="92"/>
    <s v="UNKNOWN"/>
    <x v="4"/>
    <n v="13.98"/>
  </r>
  <r>
    <x v="92"/>
    <s v="UNKNOWN"/>
    <x v="3"/>
    <n v="168"/>
  </r>
  <r>
    <x v="93"/>
    <s v="Adult"/>
    <x v="0"/>
    <n v="6271101"/>
  </r>
  <r>
    <x v="93"/>
    <s v="Adult"/>
    <x v="1"/>
    <n v="288151"/>
  </r>
  <r>
    <x v="93"/>
    <s v="Adult"/>
    <x v="2"/>
    <n v="1222300"/>
  </r>
  <r>
    <x v="93"/>
    <s v="Adult"/>
    <x v="4"/>
    <n v="2224364.34"/>
  </r>
  <r>
    <x v="93"/>
    <s v="Adult"/>
    <x v="3"/>
    <n v="9176932.5299999993"/>
  </r>
  <r>
    <x v="93"/>
    <s v="CTP"/>
    <x v="0"/>
    <n v="7692095"/>
  </r>
  <r>
    <x v="93"/>
    <s v="CTP"/>
    <x v="1"/>
    <n v="693304"/>
  </r>
  <r>
    <x v="93"/>
    <s v="CTP"/>
    <x v="2"/>
    <n v="1689488"/>
  </r>
  <r>
    <x v="93"/>
    <s v="CTP"/>
    <x v="4"/>
    <n v="2462086.0699999998"/>
  </r>
  <r>
    <x v="93"/>
    <s v="CTP"/>
    <x v="3"/>
    <n v="9433004.2899999991"/>
  </r>
  <r>
    <x v="93"/>
    <s v="Child/Youth"/>
    <x v="0"/>
    <n v="551175"/>
  </r>
  <r>
    <x v="93"/>
    <s v="Child/Youth"/>
    <x v="1"/>
    <n v="56127"/>
  </r>
  <r>
    <x v="93"/>
    <s v="Child/Youth"/>
    <x v="2"/>
    <n v="104220"/>
  </r>
  <r>
    <x v="93"/>
    <s v="Child/Youth"/>
    <x v="4"/>
    <n v="179360.66"/>
  </r>
  <r>
    <x v="93"/>
    <s v="Child/Youth"/>
    <x v="3"/>
    <n v="547636.94999999995"/>
  </r>
  <r>
    <x v="93"/>
    <s v="Concession"/>
    <x v="0"/>
    <n v="1072141"/>
  </r>
  <r>
    <x v="93"/>
    <s v="Concession"/>
    <x v="1"/>
    <n v="20653"/>
  </r>
  <r>
    <x v="93"/>
    <s v="Concession"/>
    <x v="2"/>
    <n v="290544"/>
  </r>
  <r>
    <x v="93"/>
    <s v="Concession"/>
    <x v="4"/>
    <n v="491077.95"/>
  </r>
  <r>
    <x v="93"/>
    <s v="Concession"/>
    <x v="3"/>
    <n v="1420424.2"/>
  </r>
  <r>
    <x v="93"/>
    <s v="Day Pass Child/Youth w/o SAF"/>
    <x v="0"/>
    <n v="11"/>
  </r>
  <r>
    <x v="93"/>
    <s v="Day Pass Child/Youth w/o SAF"/>
    <x v="1"/>
    <n v="55"/>
  </r>
  <r>
    <x v="93"/>
    <s v="Day Pass Child/Youth w/o SAF"/>
    <x v="2"/>
    <n v="91"/>
  </r>
  <r>
    <x v="93"/>
    <s v="Day Pass Child/Youth w/o SAF"/>
    <x v="4"/>
    <n v="1"/>
  </r>
  <r>
    <x v="93"/>
    <s v="Day Pass Child/Youth w/o SAF"/>
    <x v="3"/>
    <n v="324"/>
  </r>
  <r>
    <x v="93"/>
    <s v="Day Pass without SAF"/>
    <x v="0"/>
    <n v="1190"/>
  </r>
  <r>
    <x v="93"/>
    <s v="Day Pass without SAF"/>
    <x v="1"/>
    <n v="38"/>
  </r>
  <r>
    <x v="93"/>
    <s v="Day Pass without SAF"/>
    <x v="2"/>
    <n v="170"/>
  </r>
  <r>
    <x v="93"/>
    <s v="Day Pass without SAF"/>
    <x v="4"/>
    <n v="43.41"/>
  </r>
  <r>
    <x v="93"/>
    <s v="Day Pass without SAF"/>
    <x v="3"/>
    <n v="1211.5999999999999"/>
  </r>
  <r>
    <x v="93"/>
    <s v="Employee"/>
    <x v="0"/>
    <n v="78993"/>
  </r>
  <r>
    <x v="93"/>
    <s v="Employee"/>
    <x v="1"/>
    <n v="3816"/>
  </r>
  <r>
    <x v="93"/>
    <s v="Employee"/>
    <x v="2"/>
    <n v="12936"/>
  </r>
  <r>
    <x v="93"/>
    <s v="Employee"/>
    <x v="4"/>
    <n v="36960.639999999999"/>
  </r>
  <r>
    <x v="93"/>
    <s v="Employee"/>
    <x v="3"/>
    <n v="178433.9"/>
  </r>
  <r>
    <x v="93"/>
    <s v="Free Travel"/>
    <x v="0"/>
    <n v="28295"/>
  </r>
  <r>
    <x v="93"/>
    <s v="Free Travel"/>
    <x v="1"/>
    <n v="1649"/>
  </r>
  <r>
    <x v="93"/>
    <s v="Free Travel"/>
    <x v="2"/>
    <n v="3475"/>
  </r>
  <r>
    <x v="93"/>
    <s v="Free Travel"/>
    <x v="4"/>
    <n v="5346.73"/>
  </r>
  <r>
    <x v="93"/>
    <s v="Free Travel"/>
    <x v="3"/>
    <n v="22955.51"/>
  </r>
  <r>
    <x v="93"/>
    <s v="On Demand"/>
    <x v="0"/>
    <n v="590"/>
  </r>
  <r>
    <x v="93"/>
    <s v="School Student"/>
    <x v="0"/>
    <n v="1203883"/>
  </r>
  <r>
    <x v="93"/>
    <s v="School Student"/>
    <x v="1"/>
    <n v="8314"/>
  </r>
  <r>
    <x v="93"/>
    <s v="School Student"/>
    <x v="2"/>
    <n v="47568"/>
  </r>
  <r>
    <x v="93"/>
    <s v="School Student"/>
    <x v="4"/>
    <n v="293391.08"/>
  </r>
  <r>
    <x v="93"/>
    <s v="School Student"/>
    <x v="3"/>
    <n v="818559.86"/>
  </r>
  <r>
    <x v="93"/>
    <s v="Senior/Pensioner"/>
    <x v="0"/>
    <n v="3085325"/>
  </r>
  <r>
    <x v="93"/>
    <s v="Senior/Pensioner"/>
    <x v="1"/>
    <n v="152005"/>
  </r>
  <r>
    <x v="93"/>
    <s v="Senior/Pensioner"/>
    <x v="2"/>
    <n v="436976"/>
  </r>
  <r>
    <x v="93"/>
    <s v="Senior/Pensioner"/>
    <x v="4"/>
    <n v="437648.61"/>
  </r>
  <r>
    <x v="93"/>
    <s v="Senior/Pensioner"/>
    <x v="3"/>
    <n v="2275321.9500000002"/>
  </r>
  <r>
    <x v="93"/>
    <s v="Sgl Trip Ferry Adult"/>
    <x v="1"/>
    <n v="19618"/>
  </r>
  <r>
    <x v="93"/>
    <s v="Sgl Trip Ferry Child/Youth"/>
    <x v="1"/>
    <n v="9116"/>
  </r>
  <r>
    <x v="93"/>
    <s v="Sgl Trip LR Adult"/>
    <x v="2"/>
    <n v="3478"/>
  </r>
  <r>
    <x v="93"/>
    <s v="Sgl Trip LR Child/Youth"/>
    <x v="2"/>
    <n v="1935"/>
  </r>
  <r>
    <x v="93"/>
    <s v="Sgl Trip Rail Adult"/>
    <x v="4"/>
    <n v="10006.25"/>
  </r>
  <r>
    <x v="93"/>
    <s v="Sgl Trip Rail Adult"/>
    <x v="3"/>
    <n v="62546.74"/>
  </r>
  <r>
    <x v="93"/>
    <s v="Sgl Trip Rail Child/Youth"/>
    <x v="4"/>
    <n v="10743.86"/>
  </r>
  <r>
    <x v="93"/>
    <s v="Sgl Trip Rail Child/Youth"/>
    <x v="3"/>
    <n v="36529.379999999997"/>
  </r>
  <r>
    <x v="93"/>
    <s v="UNKNOWN"/>
    <x v="0"/>
    <n v="10"/>
  </r>
  <r>
    <x v="93"/>
    <s v="UNKNOWN"/>
    <x v="2"/>
    <n v="2"/>
  </r>
  <r>
    <x v="93"/>
    <s v="UNKNOWN"/>
    <x v="4"/>
    <n v="0"/>
  </r>
  <r>
    <x v="93"/>
    <s v="UNKNOWN"/>
    <x v="3"/>
    <n v="31"/>
  </r>
  <r>
    <x v="94"/>
    <s v="Adult"/>
    <x v="0"/>
    <n v="6251661"/>
  </r>
  <r>
    <x v="94"/>
    <s v="Adult"/>
    <x v="1"/>
    <n v="439177"/>
  </r>
  <r>
    <x v="94"/>
    <s v="Adult"/>
    <x v="2"/>
    <n v="1177408"/>
  </r>
  <r>
    <x v="94"/>
    <s v="Adult"/>
    <x v="4"/>
    <n v="2022626.11"/>
  </r>
  <r>
    <x v="94"/>
    <s v="Adult"/>
    <x v="3"/>
    <n v="8944757.9399999995"/>
  </r>
  <r>
    <x v="94"/>
    <s v="CTP"/>
    <x v="0"/>
    <n v="7274067"/>
  </r>
  <r>
    <x v="94"/>
    <s v="CTP"/>
    <x v="1"/>
    <n v="997118"/>
  </r>
  <r>
    <x v="94"/>
    <s v="CTP"/>
    <x v="2"/>
    <n v="1558377"/>
  </r>
  <r>
    <x v="94"/>
    <s v="CTP"/>
    <x v="4"/>
    <n v="2132477.06"/>
  </r>
  <r>
    <x v="94"/>
    <s v="CTP"/>
    <x v="3"/>
    <n v="8547228.9600000009"/>
  </r>
  <r>
    <x v="94"/>
    <s v="Child/Youth"/>
    <x v="0"/>
    <n v="729805"/>
  </r>
  <r>
    <x v="94"/>
    <s v="Child/Youth"/>
    <x v="1"/>
    <n v="116138"/>
  </r>
  <r>
    <x v="94"/>
    <s v="Child/Youth"/>
    <x v="2"/>
    <n v="143011"/>
  </r>
  <r>
    <x v="94"/>
    <s v="Child/Youth"/>
    <x v="4"/>
    <n v="262402.02"/>
  </r>
  <r>
    <x v="94"/>
    <s v="Child/Youth"/>
    <x v="3"/>
    <n v="745774.52"/>
  </r>
  <r>
    <x v="94"/>
    <s v="Concession"/>
    <x v="0"/>
    <n v="639889"/>
  </r>
  <r>
    <x v="94"/>
    <s v="Concession"/>
    <x v="1"/>
    <n v="24023"/>
  </r>
  <r>
    <x v="94"/>
    <s v="Concession"/>
    <x v="2"/>
    <n v="113431"/>
  </r>
  <r>
    <x v="94"/>
    <s v="Concession"/>
    <x v="4"/>
    <n v="244179.41"/>
  </r>
  <r>
    <x v="94"/>
    <s v="Concession"/>
    <x v="3"/>
    <n v="768937.31"/>
  </r>
  <r>
    <x v="94"/>
    <s v="Day Pass Child/Youth w/o SAF"/>
    <x v="0"/>
    <n v="134"/>
  </r>
  <r>
    <x v="94"/>
    <s v="Day Pass Child/Youth w/o SAF"/>
    <x v="1"/>
    <n v="37"/>
  </r>
  <r>
    <x v="94"/>
    <s v="Day Pass Child/Youth w/o SAF"/>
    <x v="2"/>
    <n v="22"/>
  </r>
  <r>
    <x v="94"/>
    <s v="Day Pass Child/Youth w/o SAF"/>
    <x v="4"/>
    <n v="78"/>
  </r>
  <r>
    <x v="94"/>
    <s v="Day Pass Child/Youth w/o SAF"/>
    <x v="3"/>
    <n v="77"/>
  </r>
  <r>
    <x v="94"/>
    <s v="Day Pass without SAF"/>
    <x v="0"/>
    <n v="837"/>
  </r>
  <r>
    <x v="94"/>
    <s v="Day Pass without SAF"/>
    <x v="1"/>
    <n v="55"/>
  </r>
  <r>
    <x v="94"/>
    <s v="Day Pass without SAF"/>
    <x v="2"/>
    <n v="53"/>
  </r>
  <r>
    <x v="94"/>
    <s v="Day Pass without SAF"/>
    <x v="4"/>
    <n v="68.94"/>
  </r>
  <r>
    <x v="94"/>
    <s v="Day Pass without SAF"/>
    <x v="3"/>
    <n v="804.41"/>
  </r>
  <r>
    <x v="94"/>
    <s v="Employee"/>
    <x v="0"/>
    <n v="75397"/>
  </r>
  <r>
    <x v="94"/>
    <s v="Employee"/>
    <x v="1"/>
    <n v="5455"/>
  </r>
  <r>
    <x v="94"/>
    <s v="Employee"/>
    <x v="2"/>
    <n v="12887"/>
  </r>
  <r>
    <x v="94"/>
    <s v="Employee"/>
    <x v="4"/>
    <n v="39374.400000000001"/>
  </r>
  <r>
    <x v="94"/>
    <s v="Employee"/>
    <x v="3"/>
    <n v="186692.89"/>
  </r>
  <r>
    <x v="94"/>
    <s v="Free Travel"/>
    <x v="0"/>
    <n v="28280"/>
  </r>
  <r>
    <x v="94"/>
    <s v="Free Travel"/>
    <x v="1"/>
    <n v="1965"/>
  </r>
  <r>
    <x v="94"/>
    <s v="Free Travel"/>
    <x v="2"/>
    <n v="3316"/>
  </r>
  <r>
    <x v="94"/>
    <s v="Free Travel"/>
    <x v="4"/>
    <n v="4889.28"/>
  </r>
  <r>
    <x v="94"/>
    <s v="Free Travel"/>
    <x v="3"/>
    <n v="21484.51"/>
  </r>
  <r>
    <x v="94"/>
    <s v="On Demand"/>
    <x v="0"/>
    <n v="99"/>
  </r>
  <r>
    <x v="94"/>
    <s v="School Student"/>
    <x v="0"/>
    <n v="580623"/>
  </r>
  <r>
    <x v="94"/>
    <s v="School Student"/>
    <x v="1"/>
    <n v="9330"/>
  </r>
  <r>
    <x v="94"/>
    <s v="School Student"/>
    <x v="2"/>
    <n v="18806"/>
  </r>
  <r>
    <x v="94"/>
    <s v="School Student"/>
    <x v="4"/>
    <n v="129950.52"/>
  </r>
  <r>
    <x v="94"/>
    <s v="School Student"/>
    <x v="3"/>
    <n v="404778.77"/>
  </r>
  <r>
    <x v="94"/>
    <s v="Senior/Pensioner"/>
    <x v="0"/>
    <n v="3298999"/>
  </r>
  <r>
    <x v="94"/>
    <s v="Senior/Pensioner"/>
    <x v="1"/>
    <n v="197594"/>
  </r>
  <r>
    <x v="94"/>
    <s v="Senior/Pensioner"/>
    <x v="2"/>
    <n v="447318"/>
  </r>
  <r>
    <x v="94"/>
    <s v="Senior/Pensioner"/>
    <x v="4"/>
    <n v="442860.89"/>
  </r>
  <r>
    <x v="94"/>
    <s v="Senior/Pensioner"/>
    <x v="3"/>
    <n v="2280444.4900000002"/>
  </r>
  <r>
    <x v="94"/>
    <s v="Sgl Trip Ferry Adult"/>
    <x v="1"/>
    <n v="38059"/>
  </r>
  <r>
    <x v="94"/>
    <s v="Sgl Trip Ferry Child/Youth"/>
    <x v="1"/>
    <n v="22023"/>
  </r>
  <r>
    <x v="94"/>
    <s v="Sgl Trip LR Adult"/>
    <x v="2"/>
    <n v="5484"/>
  </r>
  <r>
    <x v="94"/>
    <s v="Sgl Trip LR Child/Youth"/>
    <x v="2"/>
    <n v="3135"/>
  </r>
  <r>
    <x v="94"/>
    <s v="Sgl Trip Rail Adult"/>
    <x v="4"/>
    <n v="15324.57"/>
  </r>
  <r>
    <x v="94"/>
    <s v="Sgl Trip Rail Adult"/>
    <x v="3"/>
    <n v="88107.29"/>
  </r>
  <r>
    <x v="94"/>
    <s v="Sgl Trip Rail Child/Youth"/>
    <x v="4"/>
    <n v="19561.189999999999"/>
  </r>
  <r>
    <x v="94"/>
    <s v="Sgl Trip Rail Child/Youth"/>
    <x v="3"/>
    <n v="58962.28"/>
  </r>
  <r>
    <x v="94"/>
    <s v="UNKNOWN"/>
    <x v="0"/>
    <n v="25"/>
  </r>
  <r>
    <x v="94"/>
    <s v="UNKNOWN"/>
    <x v="1"/>
    <n v="2"/>
  </r>
  <r>
    <x v="94"/>
    <s v="UNKNOWN"/>
    <x v="2"/>
    <n v="5"/>
  </r>
  <r>
    <x v="94"/>
    <s v="UNKNOWN"/>
    <x v="4"/>
    <n v="26.88"/>
  </r>
  <r>
    <x v="94"/>
    <s v="UNKNOWN"/>
    <x v="3"/>
    <n v="185.36"/>
  </r>
  <r>
    <x v="95"/>
    <s v="Adult"/>
    <x v="0"/>
    <n v="7224476"/>
  </r>
  <r>
    <x v="95"/>
    <s v="Adult"/>
    <x v="1"/>
    <n v="439905"/>
  </r>
  <r>
    <x v="95"/>
    <s v="Adult"/>
    <x v="2"/>
    <n v="1338746"/>
  </r>
  <r>
    <x v="95"/>
    <s v="Adult"/>
    <x v="4"/>
    <n v="827154.05"/>
  </r>
  <r>
    <x v="95"/>
    <s v="Adult"/>
    <x v="3"/>
    <n v="11363762.050000001"/>
  </r>
  <r>
    <x v="95"/>
    <s v="Adult"/>
    <x v="5"/>
    <n v="2"/>
  </r>
  <r>
    <x v="95"/>
    <s v="CTP"/>
    <x v="0"/>
    <n v="7202865"/>
  </r>
  <r>
    <x v="95"/>
    <s v="CTP"/>
    <x v="1"/>
    <n v="834026"/>
  </r>
  <r>
    <x v="95"/>
    <s v="CTP"/>
    <x v="2"/>
    <n v="1560849"/>
  </r>
  <r>
    <x v="95"/>
    <s v="CTP"/>
    <x v="4"/>
    <n v="601447.17000000004"/>
  </r>
  <r>
    <x v="95"/>
    <s v="CTP"/>
    <x v="3"/>
    <n v="9947792.8499999996"/>
  </r>
  <r>
    <x v="95"/>
    <s v="CTP"/>
    <x v="5"/>
    <n v="1"/>
  </r>
  <r>
    <x v="95"/>
    <s v="Child/Youth"/>
    <x v="0"/>
    <n v="731310"/>
  </r>
  <r>
    <x v="95"/>
    <s v="Child/Youth"/>
    <x v="1"/>
    <n v="62341"/>
  </r>
  <r>
    <x v="95"/>
    <s v="Child/Youth"/>
    <x v="2"/>
    <n v="118847"/>
  </r>
  <r>
    <x v="95"/>
    <s v="Child/Youth"/>
    <x v="4"/>
    <n v="92914.72"/>
  </r>
  <r>
    <x v="95"/>
    <s v="Child/Youth"/>
    <x v="3"/>
    <n v="691902.55"/>
  </r>
  <r>
    <x v="95"/>
    <s v="Concession"/>
    <x v="0"/>
    <n v="845692"/>
  </r>
  <r>
    <x v="95"/>
    <s v="Concession"/>
    <x v="1"/>
    <n v="20326"/>
  </r>
  <r>
    <x v="95"/>
    <s v="Concession"/>
    <x v="2"/>
    <n v="288433"/>
  </r>
  <r>
    <x v="95"/>
    <s v="Concession"/>
    <x v="4"/>
    <n v="154549.54999999999"/>
  </r>
  <r>
    <x v="95"/>
    <s v="Concession"/>
    <x v="3"/>
    <n v="1270833.71"/>
  </r>
  <r>
    <x v="95"/>
    <s v="Day Pass Child/Youth w/o SAF"/>
    <x v="0"/>
    <n v="10"/>
  </r>
  <r>
    <x v="95"/>
    <s v="Day Pass Child/Youth w/o SAF"/>
    <x v="3"/>
    <n v="16"/>
  </r>
  <r>
    <x v="95"/>
    <s v="Day Pass without SAF"/>
    <x v="0"/>
    <n v="1200"/>
  </r>
  <r>
    <x v="95"/>
    <s v="Day Pass without SAF"/>
    <x v="1"/>
    <n v="47"/>
  </r>
  <r>
    <x v="95"/>
    <s v="Day Pass without SAF"/>
    <x v="2"/>
    <n v="63"/>
  </r>
  <r>
    <x v="95"/>
    <s v="Day Pass without SAF"/>
    <x v="4"/>
    <n v="13"/>
  </r>
  <r>
    <x v="95"/>
    <s v="Day Pass without SAF"/>
    <x v="3"/>
    <n v="1125"/>
  </r>
  <r>
    <x v="95"/>
    <s v="Employee"/>
    <x v="0"/>
    <n v="58844"/>
  </r>
  <r>
    <x v="95"/>
    <s v="Employee"/>
    <x v="1"/>
    <n v="4041"/>
  </r>
  <r>
    <x v="95"/>
    <s v="Employee"/>
    <x v="2"/>
    <n v="9118"/>
  </r>
  <r>
    <x v="95"/>
    <s v="Employee"/>
    <x v="4"/>
    <n v="7950.3"/>
  </r>
  <r>
    <x v="95"/>
    <s v="Employee"/>
    <x v="3"/>
    <n v="190308.95"/>
  </r>
  <r>
    <x v="95"/>
    <s v="Free Travel"/>
    <x v="0"/>
    <n v="27690"/>
  </r>
  <r>
    <x v="95"/>
    <s v="Free Travel"/>
    <x v="1"/>
    <n v="1703"/>
  </r>
  <r>
    <x v="95"/>
    <s v="Free Travel"/>
    <x v="2"/>
    <n v="3157"/>
  </r>
  <r>
    <x v="95"/>
    <s v="Free Travel"/>
    <x v="4"/>
    <n v="1474.84"/>
  </r>
  <r>
    <x v="95"/>
    <s v="Free Travel"/>
    <x v="3"/>
    <n v="23645.95"/>
  </r>
  <r>
    <x v="95"/>
    <s v="On Demand"/>
    <x v="0"/>
    <n v="22073"/>
  </r>
  <r>
    <x v="95"/>
    <s v="School Student"/>
    <x v="0"/>
    <n v="1528527"/>
  </r>
  <r>
    <x v="95"/>
    <s v="School Student"/>
    <x v="1"/>
    <n v="10853"/>
  </r>
  <r>
    <x v="95"/>
    <s v="School Student"/>
    <x v="2"/>
    <n v="46434"/>
  </r>
  <r>
    <x v="95"/>
    <s v="School Student"/>
    <x v="4"/>
    <n v="169822.16"/>
  </r>
  <r>
    <x v="95"/>
    <s v="School Student"/>
    <x v="3"/>
    <n v="1039094.93"/>
  </r>
  <r>
    <x v="95"/>
    <s v="Senior/Pensioner"/>
    <x v="0"/>
    <n v="3152858"/>
  </r>
  <r>
    <x v="95"/>
    <s v="Senior/Pensioner"/>
    <x v="1"/>
    <n v="182373"/>
  </r>
  <r>
    <x v="95"/>
    <s v="Senior/Pensioner"/>
    <x v="2"/>
    <n v="394978"/>
  </r>
  <r>
    <x v="95"/>
    <s v="Senior/Pensioner"/>
    <x v="4"/>
    <n v="135537.4"/>
  </r>
  <r>
    <x v="95"/>
    <s v="Senior/Pensioner"/>
    <x v="3"/>
    <n v="2360824.73"/>
  </r>
  <r>
    <x v="95"/>
    <s v="Sgl Trip Ferry Adult"/>
    <x v="1"/>
    <n v="30903"/>
  </r>
  <r>
    <x v="95"/>
    <s v="Sgl Trip Ferry Child/Youth"/>
    <x v="1"/>
    <n v="10222"/>
  </r>
  <r>
    <x v="95"/>
    <s v="Sgl Trip LR Adult"/>
    <x v="2"/>
    <n v="4945"/>
  </r>
  <r>
    <x v="95"/>
    <s v="Sgl Trip LR Child/Youth"/>
    <x v="2"/>
    <n v="1848"/>
  </r>
  <r>
    <x v="95"/>
    <s v="Sgl Trip Rail Adult"/>
    <x v="4"/>
    <n v="4160.2700000000004"/>
  </r>
  <r>
    <x v="95"/>
    <s v="Sgl Trip Rail Adult"/>
    <x v="3"/>
    <n v="100991.17"/>
  </r>
  <r>
    <x v="95"/>
    <s v="Sgl Trip Rail Child/Youth"/>
    <x v="4"/>
    <n v="3917.25"/>
  </r>
  <r>
    <x v="95"/>
    <s v="Sgl Trip Rail Child/Youth"/>
    <x v="3"/>
    <n v="42363.77"/>
  </r>
  <r>
    <x v="95"/>
    <s v="UNKNOWN"/>
    <x v="0"/>
    <n v="223"/>
  </r>
  <r>
    <x v="95"/>
    <s v="UNKNOWN"/>
    <x v="1"/>
    <n v="1"/>
  </r>
  <r>
    <x v="95"/>
    <s v="UNKNOWN"/>
    <x v="2"/>
    <n v="15"/>
  </r>
  <r>
    <x v="95"/>
    <s v="UNKNOWN"/>
    <x v="4"/>
    <n v="37.020000000000003"/>
  </r>
  <r>
    <x v="95"/>
    <s v="UNKNOWN"/>
    <x v="3"/>
    <n v="275"/>
  </r>
  <r>
    <x v="96"/>
    <s v="Adult"/>
    <x v="0"/>
    <n v="6526878"/>
  </r>
  <r>
    <x v="96"/>
    <s v="Adult"/>
    <x v="1"/>
    <n v="368918"/>
  </r>
  <r>
    <x v="96"/>
    <s v="Adult"/>
    <x v="2"/>
    <n v="1160956"/>
  </r>
  <r>
    <x v="96"/>
    <s v="Adult"/>
    <x v="4"/>
    <n v="2146118.16"/>
  </r>
  <r>
    <x v="96"/>
    <s v="Adult"/>
    <x v="3"/>
    <n v="8738379.9600000009"/>
  </r>
  <r>
    <x v="96"/>
    <s v="CTP"/>
    <x v="0"/>
    <n v="7749283"/>
  </r>
  <r>
    <x v="96"/>
    <s v="CTP"/>
    <x v="1"/>
    <n v="873305"/>
  </r>
  <r>
    <x v="96"/>
    <s v="CTP"/>
    <x v="2"/>
    <n v="1535130"/>
  </r>
  <r>
    <x v="96"/>
    <s v="CTP"/>
    <x v="4"/>
    <n v="2276463.92"/>
  </r>
  <r>
    <x v="96"/>
    <s v="CTP"/>
    <x v="3"/>
    <n v="8544354.3499999996"/>
  </r>
  <r>
    <x v="96"/>
    <s v="Child/Youth"/>
    <x v="0"/>
    <n v="705635"/>
  </r>
  <r>
    <x v="96"/>
    <s v="Child/Youth"/>
    <x v="1"/>
    <n v="59798"/>
  </r>
  <r>
    <x v="96"/>
    <s v="Child/Youth"/>
    <x v="2"/>
    <n v="107185"/>
  </r>
  <r>
    <x v="96"/>
    <s v="Child/Youth"/>
    <x v="4"/>
    <n v="202541.37"/>
  </r>
  <r>
    <x v="96"/>
    <s v="Child/Youth"/>
    <x v="3"/>
    <n v="594771.80000000005"/>
  </r>
  <r>
    <x v="96"/>
    <s v="Concession"/>
    <x v="0"/>
    <n v="878946"/>
  </r>
  <r>
    <x v="96"/>
    <s v="Concession"/>
    <x v="1"/>
    <n v="23539"/>
  </r>
  <r>
    <x v="96"/>
    <s v="Concession"/>
    <x v="2"/>
    <n v="272303"/>
  </r>
  <r>
    <x v="96"/>
    <s v="Concession"/>
    <x v="4"/>
    <n v="349099.76"/>
  </r>
  <r>
    <x v="96"/>
    <s v="Concession"/>
    <x v="3"/>
    <n v="1070152.3500000001"/>
  </r>
  <r>
    <x v="96"/>
    <s v="Day Pass Child/Youth w/o SAF"/>
    <x v="0"/>
    <n v="44"/>
  </r>
  <r>
    <x v="96"/>
    <s v="Day Pass Child/Youth w/o SAF"/>
    <x v="1"/>
    <n v="1"/>
  </r>
  <r>
    <x v="96"/>
    <s v="Day Pass Child/Youth w/o SAF"/>
    <x v="2"/>
    <n v="25"/>
  </r>
  <r>
    <x v="96"/>
    <s v="Day Pass Child/Youth w/o SAF"/>
    <x v="4"/>
    <n v="0.6"/>
  </r>
  <r>
    <x v="96"/>
    <s v="Day Pass Child/Youth w/o SAF"/>
    <x v="3"/>
    <n v="45.4"/>
  </r>
  <r>
    <x v="96"/>
    <s v="Day Pass without SAF"/>
    <x v="0"/>
    <n v="995"/>
  </r>
  <r>
    <x v="96"/>
    <s v="Day Pass without SAF"/>
    <x v="1"/>
    <n v="27"/>
  </r>
  <r>
    <x v="96"/>
    <s v="Day Pass without SAF"/>
    <x v="2"/>
    <n v="80"/>
  </r>
  <r>
    <x v="96"/>
    <s v="Day Pass without SAF"/>
    <x v="4"/>
    <n v="43.78"/>
  </r>
  <r>
    <x v="96"/>
    <s v="Day Pass without SAF"/>
    <x v="3"/>
    <n v="860.12"/>
  </r>
  <r>
    <x v="96"/>
    <s v="Employee"/>
    <x v="0"/>
    <n v="75776"/>
  </r>
  <r>
    <x v="96"/>
    <s v="Employee"/>
    <x v="1"/>
    <n v="4934"/>
  </r>
  <r>
    <x v="96"/>
    <s v="Employee"/>
    <x v="2"/>
    <n v="11341"/>
  </r>
  <r>
    <x v="96"/>
    <s v="Employee"/>
    <x v="4"/>
    <n v="36370.94"/>
  </r>
  <r>
    <x v="96"/>
    <s v="Employee"/>
    <x v="3"/>
    <n v="172843.62"/>
  </r>
  <r>
    <x v="96"/>
    <s v="Free Travel"/>
    <x v="0"/>
    <n v="29574"/>
  </r>
  <r>
    <x v="96"/>
    <s v="Free Travel"/>
    <x v="1"/>
    <n v="2041"/>
  </r>
  <r>
    <x v="96"/>
    <s v="Free Travel"/>
    <x v="2"/>
    <n v="3091"/>
  </r>
  <r>
    <x v="96"/>
    <s v="Free Travel"/>
    <x v="4"/>
    <n v="5170.37"/>
  </r>
  <r>
    <x v="96"/>
    <s v="Free Travel"/>
    <x v="3"/>
    <n v="21386.35"/>
  </r>
  <r>
    <x v="96"/>
    <s v="On Demand"/>
    <x v="0"/>
    <n v="16470"/>
  </r>
  <r>
    <x v="96"/>
    <s v="School Student"/>
    <x v="0"/>
    <n v="1315384"/>
  </r>
  <r>
    <x v="96"/>
    <s v="School Student"/>
    <x v="1"/>
    <n v="10693"/>
  </r>
  <r>
    <x v="96"/>
    <s v="School Student"/>
    <x v="2"/>
    <n v="49817"/>
  </r>
  <r>
    <x v="96"/>
    <s v="School Student"/>
    <x v="4"/>
    <n v="266581.94"/>
  </r>
  <r>
    <x v="96"/>
    <s v="School Student"/>
    <x v="3"/>
    <n v="833441.58"/>
  </r>
  <r>
    <x v="96"/>
    <s v="Senior/Pensioner"/>
    <x v="0"/>
    <n v="3232041"/>
  </r>
  <r>
    <x v="96"/>
    <s v="Senior/Pensioner"/>
    <x v="1"/>
    <n v="191659"/>
  </r>
  <r>
    <x v="96"/>
    <s v="Senior/Pensioner"/>
    <x v="2"/>
    <n v="412609"/>
  </r>
  <r>
    <x v="96"/>
    <s v="Senior/Pensioner"/>
    <x v="4"/>
    <n v="412570.2"/>
  </r>
  <r>
    <x v="96"/>
    <s v="Senior/Pensioner"/>
    <x v="3"/>
    <n v="2110941.37"/>
  </r>
  <r>
    <x v="96"/>
    <s v="Sgl Trip Ferry Adult"/>
    <x v="1"/>
    <n v="24140"/>
  </r>
  <r>
    <x v="96"/>
    <s v="Sgl Trip Ferry Child/Youth"/>
    <x v="1"/>
    <n v="7517"/>
  </r>
  <r>
    <x v="96"/>
    <s v="Sgl Trip LR Adult"/>
    <x v="2"/>
    <n v="3616"/>
  </r>
  <r>
    <x v="96"/>
    <s v="Sgl Trip LR Child/Youth"/>
    <x v="2"/>
    <n v="1163"/>
  </r>
  <r>
    <x v="96"/>
    <s v="Sgl Trip Rail Adult"/>
    <x v="4"/>
    <n v="10603.18"/>
  </r>
  <r>
    <x v="96"/>
    <s v="Sgl Trip Rail Adult"/>
    <x v="3"/>
    <n v="69652.12"/>
  </r>
  <r>
    <x v="96"/>
    <s v="Sgl Trip Rail Child/Youth"/>
    <x v="4"/>
    <n v="9891.7999999999993"/>
  </r>
  <r>
    <x v="96"/>
    <s v="Sgl Trip Rail Child/Youth"/>
    <x v="3"/>
    <n v="35032.32"/>
  </r>
  <r>
    <x v="96"/>
    <s v="UNKNOWN"/>
    <x v="0"/>
    <n v="51"/>
  </r>
  <r>
    <x v="96"/>
    <s v="UNKNOWN"/>
    <x v="1"/>
    <n v="25"/>
  </r>
  <r>
    <x v="96"/>
    <s v="UNKNOWN"/>
    <x v="2"/>
    <n v="11"/>
  </r>
  <r>
    <x v="96"/>
    <s v="UNKNOWN"/>
    <x v="4"/>
    <n v="5.68"/>
  </r>
  <r>
    <x v="96"/>
    <s v="UNKNOWN"/>
    <x v="3"/>
    <n v="93.79"/>
  </r>
  <r>
    <x v="97"/>
    <s v="Adult"/>
    <x v="0"/>
    <n v="6490854"/>
  </r>
  <r>
    <x v="97"/>
    <s v="Adult"/>
    <x v="1"/>
    <n v="504992"/>
  </r>
  <r>
    <x v="97"/>
    <s v="Adult"/>
    <x v="2"/>
    <n v="1204213"/>
  </r>
  <r>
    <x v="97"/>
    <s v="Adult"/>
    <x v="4"/>
    <n v="709668.24"/>
  </r>
  <r>
    <x v="97"/>
    <s v="Adult"/>
    <x v="3"/>
    <n v="9997817.3699999992"/>
  </r>
  <r>
    <x v="97"/>
    <s v="CTP"/>
    <x v="0"/>
    <n v="6712175"/>
  </r>
  <r>
    <x v="97"/>
    <s v="CTP"/>
    <x v="1"/>
    <n v="917397"/>
  </r>
  <r>
    <x v="97"/>
    <s v="CTP"/>
    <x v="2"/>
    <n v="1366438"/>
  </r>
  <r>
    <x v="97"/>
    <s v="CTP"/>
    <x v="4"/>
    <n v="513631.99"/>
  </r>
  <r>
    <x v="97"/>
    <s v="CTP"/>
    <x v="3"/>
    <n v="8614327.75"/>
  </r>
  <r>
    <x v="97"/>
    <s v="CTP"/>
    <x v="5"/>
    <n v="1"/>
  </r>
  <r>
    <x v="97"/>
    <s v="Child/Youth"/>
    <x v="0"/>
    <n v="962874"/>
  </r>
  <r>
    <x v="97"/>
    <s v="Child/Youth"/>
    <x v="1"/>
    <n v="175975"/>
  </r>
  <r>
    <x v="97"/>
    <s v="Child/Youth"/>
    <x v="2"/>
    <n v="190711"/>
  </r>
  <r>
    <x v="97"/>
    <s v="Child/Youth"/>
    <x v="4"/>
    <n v="154756.93"/>
  </r>
  <r>
    <x v="97"/>
    <s v="Child/Youth"/>
    <x v="3"/>
    <n v="1037977.6"/>
  </r>
  <r>
    <x v="97"/>
    <s v="Concession"/>
    <x v="0"/>
    <n v="530796"/>
  </r>
  <r>
    <x v="97"/>
    <s v="Concession"/>
    <x v="1"/>
    <n v="19665"/>
  </r>
  <r>
    <x v="97"/>
    <s v="Concession"/>
    <x v="2"/>
    <n v="98025"/>
  </r>
  <r>
    <x v="97"/>
    <s v="Concession"/>
    <x v="4"/>
    <n v="85017.31"/>
  </r>
  <r>
    <x v="97"/>
    <s v="Concession"/>
    <x v="3"/>
    <n v="729949.72"/>
  </r>
  <r>
    <x v="97"/>
    <s v="Day Pass Child/Youth w/o SAF"/>
    <x v="0"/>
    <n v="14"/>
  </r>
  <r>
    <x v="97"/>
    <s v="Day Pass Child/Youth w/o SAF"/>
    <x v="1"/>
    <n v="1"/>
  </r>
  <r>
    <x v="97"/>
    <s v="Day Pass Child/Youth w/o SAF"/>
    <x v="2"/>
    <n v="8"/>
  </r>
  <r>
    <x v="97"/>
    <s v="Day Pass Child/Youth w/o SAF"/>
    <x v="3"/>
    <n v="20"/>
  </r>
  <r>
    <x v="97"/>
    <s v="Day Pass without SAF"/>
    <x v="0"/>
    <n v="1223"/>
  </r>
  <r>
    <x v="97"/>
    <s v="Day Pass without SAF"/>
    <x v="1"/>
    <n v="55"/>
  </r>
  <r>
    <x v="97"/>
    <s v="Day Pass without SAF"/>
    <x v="2"/>
    <n v="79"/>
  </r>
  <r>
    <x v="97"/>
    <s v="Day Pass without SAF"/>
    <x v="4"/>
    <n v="21.49"/>
  </r>
  <r>
    <x v="97"/>
    <s v="Day Pass without SAF"/>
    <x v="3"/>
    <n v="1010.51"/>
  </r>
  <r>
    <x v="97"/>
    <s v="Employee"/>
    <x v="0"/>
    <n v="56192"/>
  </r>
  <r>
    <x v="97"/>
    <s v="Employee"/>
    <x v="1"/>
    <n v="4806"/>
  </r>
  <r>
    <x v="97"/>
    <s v="Employee"/>
    <x v="2"/>
    <n v="9390"/>
  </r>
  <r>
    <x v="97"/>
    <s v="Employee"/>
    <x v="4"/>
    <n v="7591.13"/>
  </r>
  <r>
    <x v="97"/>
    <s v="Employee"/>
    <x v="3"/>
    <n v="179906.34"/>
  </r>
  <r>
    <x v="97"/>
    <s v="Free Travel"/>
    <x v="0"/>
    <n v="27070"/>
  </r>
  <r>
    <x v="97"/>
    <s v="Free Travel"/>
    <x v="1"/>
    <n v="1994"/>
  </r>
  <r>
    <x v="97"/>
    <s v="Free Travel"/>
    <x v="2"/>
    <n v="2938"/>
  </r>
  <r>
    <x v="97"/>
    <s v="Free Travel"/>
    <x v="4"/>
    <n v="1225.17"/>
  </r>
  <r>
    <x v="97"/>
    <s v="Free Travel"/>
    <x v="3"/>
    <n v="20890.47"/>
  </r>
  <r>
    <x v="97"/>
    <s v="On Demand"/>
    <x v="0"/>
    <n v="21799"/>
  </r>
  <r>
    <x v="97"/>
    <s v="School Student"/>
    <x v="0"/>
    <n v="31513"/>
  </r>
  <r>
    <x v="97"/>
    <s v="School Student"/>
    <x v="1"/>
    <n v="619"/>
  </r>
  <r>
    <x v="97"/>
    <s v="School Student"/>
    <x v="2"/>
    <n v="1353"/>
  </r>
  <r>
    <x v="97"/>
    <s v="School Student"/>
    <x v="4"/>
    <n v="3283.05"/>
  </r>
  <r>
    <x v="97"/>
    <s v="School Student"/>
    <x v="3"/>
    <n v="24056.89"/>
  </r>
  <r>
    <x v="97"/>
    <s v="Senior/Pensioner"/>
    <x v="0"/>
    <n v="3067553"/>
  </r>
  <r>
    <x v="97"/>
    <s v="Senior/Pensioner"/>
    <x v="1"/>
    <n v="212137"/>
  </r>
  <r>
    <x v="97"/>
    <s v="Senior/Pensioner"/>
    <x v="2"/>
    <n v="402929"/>
  </r>
  <r>
    <x v="97"/>
    <s v="Senior/Pensioner"/>
    <x v="4"/>
    <n v="133813.21"/>
  </r>
  <r>
    <x v="97"/>
    <s v="Senior/Pensioner"/>
    <x v="3"/>
    <n v="2200208.15"/>
  </r>
  <r>
    <x v="97"/>
    <s v="Sgl Trip Ferry Adult"/>
    <x v="1"/>
    <n v="39508"/>
  </r>
  <r>
    <x v="97"/>
    <s v="Sgl Trip Ferry Child/Youth"/>
    <x v="1"/>
    <n v="26479"/>
  </r>
  <r>
    <x v="97"/>
    <s v="Sgl Trip LR Adult"/>
    <x v="2"/>
    <n v="5101"/>
  </r>
  <r>
    <x v="97"/>
    <s v="Sgl Trip LR Child/Youth"/>
    <x v="2"/>
    <n v="3566"/>
  </r>
  <r>
    <x v="97"/>
    <s v="Sgl Trip Rail Adult"/>
    <x v="4"/>
    <n v="4333.3"/>
  </r>
  <r>
    <x v="97"/>
    <s v="Sgl Trip Rail Adult"/>
    <x v="3"/>
    <n v="92385.08"/>
  </r>
  <r>
    <x v="97"/>
    <s v="Sgl Trip Rail Child/Youth"/>
    <x v="4"/>
    <n v="7548.03"/>
  </r>
  <r>
    <x v="97"/>
    <s v="Sgl Trip Rail Child/Youth"/>
    <x v="3"/>
    <n v="72588.81"/>
  </r>
  <r>
    <x v="97"/>
    <s v="UNKNOWN"/>
    <x v="0"/>
    <n v="52"/>
  </r>
  <r>
    <x v="97"/>
    <s v="UNKNOWN"/>
    <x v="2"/>
    <n v="11"/>
  </r>
  <r>
    <x v="97"/>
    <s v="UNKNOWN"/>
    <x v="4"/>
    <n v="7"/>
  </r>
  <r>
    <x v="97"/>
    <s v="UNKNOWN"/>
    <x v="3"/>
    <n v="78"/>
  </r>
  <r>
    <x v="98"/>
    <s v="Adult"/>
    <x v="0"/>
    <n v="6044179"/>
  </r>
  <r>
    <x v="98"/>
    <s v="Adult"/>
    <x v="1"/>
    <n v="429956"/>
  </r>
  <r>
    <x v="98"/>
    <s v="Adult"/>
    <x v="2"/>
    <n v="1170260"/>
  </r>
  <r>
    <x v="98"/>
    <s v="Adult"/>
    <x v="4"/>
    <n v="1983875.9"/>
  </r>
  <r>
    <x v="98"/>
    <s v="Adult"/>
    <x v="3"/>
    <n v="8140462.0099999998"/>
  </r>
  <r>
    <x v="98"/>
    <s v="CTP"/>
    <x v="0"/>
    <n v="7220103"/>
  </r>
  <r>
    <x v="98"/>
    <s v="CTP"/>
    <x v="1"/>
    <n v="980658"/>
  </r>
  <r>
    <x v="98"/>
    <s v="CTP"/>
    <x v="2"/>
    <n v="1523525"/>
  </r>
  <r>
    <x v="98"/>
    <s v="CTP"/>
    <x v="4"/>
    <n v="2089650.29"/>
  </r>
  <r>
    <x v="98"/>
    <s v="CTP"/>
    <x v="3"/>
    <n v="7869879.4100000001"/>
  </r>
  <r>
    <x v="98"/>
    <s v="Child/Youth"/>
    <x v="0"/>
    <n v="877765"/>
  </r>
  <r>
    <x v="98"/>
    <s v="Child/Youth"/>
    <x v="1"/>
    <n v="156119"/>
  </r>
  <r>
    <x v="98"/>
    <s v="Child/Youth"/>
    <x v="2"/>
    <n v="191511"/>
  </r>
  <r>
    <x v="98"/>
    <s v="Child/Youth"/>
    <x v="4"/>
    <n v="312250.88"/>
  </r>
  <r>
    <x v="98"/>
    <s v="Child/Youth"/>
    <x v="3"/>
    <n v="858312.87"/>
  </r>
  <r>
    <x v="98"/>
    <s v="Concession"/>
    <x v="0"/>
    <n v="578418"/>
  </r>
  <r>
    <x v="98"/>
    <s v="Concession"/>
    <x v="1"/>
    <n v="20517"/>
  </r>
  <r>
    <x v="98"/>
    <s v="Concession"/>
    <x v="2"/>
    <n v="105747"/>
  </r>
  <r>
    <x v="98"/>
    <s v="Concession"/>
    <x v="4"/>
    <n v="231873.12"/>
  </r>
  <r>
    <x v="98"/>
    <s v="Concession"/>
    <x v="3"/>
    <n v="668070.53"/>
  </r>
  <r>
    <x v="98"/>
    <s v="Day Pass Child/Youth w/o SAF"/>
    <x v="0"/>
    <n v="2"/>
  </r>
  <r>
    <x v="98"/>
    <s v="Day Pass Child/Youth w/o SAF"/>
    <x v="4"/>
    <n v="0.2"/>
  </r>
  <r>
    <x v="98"/>
    <s v="Day Pass Child/Youth w/o SAF"/>
    <x v="3"/>
    <n v="6.8"/>
  </r>
  <r>
    <x v="98"/>
    <s v="Day Pass without SAF"/>
    <x v="0"/>
    <n v="860"/>
  </r>
  <r>
    <x v="98"/>
    <s v="Day Pass without SAF"/>
    <x v="1"/>
    <n v="39"/>
  </r>
  <r>
    <x v="98"/>
    <s v="Day Pass without SAF"/>
    <x v="2"/>
    <n v="83"/>
  </r>
  <r>
    <x v="98"/>
    <s v="Day Pass without SAF"/>
    <x v="4"/>
    <n v="37.81"/>
  </r>
  <r>
    <x v="98"/>
    <s v="Day Pass without SAF"/>
    <x v="3"/>
    <n v="779.2"/>
  </r>
  <r>
    <x v="98"/>
    <s v="Employee"/>
    <x v="0"/>
    <n v="72047"/>
  </r>
  <r>
    <x v="98"/>
    <s v="Employee"/>
    <x v="1"/>
    <n v="5753"/>
  </r>
  <r>
    <x v="98"/>
    <s v="Employee"/>
    <x v="2"/>
    <n v="12439"/>
  </r>
  <r>
    <x v="98"/>
    <s v="Employee"/>
    <x v="4"/>
    <n v="36203.480000000003"/>
  </r>
  <r>
    <x v="98"/>
    <s v="Employee"/>
    <x v="3"/>
    <n v="169448.86"/>
  </r>
  <r>
    <x v="98"/>
    <s v="Free Travel"/>
    <x v="0"/>
    <n v="28048"/>
  </r>
  <r>
    <x v="98"/>
    <s v="Free Travel"/>
    <x v="1"/>
    <n v="2043"/>
  </r>
  <r>
    <x v="98"/>
    <s v="Free Travel"/>
    <x v="2"/>
    <n v="3575"/>
  </r>
  <r>
    <x v="98"/>
    <s v="Free Travel"/>
    <x v="4"/>
    <n v="5024.5"/>
  </r>
  <r>
    <x v="98"/>
    <s v="Free Travel"/>
    <x v="3"/>
    <n v="19982.759999999998"/>
  </r>
  <r>
    <x v="98"/>
    <s v="On Demand"/>
    <x v="0"/>
    <n v="13044"/>
  </r>
  <r>
    <x v="98"/>
    <s v="School Student"/>
    <x v="0"/>
    <n v="11081"/>
  </r>
  <r>
    <x v="98"/>
    <s v="School Student"/>
    <x v="1"/>
    <n v="235"/>
  </r>
  <r>
    <x v="98"/>
    <s v="School Student"/>
    <x v="2"/>
    <n v="504"/>
  </r>
  <r>
    <x v="98"/>
    <s v="School Student"/>
    <x v="4"/>
    <n v="3243.24"/>
  </r>
  <r>
    <x v="98"/>
    <s v="School Student"/>
    <x v="3"/>
    <n v="9234.73"/>
  </r>
  <r>
    <x v="98"/>
    <s v="Senior/Pensioner"/>
    <x v="0"/>
    <n v="3131772"/>
  </r>
  <r>
    <x v="98"/>
    <s v="Senior/Pensioner"/>
    <x v="1"/>
    <n v="202016"/>
  </r>
  <r>
    <x v="98"/>
    <s v="Senior/Pensioner"/>
    <x v="2"/>
    <n v="461800"/>
  </r>
  <r>
    <x v="98"/>
    <s v="Senior/Pensioner"/>
    <x v="4"/>
    <n v="422771.08"/>
  </r>
  <r>
    <x v="98"/>
    <s v="Senior/Pensioner"/>
    <x v="3"/>
    <n v="2072169.88"/>
  </r>
  <r>
    <x v="98"/>
    <s v="Sgl Trip Ferry Adult"/>
    <x v="1"/>
    <n v="37493"/>
  </r>
  <r>
    <x v="98"/>
    <s v="Sgl Trip Ferry Child/Youth"/>
    <x v="1"/>
    <n v="25159"/>
  </r>
  <r>
    <x v="98"/>
    <s v="Sgl Trip LR Adult"/>
    <x v="2"/>
    <n v="5223"/>
  </r>
  <r>
    <x v="98"/>
    <s v="Sgl Trip LR Child/Youth"/>
    <x v="2"/>
    <n v="3652"/>
  </r>
  <r>
    <x v="98"/>
    <s v="Sgl Trip Rail Adult"/>
    <x v="4"/>
    <n v="12779.39"/>
  </r>
  <r>
    <x v="98"/>
    <s v="Sgl Trip Rail Adult"/>
    <x v="3"/>
    <n v="73619.240000000005"/>
  </r>
  <r>
    <x v="98"/>
    <s v="Sgl Trip Rail Child/Youth"/>
    <x v="4"/>
    <n v="19320.55"/>
  </r>
  <r>
    <x v="98"/>
    <s v="Sgl Trip Rail Child/Youth"/>
    <x v="3"/>
    <n v="62901.32"/>
  </r>
  <r>
    <x v="98"/>
    <s v="UNKNOWN"/>
    <x v="0"/>
    <n v="20"/>
  </r>
  <r>
    <x v="98"/>
    <s v="UNKNOWN"/>
    <x v="1"/>
    <n v="5"/>
  </r>
  <r>
    <x v="98"/>
    <s v="UNKNOWN"/>
    <x v="2"/>
    <n v="6"/>
  </r>
  <r>
    <x v="98"/>
    <s v="UNKNOWN"/>
    <x v="4"/>
    <n v="3"/>
  </r>
  <r>
    <x v="98"/>
    <s v="UNKNOWN"/>
    <x v="3"/>
    <n v="8"/>
  </r>
  <r>
    <x v="99"/>
    <s v="Adult"/>
    <x v="0"/>
    <n v="6947617"/>
  </r>
  <r>
    <x v="99"/>
    <s v="Adult"/>
    <x v="1"/>
    <n v="358779"/>
  </r>
  <r>
    <x v="99"/>
    <s v="Adult"/>
    <x v="2"/>
    <n v="1105263"/>
  </r>
  <r>
    <x v="99"/>
    <s v="Adult"/>
    <x v="4"/>
    <n v="901463.26"/>
  </r>
  <r>
    <x v="99"/>
    <s v="Adult"/>
    <x v="3"/>
    <n v="11423594.300000001"/>
  </r>
  <r>
    <x v="99"/>
    <s v="Adult"/>
    <x v="5"/>
    <n v="11"/>
  </r>
  <r>
    <x v="99"/>
    <s v="CTP"/>
    <x v="0"/>
    <n v="6975633"/>
  </r>
  <r>
    <x v="99"/>
    <s v="CTP"/>
    <x v="1"/>
    <n v="625839"/>
  </r>
  <r>
    <x v="99"/>
    <s v="CTP"/>
    <x v="2"/>
    <n v="1286505"/>
  </r>
  <r>
    <x v="99"/>
    <s v="CTP"/>
    <x v="4"/>
    <n v="662892.42000000004"/>
  </r>
  <r>
    <x v="99"/>
    <s v="CTP"/>
    <x v="3"/>
    <n v="9888563.3599999994"/>
  </r>
  <r>
    <x v="99"/>
    <s v="CTP"/>
    <x v="5"/>
    <n v="33"/>
  </r>
  <r>
    <x v="99"/>
    <s v="Child/Youth"/>
    <x v="0"/>
    <n v="817772"/>
  </r>
  <r>
    <x v="99"/>
    <s v="Child/Youth"/>
    <x v="1"/>
    <n v="111866"/>
  </r>
  <r>
    <x v="99"/>
    <s v="Child/Youth"/>
    <x v="2"/>
    <n v="141597"/>
  </r>
  <r>
    <x v="99"/>
    <s v="Child/Youth"/>
    <x v="4"/>
    <n v="142085.66"/>
  </r>
  <r>
    <x v="99"/>
    <s v="Child/Youth"/>
    <x v="3"/>
    <n v="909028.61"/>
  </r>
  <r>
    <x v="99"/>
    <s v="Child/Youth"/>
    <x v="5"/>
    <n v="4"/>
  </r>
  <r>
    <x v="99"/>
    <s v="Concession"/>
    <x v="0"/>
    <n v="822763"/>
  </r>
  <r>
    <x v="99"/>
    <s v="Concession"/>
    <x v="1"/>
    <n v="18993"/>
  </r>
  <r>
    <x v="99"/>
    <s v="Concession"/>
    <x v="2"/>
    <n v="276011"/>
  </r>
  <r>
    <x v="99"/>
    <s v="Concession"/>
    <x v="4"/>
    <n v="152739.99"/>
  </r>
  <r>
    <x v="99"/>
    <s v="Concession"/>
    <x v="3"/>
    <n v="1203700.6200000001"/>
  </r>
  <r>
    <x v="99"/>
    <s v="Day Pass Child/Youth w/o SAF"/>
    <x v="0"/>
    <n v="19"/>
  </r>
  <r>
    <x v="99"/>
    <s v="Day Pass Child/Youth w/o SAF"/>
    <x v="1"/>
    <n v="78"/>
  </r>
  <r>
    <x v="99"/>
    <s v="Day Pass Child/Youth w/o SAF"/>
    <x v="2"/>
    <n v="7"/>
  </r>
  <r>
    <x v="99"/>
    <s v="Day Pass Child/Youth w/o SAF"/>
    <x v="4"/>
    <n v="0.41"/>
  </r>
  <r>
    <x v="99"/>
    <s v="Day Pass Child/Youth w/o SAF"/>
    <x v="3"/>
    <n v="185.59"/>
  </r>
  <r>
    <x v="99"/>
    <s v="Day Pass without SAF"/>
    <x v="0"/>
    <n v="1245"/>
  </r>
  <r>
    <x v="99"/>
    <s v="Day Pass without SAF"/>
    <x v="1"/>
    <n v="25"/>
  </r>
  <r>
    <x v="99"/>
    <s v="Day Pass without SAF"/>
    <x v="2"/>
    <n v="55"/>
  </r>
  <r>
    <x v="99"/>
    <s v="Day Pass without SAF"/>
    <x v="4"/>
    <n v="24.41"/>
  </r>
  <r>
    <x v="99"/>
    <s v="Day Pass without SAF"/>
    <x v="3"/>
    <n v="1006.59"/>
  </r>
  <r>
    <x v="99"/>
    <s v="Employee"/>
    <x v="0"/>
    <n v="74904"/>
  </r>
  <r>
    <x v="99"/>
    <s v="Employee"/>
    <x v="1"/>
    <n v="4266"/>
  </r>
  <r>
    <x v="99"/>
    <s v="Employee"/>
    <x v="2"/>
    <n v="9356"/>
  </r>
  <r>
    <x v="99"/>
    <s v="Employee"/>
    <x v="4"/>
    <n v="10148.959999999999"/>
  </r>
  <r>
    <x v="99"/>
    <s v="Employee"/>
    <x v="3"/>
    <n v="211990.5"/>
  </r>
  <r>
    <x v="99"/>
    <s v="Employee"/>
    <x v="5"/>
    <n v="1"/>
  </r>
  <r>
    <x v="99"/>
    <s v="Free Travel"/>
    <x v="0"/>
    <n v="29232"/>
  </r>
  <r>
    <x v="99"/>
    <s v="Free Travel"/>
    <x v="1"/>
    <n v="1668"/>
  </r>
  <r>
    <x v="99"/>
    <s v="Free Travel"/>
    <x v="2"/>
    <n v="3086"/>
  </r>
  <r>
    <x v="99"/>
    <s v="Free Travel"/>
    <x v="4"/>
    <n v="1892.98"/>
  </r>
  <r>
    <x v="99"/>
    <s v="Free Travel"/>
    <x v="3"/>
    <n v="25573.17"/>
  </r>
  <r>
    <x v="99"/>
    <s v="On Demand"/>
    <x v="0"/>
    <n v="22949"/>
  </r>
  <r>
    <x v="99"/>
    <s v="School Student"/>
    <x v="0"/>
    <n v="703676"/>
  </r>
  <r>
    <x v="99"/>
    <s v="School Student"/>
    <x v="1"/>
    <n v="4518"/>
  </r>
  <r>
    <x v="99"/>
    <s v="School Student"/>
    <x v="2"/>
    <n v="18127"/>
  </r>
  <r>
    <x v="99"/>
    <s v="School Student"/>
    <x v="4"/>
    <n v="93029.96"/>
  </r>
  <r>
    <x v="99"/>
    <s v="School Student"/>
    <x v="3"/>
    <n v="522414.44"/>
  </r>
  <r>
    <x v="99"/>
    <s v="Senior/Pensioner"/>
    <x v="0"/>
    <n v="3291635"/>
  </r>
  <r>
    <x v="99"/>
    <s v="Senior/Pensioner"/>
    <x v="1"/>
    <n v="168242"/>
  </r>
  <r>
    <x v="99"/>
    <s v="Senior/Pensioner"/>
    <x v="2"/>
    <n v="363919"/>
  </r>
  <r>
    <x v="99"/>
    <s v="Senior/Pensioner"/>
    <x v="4"/>
    <n v="161931.91"/>
  </r>
  <r>
    <x v="99"/>
    <s v="Senior/Pensioner"/>
    <x v="3"/>
    <n v="2523302.7599999998"/>
  </r>
  <r>
    <x v="99"/>
    <s v="Sgl Trip Ferry Adult"/>
    <x v="1"/>
    <n v="23314"/>
  </r>
  <r>
    <x v="99"/>
    <s v="Sgl Trip Ferry Child/Youth"/>
    <x v="1"/>
    <n v="17154"/>
  </r>
  <r>
    <x v="99"/>
    <s v="Sgl Trip LR Adult"/>
    <x v="2"/>
    <n v="3710"/>
  </r>
  <r>
    <x v="99"/>
    <s v="Sgl Trip LR Child/Youth"/>
    <x v="2"/>
    <n v="2651"/>
  </r>
  <r>
    <x v="99"/>
    <s v="Sgl Trip Rail Adult"/>
    <x v="4"/>
    <n v="4326.3"/>
  </r>
  <r>
    <x v="99"/>
    <s v="Sgl Trip Rail Adult"/>
    <x v="3"/>
    <n v="79786.720000000001"/>
  </r>
  <r>
    <x v="99"/>
    <s v="Sgl Trip Rail Child/Youth"/>
    <x v="4"/>
    <n v="7560.88"/>
  </r>
  <r>
    <x v="99"/>
    <s v="Sgl Trip Rail Child/Youth"/>
    <x v="3"/>
    <n v="61982.13"/>
  </r>
  <r>
    <x v="99"/>
    <s v="UNKNOWN"/>
    <x v="0"/>
    <n v="159"/>
  </r>
  <r>
    <x v="99"/>
    <s v="UNKNOWN"/>
    <x v="1"/>
    <n v="1"/>
  </r>
  <r>
    <x v="99"/>
    <s v="UNKNOWN"/>
    <x v="2"/>
    <n v="1"/>
  </r>
  <r>
    <x v="99"/>
    <s v="UNKNOWN"/>
    <x v="4"/>
    <n v="9"/>
  </r>
  <r>
    <x v="99"/>
    <s v="UNKNOWN"/>
    <x v="3"/>
    <n v="151"/>
  </r>
  <r>
    <x v="100"/>
    <s v="Adult"/>
    <x v="0"/>
    <n v="6362327"/>
  </r>
  <r>
    <x v="100"/>
    <s v="Adult"/>
    <x v="1"/>
    <n v="331948"/>
  </r>
  <r>
    <x v="100"/>
    <s v="Adult"/>
    <x v="2"/>
    <n v="1301687"/>
  </r>
  <r>
    <x v="100"/>
    <s v="Adult"/>
    <x v="4"/>
    <n v="2320889.31"/>
  </r>
  <r>
    <x v="100"/>
    <s v="Adult"/>
    <x v="3"/>
    <n v="9168967.8200000003"/>
  </r>
  <r>
    <x v="100"/>
    <s v="CTP"/>
    <x v="0"/>
    <n v="7523005"/>
  </r>
  <r>
    <x v="100"/>
    <s v="CTP"/>
    <x v="1"/>
    <n v="730075"/>
  </r>
  <r>
    <x v="100"/>
    <s v="CTP"/>
    <x v="2"/>
    <n v="1695631"/>
  </r>
  <r>
    <x v="100"/>
    <s v="CTP"/>
    <x v="4"/>
    <n v="2467934.5099999998"/>
  </r>
  <r>
    <x v="100"/>
    <s v="CTP"/>
    <x v="3"/>
    <n v="8989932.6699999999"/>
  </r>
  <r>
    <x v="100"/>
    <s v="Child/Youth"/>
    <x v="0"/>
    <n v="767324"/>
  </r>
  <r>
    <x v="100"/>
    <s v="Child/Youth"/>
    <x v="1"/>
    <n v="111357"/>
  </r>
  <r>
    <x v="100"/>
    <s v="Child/Youth"/>
    <x v="2"/>
    <n v="173901"/>
  </r>
  <r>
    <x v="100"/>
    <s v="Child/Youth"/>
    <x v="4"/>
    <n v="293834.5"/>
  </r>
  <r>
    <x v="100"/>
    <s v="Child/Youth"/>
    <x v="3"/>
    <n v="817114.88"/>
  </r>
  <r>
    <x v="100"/>
    <s v="Concession"/>
    <x v="0"/>
    <n v="806605"/>
  </r>
  <r>
    <x v="100"/>
    <s v="Concession"/>
    <x v="1"/>
    <n v="19760"/>
  </r>
  <r>
    <x v="100"/>
    <s v="Concession"/>
    <x v="2"/>
    <n v="322314"/>
  </r>
  <r>
    <x v="100"/>
    <s v="Concession"/>
    <x v="4"/>
    <n v="350773.2"/>
  </r>
  <r>
    <x v="100"/>
    <s v="Concession"/>
    <x v="3"/>
    <n v="1021877.62"/>
  </r>
  <r>
    <x v="100"/>
    <s v="Day Pass Child/Youth w/o SAF"/>
    <x v="0"/>
    <n v="33"/>
  </r>
  <r>
    <x v="100"/>
    <s v="Day Pass Child/Youth w/o SAF"/>
    <x v="1"/>
    <n v="142"/>
  </r>
  <r>
    <x v="100"/>
    <s v="Day Pass Child/Youth w/o SAF"/>
    <x v="2"/>
    <n v="45"/>
  </r>
  <r>
    <x v="100"/>
    <s v="Day Pass Child/Youth w/o SAF"/>
    <x v="4"/>
    <n v="2"/>
  </r>
  <r>
    <x v="100"/>
    <s v="Day Pass Child/Youth w/o SAF"/>
    <x v="3"/>
    <n v="117"/>
  </r>
  <r>
    <x v="100"/>
    <s v="Day Pass without SAF"/>
    <x v="0"/>
    <n v="1285"/>
  </r>
  <r>
    <x v="100"/>
    <s v="Day Pass without SAF"/>
    <x v="1"/>
    <n v="46"/>
  </r>
  <r>
    <x v="100"/>
    <s v="Day Pass without SAF"/>
    <x v="2"/>
    <n v="156"/>
  </r>
  <r>
    <x v="100"/>
    <s v="Day Pass without SAF"/>
    <x v="4"/>
    <n v="50.18"/>
  </r>
  <r>
    <x v="100"/>
    <s v="Day Pass without SAF"/>
    <x v="3"/>
    <n v="1288.8399999999999"/>
  </r>
  <r>
    <x v="100"/>
    <s v="Employee"/>
    <x v="0"/>
    <n v="79921"/>
  </r>
  <r>
    <x v="100"/>
    <s v="Employee"/>
    <x v="1"/>
    <n v="4513"/>
  </r>
  <r>
    <x v="100"/>
    <s v="Employee"/>
    <x v="2"/>
    <n v="13710"/>
  </r>
  <r>
    <x v="100"/>
    <s v="Employee"/>
    <x v="4"/>
    <n v="40803.11"/>
  </r>
  <r>
    <x v="100"/>
    <s v="Employee"/>
    <x v="3"/>
    <n v="179627.87"/>
  </r>
  <r>
    <x v="100"/>
    <s v="Free Travel"/>
    <x v="0"/>
    <n v="28357"/>
  </r>
  <r>
    <x v="100"/>
    <s v="Free Travel"/>
    <x v="1"/>
    <n v="1883"/>
  </r>
  <r>
    <x v="100"/>
    <s v="Free Travel"/>
    <x v="2"/>
    <n v="3768"/>
  </r>
  <r>
    <x v="100"/>
    <s v="Free Travel"/>
    <x v="4"/>
    <n v="5530.92"/>
  </r>
  <r>
    <x v="100"/>
    <s v="Free Travel"/>
    <x v="3"/>
    <n v="22459.57"/>
  </r>
  <r>
    <x v="100"/>
    <s v="On Demand"/>
    <x v="0"/>
    <n v="17439"/>
  </r>
  <r>
    <x v="100"/>
    <s v="School Student"/>
    <x v="0"/>
    <n v="624900"/>
  </r>
  <r>
    <x v="100"/>
    <s v="School Student"/>
    <x v="1"/>
    <n v="4133"/>
  </r>
  <r>
    <x v="100"/>
    <s v="School Student"/>
    <x v="2"/>
    <n v="24915"/>
  </r>
  <r>
    <x v="100"/>
    <s v="School Student"/>
    <x v="4"/>
    <n v="142529.70000000001"/>
  </r>
  <r>
    <x v="100"/>
    <s v="School Student"/>
    <x v="3"/>
    <n v="407273.67"/>
  </r>
  <r>
    <x v="100"/>
    <s v="Senior/Pensioner"/>
    <x v="0"/>
    <n v="3192131"/>
  </r>
  <r>
    <x v="100"/>
    <s v="Senior/Pensioner"/>
    <x v="1"/>
    <n v="173889"/>
  </r>
  <r>
    <x v="100"/>
    <s v="Senior/Pensioner"/>
    <x v="2"/>
    <n v="471947"/>
  </r>
  <r>
    <x v="100"/>
    <s v="Senior/Pensioner"/>
    <x v="4"/>
    <n v="471763.06"/>
  </r>
  <r>
    <x v="100"/>
    <s v="Senior/Pensioner"/>
    <x v="3"/>
    <n v="2300623.36"/>
  </r>
  <r>
    <x v="100"/>
    <s v="Sgl Trip Ferry Adult"/>
    <x v="1"/>
    <n v="23932"/>
  </r>
  <r>
    <x v="100"/>
    <s v="Sgl Trip Ferry Child/Youth"/>
    <x v="1"/>
    <n v="17947"/>
  </r>
  <r>
    <x v="100"/>
    <s v="Sgl Trip LR Adult"/>
    <x v="2"/>
    <n v="3800"/>
  </r>
  <r>
    <x v="100"/>
    <s v="Sgl Trip LR Child/Youth"/>
    <x v="2"/>
    <n v="3242"/>
  </r>
  <r>
    <x v="100"/>
    <s v="Sgl Trip Rail Adult"/>
    <x v="4"/>
    <n v="11175.87"/>
  </r>
  <r>
    <x v="100"/>
    <s v="Sgl Trip Rail Adult"/>
    <x v="3"/>
    <n v="65681.77"/>
  </r>
  <r>
    <x v="100"/>
    <s v="Sgl Trip Rail Child/Youth"/>
    <x v="4"/>
    <n v="17922.41"/>
  </r>
  <r>
    <x v="100"/>
    <s v="Sgl Trip Rail Child/Youth"/>
    <x v="3"/>
    <n v="58395.9"/>
  </r>
  <r>
    <x v="100"/>
    <s v="UNKNOWN"/>
    <x v="0"/>
    <n v="16"/>
  </r>
  <r>
    <x v="100"/>
    <s v="UNKNOWN"/>
    <x v="4"/>
    <n v="0"/>
  </r>
  <r>
    <x v="100"/>
    <s v="UNKNOWN"/>
    <x v="3"/>
    <n v="17"/>
  </r>
  <r>
    <x v="101"/>
    <s v="Adult"/>
    <x v="0"/>
    <n v="6336923"/>
  </r>
  <r>
    <x v="101"/>
    <s v="Adult"/>
    <x v="1"/>
    <n v="330608"/>
  </r>
  <r>
    <x v="101"/>
    <s v="Adult"/>
    <x v="2"/>
    <n v="1054435"/>
  </r>
  <r>
    <x v="101"/>
    <s v="Adult"/>
    <x v="4"/>
    <n v="771469.58"/>
  </r>
  <r>
    <x v="101"/>
    <s v="Adult"/>
    <x v="3"/>
    <n v="10589586.390000001"/>
  </r>
  <r>
    <x v="101"/>
    <s v="Adult"/>
    <x v="5"/>
    <n v="9"/>
  </r>
  <r>
    <x v="101"/>
    <s v="CTP"/>
    <x v="0"/>
    <n v="6392070"/>
  </r>
  <r>
    <x v="101"/>
    <s v="CTP"/>
    <x v="1"/>
    <n v="611037"/>
  </r>
  <r>
    <x v="101"/>
    <s v="CTP"/>
    <x v="2"/>
    <n v="1226839"/>
  </r>
  <r>
    <x v="101"/>
    <s v="CTP"/>
    <x v="4"/>
    <n v="572990.01"/>
  </r>
  <r>
    <x v="101"/>
    <s v="CTP"/>
    <x v="3"/>
    <n v="9453174.8599999994"/>
  </r>
  <r>
    <x v="101"/>
    <s v="CTP"/>
    <x v="5"/>
    <n v="22"/>
  </r>
  <r>
    <x v="101"/>
    <s v="Child/Youth"/>
    <x v="0"/>
    <n v="556029"/>
  </r>
  <r>
    <x v="101"/>
    <s v="Child/Youth"/>
    <x v="1"/>
    <n v="65865"/>
  </r>
  <r>
    <x v="101"/>
    <s v="Child/Youth"/>
    <x v="2"/>
    <n v="84868"/>
  </r>
  <r>
    <x v="101"/>
    <s v="Child/Youth"/>
    <x v="4"/>
    <n v="83789.97"/>
  </r>
  <r>
    <x v="101"/>
    <s v="Child/Youth"/>
    <x v="3"/>
    <n v="670788.28"/>
  </r>
  <r>
    <x v="101"/>
    <s v="Child/Youth"/>
    <x v="5"/>
    <n v="10"/>
  </r>
  <r>
    <x v="101"/>
    <s v="Concession"/>
    <x v="0"/>
    <n v="791230"/>
  </r>
  <r>
    <x v="101"/>
    <s v="Concession"/>
    <x v="1"/>
    <n v="19923"/>
  </r>
  <r>
    <x v="101"/>
    <s v="Concession"/>
    <x v="2"/>
    <n v="278343"/>
  </r>
  <r>
    <x v="101"/>
    <s v="Concession"/>
    <x v="4"/>
    <n v="132073.35"/>
  </r>
  <r>
    <x v="101"/>
    <s v="Concession"/>
    <x v="3"/>
    <n v="1158953.28"/>
  </r>
  <r>
    <x v="101"/>
    <s v="Concession"/>
    <x v="5"/>
    <n v="3"/>
  </r>
  <r>
    <x v="101"/>
    <s v="Day Pass Child/Youth w/o SAF"/>
    <x v="0"/>
    <n v="9"/>
  </r>
  <r>
    <x v="101"/>
    <s v="Day Pass Child/Youth w/o SAF"/>
    <x v="1"/>
    <n v="112"/>
  </r>
  <r>
    <x v="101"/>
    <s v="Day Pass Child/Youth w/o SAF"/>
    <x v="2"/>
    <n v="2"/>
  </r>
  <r>
    <x v="101"/>
    <s v="Day Pass Child/Youth w/o SAF"/>
    <x v="3"/>
    <n v="212"/>
  </r>
  <r>
    <x v="101"/>
    <s v="Day Pass without SAF"/>
    <x v="0"/>
    <n v="1090"/>
  </r>
  <r>
    <x v="101"/>
    <s v="Day Pass without SAF"/>
    <x v="1"/>
    <n v="44"/>
  </r>
  <r>
    <x v="101"/>
    <s v="Day Pass without SAF"/>
    <x v="2"/>
    <n v="40"/>
  </r>
  <r>
    <x v="101"/>
    <s v="Day Pass without SAF"/>
    <x v="4"/>
    <n v="18"/>
  </r>
  <r>
    <x v="101"/>
    <s v="Day Pass without SAF"/>
    <x v="3"/>
    <n v="1008"/>
  </r>
  <r>
    <x v="101"/>
    <s v="Employee"/>
    <x v="0"/>
    <n v="67497"/>
  </r>
  <r>
    <x v="101"/>
    <s v="Employee"/>
    <x v="1"/>
    <n v="4108"/>
  </r>
  <r>
    <x v="101"/>
    <s v="Employee"/>
    <x v="2"/>
    <n v="9006"/>
  </r>
  <r>
    <x v="101"/>
    <s v="Employee"/>
    <x v="4"/>
    <n v="9163.6200000000008"/>
  </r>
  <r>
    <x v="101"/>
    <s v="Employee"/>
    <x v="3"/>
    <n v="202060.75"/>
  </r>
  <r>
    <x v="101"/>
    <s v="Employee"/>
    <x v="5"/>
    <n v="1"/>
  </r>
  <r>
    <x v="101"/>
    <s v="Free Travel"/>
    <x v="0"/>
    <n v="26000"/>
  </r>
  <r>
    <x v="101"/>
    <s v="Free Travel"/>
    <x v="1"/>
    <n v="1621"/>
  </r>
  <r>
    <x v="101"/>
    <s v="Free Travel"/>
    <x v="2"/>
    <n v="2862"/>
  </r>
  <r>
    <x v="101"/>
    <s v="Free Travel"/>
    <x v="4"/>
    <n v="1663.86"/>
  </r>
  <r>
    <x v="101"/>
    <s v="Free Travel"/>
    <x v="3"/>
    <n v="23665.14"/>
  </r>
  <r>
    <x v="101"/>
    <s v="On Demand"/>
    <x v="0"/>
    <n v="18924"/>
  </r>
  <r>
    <x v="101"/>
    <s v="School Student"/>
    <x v="0"/>
    <n v="1212403"/>
  </r>
  <r>
    <x v="101"/>
    <s v="School Student"/>
    <x v="1"/>
    <n v="9178"/>
  </r>
  <r>
    <x v="101"/>
    <s v="School Student"/>
    <x v="2"/>
    <n v="33627"/>
  </r>
  <r>
    <x v="101"/>
    <s v="School Student"/>
    <x v="4"/>
    <n v="161638.01999999999"/>
  </r>
  <r>
    <x v="101"/>
    <s v="School Student"/>
    <x v="3"/>
    <n v="908555.82"/>
  </r>
  <r>
    <x v="101"/>
    <s v="Senior/Pensioner"/>
    <x v="0"/>
    <n v="3030368"/>
  </r>
  <r>
    <x v="101"/>
    <s v="Senior/Pensioner"/>
    <x v="1"/>
    <n v="161668"/>
  </r>
  <r>
    <x v="101"/>
    <s v="Senior/Pensioner"/>
    <x v="2"/>
    <n v="358961"/>
  </r>
  <r>
    <x v="101"/>
    <s v="Senior/Pensioner"/>
    <x v="4"/>
    <n v="141236.04"/>
  </r>
  <r>
    <x v="101"/>
    <s v="Senior/Pensioner"/>
    <x v="3"/>
    <n v="2366099.5299999998"/>
  </r>
  <r>
    <x v="101"/>
    <s v="Sgl Trip Ferry Adult"/>
    <x v="1"/>
    <n v="18814"/>
  </r>
  <r>
    <x v="101"/>
    <s v="Sgl Trip Ferry Child/Youth"/>
    <x v="1"/>
    <n v="11232"/>
  </r>
  <r>
    <x v="101"/>
    <s v="Sgl Trip LR Adult"/>
    <x v="2"/>
    <n v="3095"/>
  </r>
  <r>
    <x v="101"/>
    <s v="Sgl Trip LR Child/Youth"/>
    <x v="2"/>
    <n v="1648"/>
  </r>
  <r>
    <x v="101"/>
    <s v="Sgl Trip Rail Adult"/>
    <x v="4"/>
    <n v="3357.75"/>
  </r>
  <r>
    <x v="101"/>
    <s v="Sgl Trip Rail Adult"/>
    <x v="3"/>
    <n v="77350.16"/>
  </r>
  <r>
    <x v="101"/>
    <s v="Sgl Trip Rail Adult"/>
    <x v="5"/>
    <n v="1"/>
  </r>
  <r>
    <x v="101"/>
    <s v="Sgl Trip Rail Child/Youth"/>
    <x v="4"/>
    <n v="4426.8100000000004"/>
  </r>
  <r>
    <x v="101"/>
    <s v="Sgl Trip Rail Child/Youth"/>
    <x v="3"/>
    <n v="47978.76"/>
  </r>
  <r>
    <x v="101"/>
    <s v="UNKNOWN"/>
    <x v="0"/>
    <n v="148"/>
  </r>
  <r>
    <x v="101"/>
    <s v="UNKNOWN"/>
    <x v="2"/>
    <n v="3"/>
  </r>
  <r>
    <x v="101"/>
    <s v="UNKNOWN"/>
    <x v="4"/>
    <n v="12"/>
  </r>
  <r>
    <x v="101"/>
    <s v="UNKNOWN"/>
    <x v="3"/>
    <n v="194"/>
  </r>
  <r>
    <x v="102"/>
    <s v="Adult"/>
    <x v="0"/>
    <n v="6069753"/>
  </r>
  <r>
    <x v="102"/>
    <s v="Adult"/>
    <x v="1"/>
    <n v="309133"/>
  </r>
  <r>
    <x v="102"/>
    <s v="Adult"/>
    <x v="2"/>
    <n v="1209174"/>
  </r>
  <r>
    <x v="102"/>
    <s v="Adult"/>
    <x v="4"/>
    <n v="2276887.06"/>
  </r>
  <r>
    <x v="102"/>
    <s v="Adult"/>
    <x v="3"/>
    <n v="9113955.7100000009"/>
  </r>
  <r>
    <x v="102"/>
    <s v="CTP"/>
    <x v="0"/>
    <n v="7223468"/>
  </r>
  <r>
    <x v="102"/>
    <s v="CTP"/>
    <x v="1"/>
    <n v="707681"/>
  </r>
  <r>
    <x v="102"/>
    <s v="CTP"/>
    <x v="2"/>
    <n v="1577013"/>
  </r>
  <r>
    <x v="102"/>
    <s v="CTP"/>
    <x v="4"/>
    <n v="2485381.41"/>
  </r>
  <r>
    <x v="102"/>
    <s v="CTP"/>
    <x v="3"/>
    <n v="9195358.8800000008"/>
  </r>
  <r>
    <x v="102"/>
    <s v="Child/Youth"/>
    <x v="0"/>
    <n v="534469"/>
  </r>
  <r>
    <x v="102"/>
    <s v="Child/Youth"/>
    <x v="1"/>
    <n v="63180"/>
  </r>
  <r>
    <x v="102"/>
    <s v="Child/Youth"/>
    <x v="2"/>
    <n v="100181"/>
  </r>
  <r>
    <x v="102"/>
    <s v="Child/Youth"/>
    <x v="4"/>
    <n v="206625.36"/>
  </r>
  <r>
    <x v="102"/>
    <s v="Child/Youth"/>
    <x v="3"/>
    <n v="576481.65"/>
  </r>
  <r>
    <x v="102"/>
    <s v="Concession"/>
    <x v="0"/>
    <n v="853279"/>
  </r>
  <r>
    <x v="102"/>
    <s v="Concession"/>
    <x v="1"/>
    <n v="21456"/>
  </r>
  <r>
    <x v="102"/>
    <s v="Concession"/>
    <x v="2"/>
    <n v="350837"/>
  </r>
  <r>
    <x v="102"/>
    <s v="Concession"/>
    <x v="4"/>
    <n v="388645.75"/>
  </r>
  <r>
    <x v="102"/>
    <s v="Concession"/>
    <x v="3"/>
    <n v="1100582.45"/>
  </r>
  <r>
    <x v="102"/>
    <s v="Day Pass Child/Youth w/o SAF"/>
    <x v="0"/>
    <n v="48"/>
  </r>
  <r>
    <x v="102"/>
    <s v="Day Pass Child/Youth w/o SAF"/>
    <x v="1"/>
    <n v="51"/>
  </r>
  <r>
    <x v="102"/>
    <s v="Day Pass Child/Youth w/o SAF"/>
    <x v="2"/>
    <n v="36"/>
  </r>
  <r>
    <x v="102"/>
    <s v="Day Pass Child/Youth w/o SAF"/>
    <x v="4"/>
    <n v="1.21"/>
  </r>
  <r>
    <x v="102"/>
    <s v="Day Pass Child/Youth w/o SAF"/>
    <x v="3"/>
    <n v="209.79"/>
  </r>
  <r>
    <x v="102"/>
    <s v="Day Pass without SAF"/>
    <x v="0"/>
    <n v="1393"/>
  </r>
  <r>
    <x v="102"/>
    <s v="Day Pass without SAF"/>
    <x v="1"/>
    <n v="30"/>
  </r>
  <r>
    <x v="102"/>
    <s v="Day Pass without SAF"/>
    <x v="2"/>
    <n v="76"/>
  </r>
  <r>
    <x v="102"/>
    <s v="Day Pass without SAF"/>
    <x v="4"/>
    <n v="39.090000000000003"/>
  </r>
  <r>
    <x v="102"/>
    <s v="Day Pass without SAF"/>
    <x v="3"/>
    <n v="935.96"/>
  </r>
  <r>
    <x v="102"/>
    <s v="Employee"/>
    <x v="0"/>
    <n v="77854"/>
  </r>
  <r>
    <x v="102"/>
    <s v="Employee"/>
    <x v="1"/>
    <n v="4627"/>
  </r>
  <r>
    <x v="102"/>
    <s v="Employee"/>
    <x v="2"/>
    <n v="13836"/>
  </r>
  <r>
    <x v="102"/>
    <s v="Employee"/>
    <x v="4"/>
    <n v="41683.57"/>
  </r>
  <r>
    <x v="102"/>
    <s v="Employee"/>
    <x v="3"/>
    <n v="188840.06"/>
  </r>
  <r>
    <x v="102"/>
    <s v="Free Travel"/>
    <x v="0"/>
    <n v="28247"/>
  </r>
  <r>
    <x v="102"/>
    <s v="Free Travel"/>
    <x v="1"/>
    <n v="1849"/>
  </r>
  <r>
    <x v="102"/>
    <s v="Free Travel"/>
    <x v="2"/>
    <n v="3878"/>
  </r>
  <r>
    <x v="102"/>
    <s v="Free Travel"/>
    <x v="4"/>
    <n v="5499.84"/>
  </r>
  <r>
    <x v="102"/>
    <s v="Free Travel"/>
    <x v="3"/>
    <n v="22663.19"/>
  </r>
  <r>
    <x v="102"/>
    <s v="On Demand"/>
    <x v="0"/>
    <n v="19234"/>
  </r>
  <r>
    <x v="102"/>
    <s v="School Student"/>
    <x v="0"/>
    <n v="1209180"/>
  </r>
  <r>
    <x v="102"/>
    <s v="School Student"/>
    <x v="1"/>
    <n v="9369"/>
  </r>
  <r>
    <x v="102"/>
    <s v="School Student"/>
    <x v="2"/>
    <n v="47944"/>
  </r>
  <r>
    <x v="102"/>
    <s v="School Student"/>
    <x v="4"/>
    <n v="297685.61"/>
  </r>
  <r>
    <x v="102"/>
    <s v="School Student"/>
    <x v="3"/>
    <n v="843256.25"/>
  </r>
  <r>
    <x v="102"/>
    <s v="Senior/Pensioner"/>
    <x v="0"/>
    <n v="3131093"/>
  </r>
  <r>
    <x v="102"/>
    <s v="Senior/Pensioner"/>
    <x v="1"/>
    <n v="175913"/>
  </r>
  <r>
    <x v="102"/>
    <s v="Senior/Pensioner"/>
    <x v="2"/>
    <n v="464471"/>
  </r>
  <r>
    <x v="102"/>
    <s v="Senior/Pensioner"/>
    <x v="4"/>
    <n v="469013.7"/>
  </r>
  <r>
    <x v="102"/>
    <s v="Senior/Pensioner"/>
    <x v="3"/>
    <n v="2324445.81"/>
  </r>
  <r>
    <x v="102"/>
    <s v="Sgl Trip Ferry Adult"/>
    <x v="1"/>
    <n v="17001"/>
  </r>
  <r>
    <x v="102"/>
    <s v="Sgl Trip Ferry Child/Youth"/>
    <x v="1"/>
    <n v="10352"/>
  </r>
  <r>
    <x v="102"/>
    <s v="Sgl Trip LR Adult"/>
    <x v="2"/>
    <n v="2812"/>
  </r>
  <r>
    <x v="102"/>
    <s v="Sgl Trip LR Child/Youth"/>
    <x v="2"/>
    <n v="1771"/>
  </r>
  <r>
    <x v="102"/>
    <s v="Sgl Trip Rail Adult"/>
    <x v="4"/>
    <n v="10011.94"/>
  </r>
  <r>
    <x v="102"/>
    <s v="Sgl Trip Rail Adult"/>
    <x v="3"/>
    <n v="63769.68"/>
  </r>
  <r>
    <x v="102"/>
    <s v="Sgl Trip Rail Child/Youth"/>
    <x v="4"/>
    <n v="13250.56"/>
  </r>
  <r>
    <x v="102"/>
    <s v="Sgl Trip Rail Child/Youth"/>
    <x v="3"/>
    <n v="42238.44"/>
  </r>
  <r>
    <x v="102"/>
    <s v="UNKNOWN"/>
    <x v="0"/>
    <n v="23"/>
  </r>
  <r>
    <x v="102"/>
    <s v="UNKNOWN"/>
    <x v="2"/>
    <n v="1"/>
  </r>
  <r>
    <x v="102"/>
    <s v="UNKNOWN"/>
    <x v="4"/>
    <n v="1.83"/>
  </r>
  <r>
    <x v="102"/>
    <s v="UNKNOWN"/>
    <x v="3"/>
    <n v="29"/>
  </r>
  <r>
    <x v="103"/>
    <s v="Adult"/>
    <x v="0"/>
    <n v="7318169"/>
  </r>
  <r>
    <x v="103"/>
    <s v="Adult"/>
    <x v="1"/>
    <n v="471340"/>
  </r>
  <r>
    <x v="103"/>
    <s v="Adult"/>
    <x v="2"/>
    <n v="1346495"/>
  </r>
  <r>
    <x v="103"/>
    <s v="Adult"/>
    <x v="4"/>
    <n v="806511"/>
  </r>
  <r>
    <x v="103"/>
    <s v="Adult"/>
    <x v="3"/>
    <n v="11803250.66"/>
  </r>
  <r>
    <x v="103"/>
    <s v="Adult"/>
    <x v="5"/>
    <n v="2"/>
  </r>
  <r>
    <x v="103"/>
    <s v="CTP"/>
    <x v="0"/>
    <n v="7413240"/>
  </r>
  <r>
    <x v="103"/>
    <s v="CTP"/>
    <x v="1"/>
    <n v="893419"/>
  </r>
  <r>
    <x v="103"/>
    <s v="CTP"/>
    <x v="2"/>
    <n v="1612262"/>
  </r>
  <r>
    <x v="103"/>
    <s v="CTP"/>
    <x v="4"/>
    <n v="579769"/>
  </r>
  <r>
    <x v="103"/>
    <s v="CTP"/>
    <x v="3"/>
    <n v="10470828.470000001"/>
  </r>
  <r>
    <x v="103"/>
    <s v="CTP"/>
    <x v="5"/>
    <n v="2"/>
  </r>
  <r>
    <x v="103"/>
    <s v="Child/Youth"/>
    <x v="0"/>
    <n v="670471"/>
  </r>
  <r>
    <x v="103"/>
    <s v="Child/Youth"/>
    <x v="1"/>
    <n v="69795"/>
  </r>
  <r>
    <x v="103"/>
    <s v="Child/Youth"/>
    <x v="2"/>
    <n v="100197"/>
  </r>
  <r>
    <x v="103"/>
    <s v="Child/Youth"/>
    <x v="4"/>
    <n v="75289.3"/>
  </r>
  <r>
    <x v="103"/>
    <s v="Child/Youth"/>
    <x v="3"/>
    <n v="703952.36"/>
  </r>
  <r>
    <x v="103"/>
    <s v="Concession"/>
    <x v="0"/>
    <n v="1127669"/>
  </r>
  <r>
    <x v="103"/>
    <s v="Concession"/>
    <x v="1"/>
    <n v="26400"/>
  </r>
  <r>
    <x v="103"/>
    <s v="Concession"/>
    <x v="2"/>
    <n v="355508"/>
  </r>
  <r>
    <x v="103"/>
    <s v="Concession"/>
    <x v="4"/>
    <n v="229799.54"/>
  </r>
  <r>
    <x v="103"/>
    <s v="Concession"/>
    <x v="3"/>
    <n v="1773988.5"/>
  </r>
  <r>
    <x v="103"/>
    <s v="Day Pass Child/Youth w/o SAF"/>
    <x v="0"/>
    <n v="9"/>
  </r>
  <r>
    <x v="103"/>
    <s v="Day Pass Child/Youth w/o SAF"/>
    <x v="1"/>
    <n v="4"/>
  </r>
  <r>
    <x v="103"/>
    <s v="Day Pass Child/Youth w/o SAF"/>
    <x v="2"/>
    <n v="6"/>
  </r>
  <r>
    <x v="103"/>
    <s v="Day Pass Child/Youth w/o SAF"/>
    <x v="3"/>
    <n v="124"/>
  </r>
  <r>
    <x v="103"/>
    <s v="Day Pass without SAF"/>
    <x v="0"/>
    <n v="1094"/>
  </r>
  <r>
    <x v="103"/>
    <s v="Day Pass without SAF"/>
    <x v="1"/>
    <n v="42"/>
  </r>
  <r>
    <x v="103"/>
    <s v="Day Pass without SAF"/>
    <x v="2"/>
    <n v="59"/>
  </r>
  <r>
    <x v="103"/>
    <s v="Day Pass without SAF"/>
    <x v="4"/>
    <n v="5"/>
  </r>
  <r>
    <x v="103"/>
    <s v="Day Pass without SAF"/>
    <x v="3"/>
    <n v="977"/>
  </r>
  <r>
    <x v="103"/>
    <s v="Employee"/>
    <x v="0"/>
    <n v="61266"/>
  </r>
  <r>
    <x v="103"/>
    <s v="Employee"/>
    <x v="1"/>
    <n v="4446"/>
  </r>
  <r>
    <x v="103"/>
    <s v="Employee"/>
    <x v="2"/>
    <n v="9835"/>
  </r>
  <r>
    <x v="103"/>
    <s v="Employee"/>
    <x v="4"/>
    <n v="7997"/>
  </r>
  <r>
    <x v="103"/>
    <s v="Employee"/>
    <x v="3"/>
    <n v="195726.02"/>
  </r>
  <r>
    <x v="103"/>
    <s v="Free Travel"/>
    <x v="0"/>
    <n v="29295"/>
  </r>
  <r>
    <x v="103"/>
    <s v="Free Travel"/>
    <x v="1"/>
    <n v="1964"/>
  </r>
  <r>
    <x v="103"/>
    <s v="Free Travel"/>
    <x v="2"/>
    <n v="3491"/>
  </r>
  <r>
    <x v="103"/>
    <s v="Free Travel"/>
    <x v="4"/>
    <n v="1435.75"/>
  </r>
  <r>
    <x v="103"/>
    <s v="Free Travel"/>
    <x v="3"/>
    <n v="25231.47"/>
  </r>
  <r>
    <x v="103"/>
    <s v="On Demand"/>
    <x v="0"/>
    <n v="20377"/>
  </r>
  <r>
    <x v="103"/>
    <s v="School Student"/>
    <x v="0"/>
    <n v="1481872"/>
  </r>
  <r>
    <x v="103"/>
    <s v="School Student"/>
    <x v="1"/>
    <n v="10782"/>
  </r>
  <r>
    <x v="103"/>
    <s v="School Student"/>
    <x v="2"/>
    <n v="48123"/>
  </r>
  <r>
    <x v="103"/>
    <s v="School Student"/>
    <x v="4"/>
    <n v="166074.76"/>
  </r>
  <r>
    <x v="103"/>
    <s v="School Student"/>
    <x v="3"/>
    <n v="1041737.02"/>
  </r>
  <r>
    <x v="103"/>
    <s v="Senior/Pensioner"/>
    <x v="0"/>
    <n v="3349307"/>
  </r>
  <r>
    <x v="103"/>
    <s v="Senior/Pensioner"/>
    <x v="1"/>
    <n v="216193"/>
  </r>
  <r>
    <x v="103"/>
    <s v="Senior/Pensioner"/>
    <x v="2"/>
    <n v="457098"/>
  </r>
  <r>
    <x v="103"/>
    <s v="Senior/Pensioner"/>
    <x v="4"/>
    <n v="134824.74"/>
  </r>
  <r>
    <x v="103"/>
    <s v="Senior/Pensioner"/>
    <x v="3"/>
    <n v="2590408.4300000002"/>
  </r>
  <r>
    <x v="103"/>
    <s v="Sgl Trip Ferry Adult"/>
    <x v="1"/>
    <n v="29781"/>
  </r>
  <r>
    <x v="103"/>
    <s v="Sgl Trip Ferry Child/Youth"/>
    <x v="1"/>
    <n v="11344"/>
  </r>
  <r>
    <x v="103"/>
    <s v="Sgl Trip LR Adult"/>
    <x v="2"/>
    <n v="4274"/>
  </r>
  <r>
    <x v="103"/>
    <s v="Sgl Trip LR Child/Youth"/>
    <x v="2"/>
    <n v="1636"/>
  </r>
  <r>
    <x v="103"/>
    <s v="Sgl Trip Rail Adult"/>
    <x v="4"/>
    <n v="3622.48"/>
  </r>
  <r>
    <x v="103"/>
    <s v="Sgl Trip Rail Adult"/>
    <x v="3"/>
    <n v="96226.98"/>
  </r>
  <r>
    <x v="103"/>
    <s v="Sgl Trip Rail Child/Youth"/>
    <x v="4"/>
    <n v="3233.73"/>
  </r>
  <r>
    <x v="103"/>
    <s v="Sgl Trip Rail Child/Youth"/>
    <x v="3"/>
    <n v="43404.28"/>
  </r>
  <r>
    <x v="103"/>
    <s v="UNKNOWN"/>
    <x v="0"/>
    <n v="148"/>
  </r>
  <r>
    <x v="103"/>
    <s v="UNKNOWN"/>
    <x v="1"/>
    <n v="11"/>
  </r>
  <r>
    <x v="103"/>
    <s v="UNKNOWN"/>
    <x v="2"/>
    <n v="7"/>
  </r>
  <r>
    <x v="103"/>
    <s v="UNKNOWN"/>
    <x v="4"/>
    <n v="18.989999999999998"/>
  </r>
  <r>
    <x v="103"/>
    <s v="UNKNOWN"/>
    <x v="3"/>
    <n v="235"/>
  </r>
  <r>
    <x v="104"/>
    <s v="Adult"/>
    <x v="0"/>
    <n v="7082965"/>
  </r>
  <r>
    <x v="104"/>
    <s v="Adult"/>
    <x v="1"/>
    <n v="365081"/>
  </r>
  <r>
    <x v="104"/>
    <s v="Adult"/>
    <x v="2"/>
    <n v="1359253"/>
  </r>
  <r>
    <x v="104"/>
    <s v="Adult"/>
    <x v="4"/>
    <n v="2290011.23"/>
  </r>
  <r>
    <x v="104"/>
    <s v="Adult"/>
    <x v="3"/>
    <n v="9942389.5700000003"/>
  </r>
  <r>
    <x v="104"/>
    <s v="CTP"/>
    <x v="0"/>
    <n v="8544262"/>
  </r>
  <r>
    <x v="104"/>
    <s v="CTP"/>
    <x v="1"/>
    <n v="894057"/>
  </r>
  <r>
    <x v="104"/>
    <s v="CTP"/>
    <x v="2"/>
    <n v="1835420"/>
  </r>
  <r>
    <x v="104"/>
    <s v="CTP"/>
    <x v="4"/>
    <n v="2452600.38"/>
  </r>
  <r>
    <x v="104"/>
    <s v="CTP"/>
    <x v="3"/>
    <n v="9866014.6300000008"/>
  </r>
  <r>
    <x v="104"/>
    <s v="Child/Youth"/>
    <x v="0"/>
    <n v="640215"/>
  </r>
  <r>
    <x v="104"/>
    <s v="Child/Youth"/>
    <x v="1"/>
    <n v="49844"/>
  </r>
  <r>
    <x v="104"/>
    <s v="Child/Youth"/>
    <x v="2"/>
    <n v="99175"/>
  </r>
  <r>
    <x v="104"/>
    <s v="Child/Youth"/>
    <x v="4"/>
    <n v="194646.89"/>
  </r>
  <r>
    <x v="104"/>
    <s v="Child/Youth"/>
    <x v="3"/>
    <n v="575830.5"/>
  </r>
  <r>
    <x v="104"/>
    <s v="Concession"/>
    <x v="0"/>
    <n v="1313509"/>
  </r>
  <r>
    <x v="104"/>
    <s v="Concession"/>
    <x v="1"/>
    <n v="28321"/>
  </r>
  <r>
    <x v="104"/>
    <s v="Concession"/>
    <x v="2"/>
    <n v="413992"/>
  </r>
  <r>
    <x v="104"/>
    <s v="Concession"/>
    <x v="4"/>
    <n v="552649.93000000005"/>
  </r>
  <r>
    <x v="104"/>
    <s v="Concession"/>
    <x v="3"/>
    <n v="1697587.26"/>
  </r>
  <r>
    <x v="104"/>
    <s v="Day Pass Child/Youth w/o SAF"/>
    <x v="0"/>
    <n v="54"/>
  </r>
  <r>
    <x v="104"/>
    <s v="Day Pass Child/Youth w/o SAF"/>
    <x v="2"/>
    <n v="108"/>
  </r>
  <r>
    <x v="104"/>
    <s v="Day Pass Child/Youth w/o SAF"/>
    <x v="3"/>
    <n v="232"/>
  </r>
  <r>
    <x v="104"/>
    <s v="Day Pass without SAF"/>
    <x v="0"/>
    <n v="1006"/>
  </r>
  <r>
    <x v="104"/>
    <s v="Day Pass without SAF"/>
    <x v="1"/>
    <n v="36"/>
  </r>
  <r>
    <x v="104"/>
    <s v="Day Pass without SAF"/>
    <x v="2"/>
    <n v="83"/>
  </r>
  <r>
    <x v="104"/>
    <s v="Day Pass without SAF"/>
    <x v="4"/>
    <n v="58.01"/>
  </r>
  <r>
    <x v="104"/>
    <s v="Day Pass without SAF"/>
    <x v="3"/>
    <n v="960.1"/>
  </r>
  <r>
    <x v="104"/>
    <s v="Employee"/>
    <x v="0"/>
    <n v="81322"/>
  </r>
  <r>
    <x v="104"/>
    <s v="Employee"/>
    <x v="1"/>
    <n v="4680"/>
  </r>
  <r>
    <x v="104"/>
    <s v="Employee"/>
    <x v="2"/>
    <n v="13662"/>
  </r>
  <r>
    <x v="104"/>
    <s v="Employee"/>
    <x v="4"/>
    <n v="38131.42"/>
  </r>
  <r>
    <x v="104"/>
    <s v="Employee"/>
    <x v="3"/>
    <n v="193273.63"/>
  </r>
  <r>
    <x v="104"/>
    <s v="Free Travel"/>
    <x v="0"/>
    <n v="31424"/>
  </r>
  <r>
    <x v="104"/>
    <s v="Free Travel"/>
    <x v="1"/>
    <n v="1914"/>
  </r>
  <r>
    <x v="104"/>
    <s v="Free Travel"/>
    <x v="2"/>
    <n v="3831"/>
  </r>
  <r>
    <x v="104"/>
    <s v="Free Travel"/>
    <x v="4"/>
    <n v="5293.87"/>
  </r>
  <r>
    <x v="104"/>
    <s v="Free Travel"/>
    <x v="3"/>
    <n v="24240.22"/>
  </r>
  <r>
    <x v="104"/>
    <s v="On Demand"/>
    <x v="0"/>
    <n v="17614"/>
  </r>
  <r>
    <x v="104"/>
    <s v="School Student"/>
    <x v="0"/>
    <n v="1534585"/>
  </r>
  <r>
    <x v="104"/>
    <s v="School Student"/>
    <x v="1"/>
    <n v="11285"/>
  </r>
  <r>
    <x v="104"/>
    <s v="School Student"/>
    <x v="2"/>
    <n v="56176"/>
  </r>
  <r>
    <x v="104"/>
    <s v="School Student"/>
    <x v="4"/>
    <n v="305624.78000000003"/>
  </r>
  <r>
    <x v="104"/>
    <s v="School Student"/>
    <x v="3"/>
    <n v="982452.95"/>
  </r>
  <r>
    <x v="104"/>
    <s v="Senior/Pensioner"/>
    <x v="0"/>
    <n v="3435858"/>
  </r>
  <r>
    <x v="104"/>
    <s v="Senior/Pensioner"/>
    <x v="1"/>
    <n v="191235"/>
  </r>
  <r>
    <x v="104"/>
    <s v="Senior/Pensioner"/>
    <x v="2"/>
    <n v="496231"/>
  </r>
  <r>
    <x v="104"/>
    <s v="Senior/Pensioner"/>
    <x v="4"/>
    <n v="429627.03"/>
  </r>
  <r>
    <x v="104"/>
    <s v="Senior/Pensioner"/>
    <x v="3"/>
    <n v="2391300.0499999998"/>
  </r>
  <r>
    <x v="104"/>
    <s v="Sgl Trip Ferry Adult"/>
    <x v="1"/>
    <n v="23756"/>
  </r>
  <r>
    <x v="104"/>
    <s v="Sgl Trip Ferry Child/Youth"/>
    <x v="1"/>
    <n v="7662"/>
  </r>
  <r>
    <x v="104"/>
    <s v="Sgl Trip LR Adult"/>
    <x v="2"/>
    <n v="3415"/>
  </r>
  <r>
    <x v="104"/>
    <s v="Sgl Trip LR Child/Youth"/>
    <x v="2"/>
    <n v="1389"/>
  </r>
  <r>
    <x v="104"/>
    <s v="Sgl Trip Rail Adult"/>
    <x v="4"/>
    <n v="10873.88"/>
  </r>
  <r>
    <x v="104"/>
    <s v="Sgl Trip Rail Adult"/>
    <x v="3"/>
    <n v="72001.490000000005"/>
  </r>
  <r>
    <x v="104"/>
    <s v="Sgl Trip Rail Child/Youth"/>
    <x v="4"/>
    <n v="11209.89"/>
  </r>
  <r>
    <x v="104"/>
    <s v="Sgl Trip Rail Child/Youth"/>
    <x v="3"/>
    <n v="38052.86"/>
  </r>
  <r>
    <x v="104"/>
    <s v="UNKNOWN"/>
    <x v="0"/>
    <n v="101"/>
  </r>
  <r>
    <x v="104"/>
    <s v="UNKNOWN"/>
    <x v="2"/>
    <n v="3"/>
  </r>
  <r>
    <x v="104"/>
    <s v="UNKNOWN"/>
    <x v="4"/>
    <n v="6"/>
  </r>
  <r>
    <x v="104"/>
    <s v="UNKNOWN"/>
    <x v="3"/>
    <n v="140.08000000000001"/>
  </r>
  <r>
    <x v="105"/>
    <s v="Adult"/>
    <x v="0"/>
    <n v="7221852"/>
  </r>
  <r>
    <x v="105"/>
    <s v="Adult"/>
    <x v="1"/>
    <n v="336895"/>
  </r>
  <r>
    <x v="105"/>
    <s v="Adult"/>
    <x v="2"/>
    <n v="1261601"/>
  </r>
  <r>
    <x v="105"/>
    <s v="Adult"/>
    <x v="4"/>
    <n v="903121.96"/>
  </r>
  <r>
    <x v="105"/>
    <s v="Adult"/>
    <x v="3"/>
    <n v="11863005.380000001"/>
  </r>
  <r>
    <x v="105"/>
    <s v="Adult"/>
    <x v="5"/>
    <n v="8"/>
  </r>
  <r>
    <x v="105"/>
    <s v="CTP"/>
    <x v="0"/>
    <n v="7317814"/>
  </r>
  <r>
    <x v="105"/>
    <s v="CTP"/>
    <x v="1"/>
    <n v="628909"/>
  </r>
  <r>
    <x v="105"/>
    <s v="CTP"/>
    <x v="2"/>
    <n v="1476851"/>
  </r>
  <r>
    <x v="105"/>
    <s v="CTP"/>
    <x v="4"/>
    <n v="683397.57"/>
  </r>
  <r>
    <x v="105"/>
    <s v="CTP"/>
    <x v="3"/>
    <n v="10443161.970000001"/>
  </r>
  <r>
    <x v="105"/>
    <s v="CTP"/>
    <x v="5"/>
    <n v="15"/>
  </r>
  <r>
    <x v="105"/>
    <s v="Child/Youth"/>
    <x v="0"/>
    <n v="575066"/>
  </r>
  <r>
    <x v="105"/>
    <s v="Child/Youth"/>
    <x v="1"/>
    <n v="41729"/>
  </r>
  <r>
    <x v="105"/>
    <s v="Child/Youth"/>
    <x v="2"/>
    <n v="68746"/>
  </r>
  <r>
    <x v="105"/>
    <s v="Child/Youth"/>
    <x v="4"/>
    <n v="71907.87"/>
  </r>
  <r>
    <x v="105"/>
    <s v="Child/Youth"/>
    <x v="3"/>
    <n v="572794.22"/>
  </r>
  <r>
    <x v="105"/>
    <s v="Child/Youth"/>
    <x v="5"/>
    <n v="4"/>
  </r>
  <r>
    <x v="105"/>
    <s v="Concession"/>
    <x v="0"/>
    <n v="1013749"/>
  </r>
  <r>
    <x v="105"/>
    <s v="Concession"/>
    <x v="1"/>
    <n v="20889"/>
  </r>
  <r>
    <x v="105"/>
    <s v="Concession"/>
    <x v="2"/>
    <n v="242480"/>
  </r>
  <r>
    <x v="105"/>
    <s v="Concession"/>
    <x v="4"/>
    <n v="210095.47"/>
  </r>
  <r>
    <x v="105"/>
    <s v="Concession"/>
    <x v="3"/>
    <n v="1503788.81"/>
  </r>
  <r>
    <x v="105"/>
    <s v="Day Pass Child/Youth w/o SAF"/>
    <x v="0"/>
    <n v="37"/>
  </r>
  <r>
    <x v="105"/>
    <s v="Day Pass Child/Youth w/o SAF"/>
    <x v="1"/>
    <n v="102"/>
  </r>
  <r>
    <x v="105"/>
    <s v="Day Pass Child/Youth w/o SAF"/>
    <x v="2"/>
    <n v="2"/>
  </r>
  <r>
    <x v="105"/>
    <s v="Day Pass Child/Youth w/o SAF"/>
    <x v="4"/>
    <n v="30"/>
  </r>
  <r>
    <x v="105"/>
    <s v="Day Pass Child/Youth w/o SAF"/>
    <x v="3"/>
    <n v="109"/>
  </r>
  <r>
    <x v="105"/>
    <s v="Day Pass without SAF"/>
    <x v="0"/>
    <n v="992"/>
  </r>
  <r>
    <x v="105"/>
    <s v="Day Pass without SAF"/>
    <x v="1"/>
    <n v="33"/>
  </r>
  <r>
    <x v="105"/>
    <s v="Day Pass without SAF"/>
    <x v="2"/>
    <n v="52"/>
  </r>
  <r>
    <x v="105"/>
    <s v="Day Pass without SAF"/>
    <x v="4"/>
    <n v="7.4"/>
  </r>
  <r>
    <x v="105"/>
    <s v="Day Pass without SAF"/>
    <x v="3"/>
    <n v="1032.5999999999999"/>
  </r>
  <r>
    <x v="105"/>
    <s v="Employee"/>
    <x v="0"/>
    <n v="74711"/>
  </r>
  <r>
    <x v="105"/>
    <s v="Employee"/>
    <x v="1"/>
    <n v="4250"/>
  </r>
  <r>
    <x v="105"/>
    <s v="Employee"/>
    <x v="2"/>
    <n v="10780"/>
  </r>
  <r>
    <x v="105"/>
    <s v="Employee"/>
    <x v="4"/>
    <n v="10120.32"/>
  </r>
  <r>
    <x v="105"/>
    <s v="Employee"/>
    <x v="3"/>
    <n v="221653.45"/>
  </r>
  <r>
    <x v="105"/>
    <s v="Employee"/>
    <x v="5"/>
    <n v="3"/>
  </r>
  <r>
    <x v="105"/>
    <s v="Free Travel"/>
    <x v="0"/>
    <n v="28442"/>
  </r>
  <r>
    <x v="105"/>
    <s v="Free Travel"/>
    <x v="1"/>
    <n v="1614"/>
  </r>
  <r>
    <x v="105"/>
    <s v="Free Travel"/>
    <x v="2"/>
    <n v="3119"/>
  </r>
  <r>
    <x v="105"/>
    <s v="Free Travel"/>
    <x v="4"/>
    <n v="1757.4"/>
  </r>
  <r>
    <x v="105"/>
    <s v="Free Travel"/>
    <x v="3"/>
    <n v="26528.400000000001"/>
  </r>
  <r>
    <x v="105"/>
    <s v="On Demand"/>
    <x v="0"/>
    <n v="22170"/>
  </r>
  <r>
    <x v="105"/>
    <s v="School Student"/>
    <x v="0"/>
    <n v="1544088"/>
  </r>
  <r>
    <x v="105"/>
    <s v="School Student"/>
    <x v="1"/>
    <n v="11119"/>
  </r>
  <r>
    <x v="105"/>
    <s v="School Student"/>
    <x v="2"/>
    <n v="50533"/>
  </r>
  <r>
    <x v="105"/>
    <s v="School Student"/>
    <x v="4"/>
    <n v="197562.48"/>
  </r>
  <r>
    <x v="105"/>
    <s v="School Student"/>
    <x v="3"/>
    <n v="1135937.6299999999"/>
  </r>
  <r>
    <x v="105"/>
    <s v="Senior/Pensioner"/>
    <x v="0"/>
    <n v="3365431"/>
  </r>
  <r>
    <x v="105"/>
    <s v="Senior/Pensioner"/>
    <x v="1"/>
    <n v="173890"/>
  </r>
  <r>
    <x v="105"/>
    <s v="Senior/Pensioner"/>
    <x v="2"/>
    <n v="414428"/>
  </r>
  <r>
    <x v="105"/>
    <s v="Senior/Pensioner"/>
    <x v="4"/>
    <n v="149710.91"/>
  </r>
  <r>
    <x v="105"/>
    <s v="Senior/Pensioner"/>
    <x v="3"/>
    <n v="2571618.63"/>
  </r>
  <r>
    <x v="105"/>
    <s v="Sgl Trip Ferry Adult"/>
    <x v="1"/>
    <n v="15287"/>
  </r>
  <r>
    <x v="105"/>
    <s v="Sgl Trip Ferry Child/Youth"/>
    <x v="1"/>
    <n v="5858"/>
  </r>
  <r>
    <x v="105"/>
    <s v="Sgl Trip LR Adult"/>
    <x v="2"/>
    <n v="2840"/>
  </r>
  <r>
    <x v="105"/>
    <s v="Sgl Trip LR Child/Youth"/>
    <x v="2"/>
    <n v="956"/>
  </r>
  <r>
    <x v="105"/>
    <s v="Sgl Trip Rail Adult"/>
    <x v="4"/>
    <n v="3640.03"/>
  </r>
  <r>
    <x v="105"/>
    <s v="Sgl Trip Rail Adult"/>
    <x v="3"/>
    <n v="78536"/>
  </r>
  <r>
    <x v="105"/>
    <s v="Sgl Trip Rail Adult"/>
    <x v="5"/>
    <n v="3"/>
  </r>
  <r>
    <x v="105"/>
    <s v="Sgl Trip Rail Child/Youth"/>
    <x v="4"/>
    <n v="3879.78"/>
  </r>
  <r>
    <x v="105"/>
    <s v="Sgl Trip Rail Child/Youth"/>
    <x v="3"/>
    <n v="37369.24"/>
  </r>
  <r>
    <x v="105"/>
    <s v="Sgl Trip Rail Child/Youth"/>
    <x v="5"/>
    <n v="8"/>
  </r>
  <r>
    <x v="105"/>
    <s v="UNKNOWN"/>
    <x v="0"/>
    <n v="262"/>
  </r>
  <r>
    <x v="105"/>
    <s v="UNKNOWN"/>
    <x v="1"/>
    <n v="2"/>
  </r>
  <r>
    <x v="105"/>
    <s v="UNKNOWN"/>
    <x v="2"/>
    <n v="1"/>
  </r>
  <r>
    <x v="105"/>
    <s v="UNKNOWN"/>
    <x v="4"/>
    <n v="18"/>
  </r>
  <r>
    <x v="105"/>
    <s v="UNKNOWN"/>
    <x v="3"/>
    <n v="284"/>
  </r>
  <r>
    <x v="106"/>
    <s v="Adult"/>
    <x v="0"/>
    <n v="6628273"/>
  </r>
  <r>
    <x v="106"/>
    <s v="Adult"/>
    <x v="1"/>
    <n v="317131"/>
  </r>
  <r>
    <x v="106"/>
    <s v="Adult"/>
    <x v="2"/>
    <n v="1280870"/>
  </r>
  <r>
    <x v="106"/>
    <s v="Adult"/>
    <x v="4"/>
    <n v="2328312.14"/>
  </r>
  <r>
    <x v="106"/>
    <s v="Adult"/>
    <x v="3"/>
    <n v="9299381.5500000007"/>
  </r>
  <r>
    <x v="106"/>
    <s v="Adult"/>
    <x v="5"/>
    <n v="335"/>
  </r>
  <r>
    <x v="106"/>
    <s v="CTP"/>
    <x v="0"/>
    <n v="7906266"/>
  </r>
  <r>
    <x v="106"/>
    <s v="CTP"/>
    <x v="1"/>
    <n v="730569"/>
  </r>
  <r>
    <x v="106"/>
    <s v="CTP"/>
    <x v="2"/>
    <n v="1676854"/>
  </r>
  <r>
    <x v="106"/>
    <s v="CTP"/>
    <x v="4"/>
    <n v="2526395.23"/>
  </r>
  <r>
    <x v="106"/>
    <s v="CTP"/>
    <x v="3"/>
    <n v="9362066.5399999991"/>
  </r>
  <r>
    <x v="106"/>
    <s v="CTP"/>
    <x v="5"/>
    <n v="56"/>
  </r>
  <r>
    <x v="106"/>
    <s v="Child/Youth"/>
    <x v="0"/>
    <n v="559448"/>
  </r>
  <r>
    <x v="106"/>
    <s v="Child/Youth"/>
    <x v="1"/>
    <n v="47478"/>
  </r>
  <r>
    <x v="106"/>
    <s v="Child/Youth"/>
    <x v="2"/>
    <n v="89889"/>
  </r>
  <r>
    <x v="106"/>
    <s v="Child/Youth"/>
    <x v="4"/>
    <n v="182350.6"/>
  </r>
  <r>
    <x v="106"/>
    <s v="Child/Youth"/>
    <x v="3"/>
    <n v="529030.19999999995"/>
  </r>
  <r>
    <x v="106"/>
    <s v="Child/Youth"/>
    <x v="5"/>
    <n v="36"/>
  </r>
  <r>
    <x v="106"/>
    <s v="Concession"/>
    <x v="0"/>
    <n v="1097300"/>
  </r>
  <r>
    <x v="106"/>
    <s v="Concession"/>
    <x v="1"/>
    <n v="23816"/>
  </r>
  <r>
    <x v="106"/>
    <s v="Concession"/>
    <x v="2"/>
    <n v="237293"/>
  </r>
  <r>
    <x v="106"/>
    <s v="Concession"/>
    <x v="4"/>
    <n v="464539.91"/>
  </r>
  <r>
    <x v="106"/>
    <s v="Concession"/>
    <x v="3"/>
    <n v="1330919.83"/>
  </r>
  <r>
    <x v="106"/>
    <s v="Concession"/>
    <x v="5"/>
    <n v="22"/>
  </r>
  <r>
    <x v="106"/>
    <s v="Day Pass Child/Youth w/o SAF"/>
    <x v="0"/>
    <n v="14"/>
  </r>
  <r>
    <x v="106"/>
    <s v="Day Pass Child/Youth w/o SAF"/>
    <x v="1"/>
    <n v="121"/>
  </r>
  <r>
    <x v="106"/>
    <s v="Day Pass Child/Youth w/o SAF"/>
    <x v="2"/>
    <n v="85"/>
  </r>
  <r>
    <x v="106"/>
    <s v="Day Pass Child/Youth w/o SAF"/>
    <x v="4"/>
    <n v="1"/>
  </r>
  <r>
    <x v="106"/>
    <s v="Day Pass Child/Youth w/o SAF"/>
    <x v="3"/>
    <n v="92"/>
  </r>
  <r>
    <x v="106"/>
    <s v="Day Pass without SAF"/>
    <x v="0"/>
    <n v="1128"/>
  </r>
  <r>
    <x v="106"/>
    <s v="Day Pass without SAF"/>
    <x v="1"/>
    <n v="28"/>
  </r>
  <r>
    <x v="106"/>
    <s v="Day Pass without SAF"/>
    <x v="2"/>
    <n v="99"/>
  </r>
  <r>
    <x v="106"/>
    <s v="Day Pass without SAF"/>
    <x v="4"/>
    <n v="58.69"/>
  </r>
  <r>
    <x v="106"/>
    <s v="Day Pass without SAF"/>
    <x v="3"/>
    <n v="849.38"/>
  </r>
  <r>
    <x v="106"/>
    <s v="Employee"/>
    <x v="0"/>
    <n v="80800"/>
  </r>
  <r>
    <x v="106"/>
    <s v="Employee"/>
    <x v="1"/>
    <n v="4581"/>
  </r>
  <r>
    <x v="106"/>
    <s v="Employee"/>
    <x v="2"/>
    <n v="14173"/>
  </r>
  <r>
    <x v="106"/>
    <s v="Employee"/>
    <x v="4"/>
    <n v="39705.25"/>
  </r>
  <r>
    <x v="106"/>
    <s v="Employee"/>
    <x v="3"/>
    <n v="184745.31"/>
  </r>
  <r>
    <x v="106"/>
    <s v="Employee"/>
    <x v="5"/>
    <n v="8"/>
  </r>
  <r>
    <x v="106"/>
    <s v="Free Travel"/>
    <x v="0"/>
    <n v="29508"/>
  </r>
  <r>
    <x v="106"/>
    <s v="Free Travel"/>
    <x v="1"/>
    <n v="1716"/>
  </r>
  <r>
    <x v="106"/>
    <s v="Free Travel"/>
    <x v="2"/>
    <n v="3757"/>
  </r>
  <r>
    <x v="106"/>
    <s v="Free Travel"/>
    <x v="4"/>
    <n v="5412.5"/>
  </r>
  <r>
    <x v="106"/>
    <s v="Free Travel"/>
    <x v="3"/>
    <n v="22216"/>
  </r>
  <r>
    <x v="106"/>
    <s v="Free Travel"/>
    <x v="5"/>
    <n v="2"/>
  </r>
  <r>
    <x v="106"/>
    <s v="On Demand"/>
    <x v="0"/>
    <n v="20845"/>
  </r>
  <r>
    <x v="106"/>
    <s v="School Student"/>
    <x v="0"/>
    <n v="1420082"/>
  </r>
  <r>
    <x v="106"/>
    <s v="School Student"/>
    <x v="1"/>
    <n v="11030"/>
  </r>
  <r>
    <x v="106"/>
    <s v="School Student"/>
    <x v="2"/>
    <n v="57707"/>
  </r>
  <r>
    <x v="106"/>
    <s v="School Student"/>
    <x v="4"/>
    <n v="316913.69"/>
  </r>
  <r>
    <x v="106"/>
    <s v="School Student"/>
    <x v="3"/>
    <n v="908005.42"/>
  </r>
  <r>
    <x v="106"/>
    <s v="Senior/Pensioner"/>
    <x v="0"/>
    <n v="3295072"/>
  </r>
  <r>
    <x v="106"/>
    <s v="Senior/Pensioner"/>
    <x v="1"/>
    <n v="172417"/>
  </r>
  <r>
    <x v="106"/>
    <s v="Senior/Pensioner"/>
    <x v="2"/>
    <n v="483824"/>
  </r>
  <r>
    <x v="106"/>
    <s v="Senior/Pensioner"/>
    <x v="4"/>
    <n v="438988.27"/>
  </r>
  <r>
    <x v="106"/>
    <s v="Senior/Pensioner"/>
    <x v="3"/>
    <n v="2291483.88"/>
  </r>
  <r>
    <x v="106"/>
    <s v="Senior/Pensioner"/>
    <x v="5"/>
    <n v="171"/>
  </r>
  <r>
    <x v="106"/>
    <s v="Sgl Trip Ferry Adult"/>
    <x v="1"/>
    <n v="14721"/>
  </r>
  <r>
    <x v="106"/>
    <s v="Sgl Trip Ferry Child/Youth"/>
    <x v="1"/>
    <n v="5956"/>
  </r>
  <r>
    <x v="106"/>
    <s v="Sgl Trip LR Adult"/>
    <x v="2"/>
    <n v="2972"/>
  </r>
  <r>
    <x v="106"/>
    <s v="Sgl Trip LR Child/Youth"/>
    <x v="2"/>
    <n v="1163"/>
  </r>
  <r>
    <x v="106"/>
    <s v="Sgl Trip Rail Adult"/>
    <x v="4"/>
    <n v="9825.2999999999993"/>
  </r>
  <r>
    <x v="106"/>
    <s v="Sgl Trip Rail Adult"/>
    <x v="3"/>
    <n v="61619.91"/>
  </r>
  <r>
    <x v="106"/>
    <s v="Sgl Trip Rail Child/Youth"/>
    <x v="4"/>
    <n v="11854.02"/>
  </r>
  <r>
    <x v="106"/>
    <s v="Sgl Trip Rail Child/Youth"/>
    <x v="3"/>
    <n v="36191.85"/>
  </r>
  <r>
    <x v="106"/>
    <s v="UNKNOWN"/>
    <x v="0"/>
    <n v="48"/>
  </r>
  <r>
    <x v="106"/>
    <s v="UNKNOWN"/>
    <x v="4"/>
    <n v="0.02"/>
  </r>
  <r>
    <x v="106"/>
    <s v="UNKNOWN"/>
    <x v="3"/>
    <n v="47"/>
  </r>
  <r>
    <x v="107"/>
    <s v="Adult"/>
    <x v="0"/>
    <n v="6851729"/>
  </r>
  <r>
    <x v="107"/>
    <s v="Adult"/>
    <x v="1"/>
    <n v="371637"/>
  </r>
  <r>
    <x v="107"/>
    <s v="Adult"/>
    <x v="2"/>
    <n v="958841"/>
  </r>
  <r>
    <x v="107"/>
    <s v="Adult"/>
    <x v="4"/>
    <n v="2111843.1"/>
  </r>
  <r>
    <x v="107"/>
    <s v="Adult"/>
    <x v="3"/>
    <n v="10186058.130000001"/>
  </r>
  <r>
    <x v="107"/>
    <s v="CTP"/>
    <x v="0"/>
    <n v="7649188"/>
  </r>
  <r>
    <x v="107"/>
    <s v="CTP"/>
    <x v="1"/>
    <n v="843625"/>
  </r>
  <r>
    <x v="107"/>
    <s v="CTP"/>
    <x v="2"/>
    <n v="1242894"/>
  </r>
  <r>
    <x v="107"/>
    <s v="CTP"/>
    <x v="4"/>
    <n v="2174210.09"/>
  </r>
  <r>
    <x v="107"/>
    <s v="CTP"/>
    <x v="3"/>
    <n v="9637641.5399999991"/>
  </r>
  <r>
    <x v="107"/>
    <s v="Child/Youth"/>
    <x v="0"/>
    <n v="601409"/>
  </r>
  <r>
    <x v="107"/>
    <s v="Child/Youth"/>
    <x v="1"/>
    <n v="58552"/>
  </r>
  <r>
    <x v="107"/>
    <s v="Child/Youth"/>
    <x v="2"/>
    <n v="64216"/>
  </r>
  <r>
    <x v="107"/>
    <s v="Child/Youth"/>
    <x v="4"/>
    <n v="169916.08"/>
  </r>
  <r>
    <x v="107"/>
    <s v="Child/Youth"/>
    <x v="3"/>
    <n v="585647.02"/>
  </r>
  <r>
    <x v="107"/>
    <s v="Concession"/>
    <x v="0"/>
    <n v="845935"/>
  </r>
  <r>
    <x v="107"/>
    <s v="Concession"/>
    <x v="1"/>
    <n v="21162"/>
  </r>
  <r>
    <x v="107"/>
    <s v="Concession"/>
    <x v="2"/>
    <n v="183410"/>
  </r>
  <r>
    <x v="107"/>
    <s v="Concession"/>
    <x v="4"/>
    <n v="298977.98"/>
  </r>
  <r>
    <x v="107"/>
    <s v="Concession"/>
    <x v="3"/>
    <n v="1047764.07"/>
  </r>
  <r>
    <x v="107"/>
    <s v="Day Pass Child/Youth w/o SAF"/>
    <x v="0"/>
    <n v="21"/>
  </r>
  <r>
    <x v="107"/>
    <s v="Day Pass Child/Youth w/o SAF"/>
    <x v="2"/>
    <n v="1"/>
  </r>
  <r>
    <x v="107"/>
    <s v="Day Pass Child/Youth w/o SAF"/>
    <x v="4"/>
    <n v="0"/>
  </r>
  <r>
    <x v="107"/>
    <s v="Day Pass Child/Youth w/o SAF"/>
    <x v="3"/>
    <n v="54"/>
  </r>
  <r>
    <x v="107"/>
    <s v="Day Pass without SAF"/>
    <x v="0"/>
    <n v="1025"/>
  </r>
  <r>
    <x v="107"/>
    <s v="Day Pass without SAF"/>
    <x v="1"/>
    <n v="23"/>
  </r>
  <r>
    <x v="107"/>
    <s v="Day Pass without SAF"/>
    <x v="2"/>
    <n v="43"/>
  </r>
  <r>
    <x v="107"/>
    <s v="Day Pass without SAF"/>
    <x v="4"/>
    <n v="32.979999999999997"/>
  </r>
  <r>
    <x v="107"/>
    <s v="Day Pass without SAF"/>
    <x v="3"/>
    <n v="959.03"/>
  </r>
  <r>
    <x v="107"/>
    <s v="Employee"/>
    <x v="0"/>
    <n v="75587"/>
  </r>
  <r>
    <x v="107"/>
    <s v="Employee"/>
    <x v="1"/>
    <n v="4629"/>
  </r>
  <r>
    <x v="107"/>
    <s v="Employee"/>
    <x v="2"/>
    <n v="8633"/>
  </r>
  <r>
    <x v="107"/>
    <s v="Employee"/>
    <x v="4"/>
    <n v="29374.65"/>
  </r>
  <r>
    <x v="107"/>
    <s v="Employee"/>
    <x v="3"/>
    <n v="197965.77"/>
  </r>
  <r>
    <x v="107"/>
    <s v="Free Travel"/>
    <x v="0"/>
    <n v="30324"/>
  </r>
  <r>
    <x v="107"/>
    <s v="Free Travel"/>
    <x v="1"/>
    <n v="2013"/>
  </r>
  <r>
    <x v="107"/>
    <s v="Free Travel"/>
    <x v="2"/>
    <n v="2754"/>
  </r>
  <r>
    <x v="107"/>
    <s v="Free Travel"/>
    <x v="4"/>
    <n v="5049.4399999999996"/>
  </r>
  <r>
    <x v="107"/>
    <s v="Free Travel"/>
    <x v="3"/>
    <n v="24147.31"/>
  </r>
  <r>
    <x v="107"/>
    <s v="School Student"/>
    <x v="0"/>
    <n v="1203385"/>
  </r>
  <r>
    <x v="107"/>
    <s v="School Student"/>
    <x v="1"/>
    <n v="10732"/>
  </r>
  <r>
    <x v="107"/>
    <s v="School Student"/>
    <x v="2"/>
    <n v="26673"/>
  </r>
  <r>
    <x v="107"/>
    <s v="School Student"/>
    <x v="4"/>
    <n v="254256.9"/>
  </r>
  <r>
    <x v="107"/>
    <s v="School Student"/>
    <x v="3"/>
    <n v="840464.96"/>
  </r>
  <r>
    <x v="107"/>
    <s v="Senior/Pensioner"/>
    <x v="0"/>
    <n v="3397581"/>
  </r>
  <r>
    <x v="107"/>
    <s v="Senior/Pensioner"/>
    <x v="1"/>
    <n v="186741"/>
  </r>
  <r>
    <x v="107"/>
    <s v="Senior/Pensioner"/>
    <x v="2"/>
    <n v="334334"/>
  </r>
  <r>
    <x v="107"/>
    <s v="Senior/Pensioner"/>
    <x v="4"/>
    <n v="406178.8"/>
  </r>
  <r>
    <x v="107"/>
    <s v="Senior/Pensioner"/>
    <x v="3"/>
    <n v="2406584.1800000002"/>
  </r>
  <r>
    <x v="107"/>
    <s v="Sgl Trip Ferry Adult"/>
    <x v="1"/>
    <n v="23008"/>
  </r>
  <r>
    <x v="107"/>
    <s v="Sgl Trip Ferry Child/Youth"/>
    <x v="1"/>
    <n v="7529"/>
  </r>
  <r>
    <x v="107"/>
    <s v="Sgl Trip LR Adult"/>
    <x v="2"/>
    <n v="2971"/>
  </r>
  <r>
    <x v="107"/>
    <s v="Sgl Trip LR Child/Youth"/>
    <x v="2"/>
    <n v="1083"/>
  </r>
  <r>
    <x v="107"/>
    <s v="Sgl Trip Rail Adult"/>
    <x v="4"/>
    <n v="10781.89"/>
  </r>
  <r>
    <x v="107"/>
    <s v="Sgl Trip Rail Adult"/>
    <x v="3"/>
    <n v="84223.72"/>
  </r>
  <r>
    <x v="107"/>
    <s v="Sgl Trip Rail Child/Youth"/>
    <x v="4"/>
    <n v="9816.15"/>
  </r>
  <r>
    <x v="107"/>
    <s v="Sgl Trip Rail Child/Youth"/>
    <x v="3"/>
    <n v="38469.57"/>
  </r>
  <r>
    <x v="107"/>
    <s v="UNKNOWN"/>
    <x v="0"/>
    <n v="82"/>
  </r>
  <r>
    <x v="107"/>
    <s v="UNKNOWN"/>
    <x v="4"/>
    <n v="7.87"/>
  </r>
  <r>
    <x v="107"/>
    <s v="UNKNOWN"/>
    <x v="3"/>
    <n v="109.24"/>
  </r>
  <r>
    <x v="108"/>
    <s v="Adult"/>
    <x v="0"/>
    <n v="7053562"/>
  </r>
  <r>
    <x v="108"/>
    <s v="Adult"/>
    <x v="1"/>
    <n v="408097"/>
  </r>
  <r>
    <x v="108"/>
    <s v="Adult"/>
    <x v="2"/>
    <n v="1307363"/>
  </r>
  <r>
    <x v="108"/>
    <s v="Adult"/>
    <x v="4"/>
    <n v="2269269.37"/>
  </r>
  <r>
    <x v="108"/>
    <s v="Adult"/>
    <x v="3"/>
    <n v="10627470.039999999"/>
  </r>
  <r>
    <x v="108"/>
    <s v="CTP"/>
    <x v="0"/>
    <n v="7714601"/>
  </r>
  <r>
    <x v="108"/>
    <s v="CTP"/>
    <x v="1"/>
    <n v="816379"/>
  </r>
  <r>
    <x v="108"/>
    <s v="CTP"/>
    <x v="2"/>
    <n v="1636626"/>
  </r>
  <r>
    <x v="108"/>
    <s v="CTP"/>
    <x v="4"/>
    <n v="2297414.6"/>
  </r>
  <r>
    <x v="108"/>
    <s v="CTP"/>
    <x v="3"/>
    <n v="9858128.5399999991"/>
  </r>
  <r>
    <x v="108"/>
    <s v="Child/Youth"/>
    <x v="0"/>
    <n v="767597"/>
  </r>
  <r>
    <x v="108"/>
    <s v="Child/Youth"/>
    <x v="1"/>
    <n v="103478"/>
  </r>
  <r>
    <x v="108"/>
    <s v="Child/Youth"/>
    <x v="2"/>
    <n v="119546"/>
  </r>
  <r>
    <x v="108"/>
    <s v="Child/Youth"/>
    <x v="4"/>
    <n v="247324.36"/>
  </r>
  <r>
    <x v="108"/>
    <s v="Child/Youth"/>
    <x v="3"/>
    <n v="785404.43"/>
  </r>
  <r>
    <x v="108"/>
    <s v="Concession"/>
    <x v="0"/>
    <n v="1017636"/>
  </r>
  <r>
    <x v="108"/>
    <s v="Concession"/>
    <x v="1"/>
    <n v="24163"/>
  </r>
  <r>
    <x v="108"/>
    <s v="Concession"/>
    <x v="2"/>
    <n v="321353"/>
  </r>
  <r>
    <x v="108"/>
    <s v="Concession"/>
    <x v="4"/>
    <n v="419412.92"/>
  </r>
  <r>
    <x v="108"/>
    <s v="Concession"/>
    <x v="3"/>
    <n v="1367423.46"/>
  </r>
  <r>
    <x v="108"/>
    <s v="Day Pass Child/Youth w/o SAF"/>
    <x v="0"/>
    <n v="47"/>
  </r>
  <r>
    <x v="108"/>
    <s v="Day Pass Child/Youth w/o SAF"/>
    <x v="1"/>
    <n v="71"/>
  </r>
  <r>
    <x v="108"/>
    <s v="Day Pass Child/Youth w/o SAF"/>
    <x v="2"/>
    <n v="8"/>
  </r>
  <r>
    <x v="108"/>
    <s v="Day Pass Child/Youth w/o SAF"/>
    <x v="3"/>
    <n v="141"/>
  </r>
  <r>
    <x v="108"/>
    <s v="Day Pass without SAF"/>
    <x v="0"/>
    <n v="1215"/>
  </r>
  <r>
    <x v="108"/>
    <s v="Day Pass without SAF"/>
    <x v="1"/>
    <n v="89"/>
  </r>
  <r>
    <x v="108"/>
    <s v="Day Pass without SAF"/>
    <x v="2"/>
    <n v="90"/>
  </r>
  <r>
    <x v="108"/>
    <s v="Day Pass without SAF"/>
    <x v="4"/>
    <n v="74.25"/>
  </r>
  <r>
    <x v="108"/>
    <s v="Day Pass without SAF"/>
    <x v="3"/>
    <n v="1097.42"/>
  </r>
  <r>
    <x v="108"/>
    <s v="Employee"/>
    <x v="0"/>
    <n v="76815"/>
  </r>
  <r>
    <x v="108"/>
    <s v="Employee"/>
    <x v="1"/>
    <n v="5062"/>
  </r>
  <r>
    <x v="108"/>
    <s v="Employee"/>
    <x v="2"/>
    <n v="12005"/>
  </r>
  <r>
    <x v="108"/>
    <s v="Employee"/>
    <x v="4"/>
    <n v="31268.55"/>
  </r>
  <r>
    <x v="108"/>
    <s v="Employee"/>
    <x v="3"/>
    <n v="205893.54"/>
  </r>
  <r>
    <x v="108"/>
    <s v="Free Travel"/>
    <x v="0"/>
    <n v="30366"/>
  </r>
  <r>
    <x v="108"/>
    <s v="Free Travel"/>
    <x v="1"/>
    <n v="2160"/>
  </r>
  <r>
    <x v="108"/>
    <s v="Free Travel"/>
    <x v="2"/>
    <n v="3385"/>
  </r>
  <r>
    <x v="108"/>
    <s v="Free Travel"/>
    <x v="4"/>
    <n v="5040.3"/>
  </r>
  <r>
    <x v="108"/>
    <s v="Free Travel"/>
    <x v="3"/>
    <n v="24328.59"/>
  </r>
  <r>
    <x v="108"/>
    <s v="On Demand"/>
    <x v="0"/>
    <n v="3557"/>
  </r>
  <r>
    <x v="108"/>
    <s v="School Student"/>
    <x v="0"/>
    <n v="826006"/>
  </r>
  <r>
    <x v="108"/>
    <s v="School Student"/>
    <x v="1"/>
    <n v="6241"/>
  </r>
  <r>
    <x v="108"/>
    <s v="School Student"/>
    <x v="2"/>
    <n v="23328"/>
  </r>
  <r>
    <x v="108"/>
    <s v="School Student"/>
    <x v="4"/>
    <n v="170905.61"/>
  </r>
  <r>
    <x v="108"/>
    <s v="School Student"/>
    <x v="3"/>
    <n v="578496.24"/>
  </r>
  <r>
    <x v="108"/>
    <s v="Senior/Pensioner"/>
    <x v="0"/>
    <n v="3446156"/>
  </r>
  <r>
    <x v="108"/>
    <s v="Senior/Pensioner"/>
    <x v="1"/>
    <n v="199363"/>
  </r>
  <r>
    <x v="108"/>
    <s v="Senior/Pensioner"/>
    <x v="2"/>
    <n v="438677"/>
  </r>
  <r>
    <x v="108"/>
    <s v="Senior/Pensioner"/>
    <x v="4"/>
    <n v="442110.89"/>
  </r>
  <r>
    <x v="108"/>
    <s v="Senior/Pensioner"/>
    <x v="3"/>
    <n v="2500547.9300000002"/>
  </r>
  <r>
    <x v="108"/>
    <s v="Sgl Trip Ferry Adult"/>
    <x v="1"/>
    <n v="23798"/>
  </r>
  <r>
    <x v="108"/>
    <s v="Sgl Trip Ferry Child/Youth"/>
    <x v="1"/>
    <n v="13260"/>
  </r>
  <r>
    <x v="108"/>
    <s v="Sgl Trip LR Adult"/>
    <x v="2"/>
    <n v="3841"/>
  </r>
  <r>
    <x v="108"/>
    <s v="Sgl Trip LR Child/Youth"/>
    <x v="2"/>
    <n v="1960"/>
  </r>
  <r>
    <x v="108"/>
    <s v="Sgl Trip Rail Adult"/>
    <x v="4"/>
    <n v="10751.94"/>
  </r>
  <r>
    <x v="108"/>
    <s v="Sgl Trip Rail Adult"/>
    <x v="3"/>
    <n v="80540.45"/>
  </r>
  <r>
    <x v="108"/>
    <s v="Sgl Trip Rail Child/Youth"/>
    <x v="4"/>
    <n v="13969.17"/>
  </r>
  <r>
    <x v="108"/>
    <s v="Sgl Trip Rail Child/Youth"/>
    <x v="3"/>
    <n v="51393.34"/>
  </r>
  <r>
    <x v="108"/>
    <s v="UNKNOWN"/>
    <x v="0"/>
    <n v="82"/>
  </r>
  <r>
    <x v="108"/>
    <s v="UNKNOWN"/>
    <x v="1"/>
    <n v="2"/>
  </r>
  <r>
    <x v="108"/>
    <s v="UNKNOWN"/>
    <x v="2"/>
    <n v="1"/>
  </r>
  <r>
    <x v="108"/>
    <s v="UNKNOWN"/>
    <x v="4"/>
    <n v="6.7"/>
  </r>
  <r>
    <x v="108"/>
    <s v="UNKNOWN"/>
    <x v="3"/>
    <n v="78.94"/>
  </r>
  <r>
    <x v="109"/>
    <s v="Adult"/>
    <x v="0"/>
    <n v="6791044"/>
  </r>
  <r>
    <x v="109"/>
    <s v="Adult"/>
    <x v="1"/>
    <n v="357380"/>
  </r>
  <r>
    <x v="109"/>
    <s v="Adult"/>
    <x v="2"/>
    <n v="1194986"/>
  </r>
  <r>
    <x v="109"/>
    <s v="Adult"/>
    <x v="4"/>
    <n v="2030403.08"/>
  </r>
  <r>
    <x v="109"/>
    <s v="Adult"/>
    <x v="3"/>
    <n v="10032585.93"/>
  </r>
  <r>
    <x v="109"/>
    <s v="CTP"/>
    <x v="0"/>
    <n v="7093109"/>
  </r>
  <r>
    <x v="109"/>
    <s v="CTP"/>
    <x v="1"/>
    <n v="717003"/>
  </r>
  <r>
    <x v="109"/>
    <s v="CTP"/>
    <x v="2"/>
    <n v="1449325"/>
  </r>
  <r>
    <x v="109"/>
    <s v="CTP"/>
    <x v="4"/>
    <n v="2007227.05"/>
  </r>
  <r>
    <x v="109"/>
    <s v="CTP"/>
    <x v="3"/>
    <n v="8940245.5700000003"/>
  </r>
  <r>
    <x v="109"/>
    <s v="Child/Youth"/>
    <x v="0"/>
    <n v="587333"/>
  </r>
  <r>
    <x v="109"/>
    <s v="Child/Youth"/>
    <x v="1"/>
    <n v="66671"/>
  </r>
  <r>
    <x v="109"/>
    <s v="Child/Youth"/>
    <x v="2"/>
    <n v="88609"/>
  </r>
  <r>
    <x v="109"/>
    <s v="Child/Youth"/>
    <x v="4"/>
    <n v="170479.58"/>
  </r>
  <r>
    <x v="109"/>
    <s v="Child/Youth"/>
    <x v="3"/>
    <n v="526028.15"/>
  </r>
  <r>
    <x v="109"/>
    <s v="Concession"/>
    <x v="0"/>
    <n v="1022019"/>
  </r>
  <r>
    <x v="109"/>
    <s v="Concession"/>
    <x v="1"/>
    <n v="23338"/>
  </r>
  <r>
    <x v="109"/>
    <s v="Concession"/>
    <x v="2"/>
    <n v="304558"/>
  </r>
  <r>
    <x v="109"/>
    <s v="Concession"/>
    <x v="4"/>
    <n v="381653.96"/>
  </r>
  <r>
    <x v="109"/>
    <s v="Concession"/>
    <x v="3"/>
    <n v="1375668.24"/>
  </r>
  <r>
    <x v="109"/>
    <s v="Day Pass Child/Youth w/o SAF"/>
    <x v="0"/>
    <n v="34"/>
  </r>
  <r>
    <x v="109"/>
    <s v="Day Pass Child/Youth w/o SAF"/>
    <x v="1"/>
    <n v="79"/>
  </r>
  <r>
    <x v="109"/>
    <s v="Day Pass Child/Youth w/o SAF"/>
    <x v="4"/>
    <n v="6"/>
  </r>
  <r>
    <x v="109"/>
    <s v="Day Pass Child/Youth w/o SAF"/>
    <x v="3"/>
    <n v="52"/>
  </r>
  <r>
    <x v="109"/>
    <s v="Day Pass without SAF"/>
    <x v="0"/>
    <n v="1272"/>
  </r>
  <r>
    <x v="109"/>
    <s v="Day Pass without SAF"/>
    <x v="1"/>
    <n v="66"/>
  </r>
  <r>
    <x v="109"/>
    <s v="Day Pass without SAF"/>
    <x v="2"/>
    <n v="62"/>
  </r>
  <r>
    <x v="109"/>
    <s v="Day Pass without SAF"/>
    <x v="4"/>
    <n v="59.75"/>
  </r>
  <r>
    <x v="109"/>
    <s v="Day Pass without SAF"/>
    <x v="3"/>
    <n v="923.48"/>
  </r>
  <r>
    <x v="109"/>
    <s v="Employee"/>
    <x v="0"/>
    <n v="72709"/>
  </r>
  <r>
    <x v="109"/>
    <s v="Employee"/>
    <x v="1"/>
    <n v="4624"/>
  </r>
  <r>
    <x v="109"/>
    <s v="Employee"/>
    <x v="2"/>
    <n v="10126"/>
  </r>
  <r>
    <x v="109"/>
    <s v="Employee"/>
    <x v="4"/>
    <n v="29372"/>
  </r>
  <r>
    <x v="109"/>
    <s v="Employee"/>
    <x v="3"/>
    <n v="190974.46"/>
  </r>
  <r>
    <x v="109"/>
    <s v="Free Travel"/>
    <x v="0"/>
    <n v="29723"/>
  </r>
  <r>
    <x v="109"/>
    <s v="Free Travel"/>
    <x v="1"/>
    <n v="1891"/>
  </r>
  <r>
    <x v="109"/>
    <s v="Free Travel"/>
    <x v="2"/>
    <n v="3191"/>
  </r>
  <r>
    <x v="109"/>
    <s v="Free Travel"/>
    <x v="4"/>
    <n v="5206.82"/>
  </r>
  <r>
    <x v="109"/>
    <s v="Free Travel"/>
    <x v="3"/>
    <n v="23033"/>
  </r>
  <r>
    <x v="109"/>
    <s v="On Demand"/>
    <x v="0"/>
    <n v="17261"/>
  </r>
  <r>
    <x v="109"/>
    <s v="School Student"/>
    <x v="0"/>
    <n v="1237555"/>
  </r>
  <r>
    <x v="109"/>
    <s v="School Student"/>
    <x v="1"/>
    <n v="11076"/>
  </r>
  <r>
    <x v="109"/>
    <s v="School Student"/>
    <x v="2"/>
    <n v="36084"/>
  </r>
  <r>
    <x v="109"/>
    <s v="School Student"/>
    <x v="4"/>
    <n v="258775.51"/>
  </r>
  <r>
    <x v="109"/>
    <s v="School Student"/>
    <x v="3"/>
    <n v="885623.83"/>
  </r>
  <r>
    <x v="109"/>
    <s v="Senior/Pensioner"/>
    <x v="0"/>
    <n v="3259372"/>
  </r>
  <r>
    <x v="109"/>
    <s v="Senior/Pensioner"/>
    <x v="1"/>
    <n v="176678"/>
  </r>
  <r>
    <x v="109"/>
    <s v="Senior/Pensioner"/>
    <x v="2"/>
    <n v="392022"/>
  </r>
  <r>
    <x v="109"/>
    <s v="Senior/Pensioner"/>
    <x v="4"/>
    <n v="432097.95"/>
  </r>
  <r>
    <x v="109"/>
    <s v="Senior/Pensioner"/>
    <x v="3"/>
    <n v="2332520.62"/>
  </r>
  <r>
    <x v="109"/>
    <s v="Sgl Trip Ferry Adult"/>
    <x v="1"/>
    <n v="20542"/>
  </r>
  <r>
    <x v="109"/>
    <s v="Sgl Trip Ferry Child/Youth"/>
    <x v="1"/>
    <n v="11093"/>
  </r>
  <r>
    <x v="109"/>
    <s v="Sgl Trip LR Adult"/>
    <x v="2"/>
    <n v="3200"/>
  </r>
  <r>
    <x v="109"/>
    <s v="Sgl Trip LR Child/Youth"/>
    <x v="2"/>
    <n v="1622"/>
  </r>
  <r>
    <x v="109"/>
    <s v="Sgl Trip Rail Adult"/>
    <x v="4"/>
    <n v="9274.64"/>
  </r>
  <r>
    <x v="109"/>
    <s v="Sgl Trip Rail Adult"/>
    <x v="3"/>
    <n v="70123.55"/>
  </r>
  <r>
    <x v="109"/>
    <s v="Sgl Trip Rail Child/Youth"/>
    <x v="4"/>
    <n v="10060.11"/>
  </r>
  <r>
    <x v="109"/>
    <s v="Sgl Trip Rail Child/Youth"/>
    <x v="3"/>
    <n v="37495.51"/>
  </r>
  <r>
    <x v="109"/>
    <s v="UNKNOWN"/>
    <x v="0"/>
    <n v="78"/>
  </r>
  <r>
    <x v="109"/>
    <s v="UNKNOWN"/>
    <x v="1"/>
    <n v="5"/>
  </r>
  <r>
    <x v="109"/>
    <s v="UNKNOWN"/>
    <x v="2"/>
    <n v="1"/>
  </r>
  <r>
    <x v="109"/>
    <s v="UNKNOWN"/>
    <x v="4"/>
    <n v="3.52"/>
  </r>
  <r>
    <x v="109"/>
    <s v="UNKNOWN"/>
    <x v="3"/>
    <n v="112.79"/>
  </r>
  <r>
    <x v="110"/>
    <m/>
    <x v="6"/>
    <n v="3350095958.7300014"/>
  </r>
  <r>
    <x v="110"/>
    <m/>
    <x v="6"/>
    <n v="5351626106.20999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s v="Adult "/>
    <s v="Train"/>
    <s v="0-10km"/>
    <n v="3.66"/>
    <n v="118.5"/>
    <n v="3.66"/>
    <n v="16.3"/>
    <n v="50"/>
  </r>
  <r>
    <x v="0"/>
    <s v="Adult "/>
    <s v="Train"/>
    <s v="10-20km"/>
    <n v="4.55"/>
    <n v="118.5"/>
    <n v="4.55"/>
    <n v="16.3"/>
    <n v="50"/>
  </r>
  <r>
    <x v="0"/>
    <s v="Adult "/>
    <s v="Train"/>
    <s v="20-35km"/>
    <n v="5.23"/>
    <n v="118.5"/>
    <n v="5.23"/>
    <n v="16.3"/>
    <n v="50"/>
  </r>
  <r>
    <x v="0"/>
    <s v="Adult "/>
    <s v="Train"/>
    <s v="35-65km"/>
    <n v="6.99"/>
    <n v="118.5"/>
    <n v="6.99"/>
    <n v="16.3"/>
    <n v="50"/>
  </r>
  <r>
    <x v="0"/>
    <s v="Adult "/>
    <s v="Train"/>
    <s v="65km+"/>
    <n v="8.99"/>
    <n v="118.5"/>
    <n v="8.99"/>
    <n v="16.3"/>
    <n v="50"/>
  </r>
  <r>
    <x v="0"/>
    <s v="Adult "/>
    <s v="Bus"/>
    <s v="0-3km"/>
    <n v="3.2"/>
    <n v="118.5"/>
    <n v="3.2"/>
    <n v="16.3"/>
    <n v="50"/>
  </r>
  <r>
    <x v="0"/>
    <s v="Adult "/>
    <s v="Bus"/>
    <s v="3-8km"/>
    <n v="3.79"/>
    <n v="118.5"/>
    <n v="3.79"/>
    <n v="16.3"/>
    <n v="50"/>
  </r>
  <r>
    <x v="0"/>
    <s v="Adult "/>
    <s v="Bus"/>
    <s v="8km+"/>
    <n v="4.87"/>
    <n v="118.5"/>
    <n v="4.87"/>
    <n v="16.3"/>
    <n v="50"/>
  </r>
  <r>
    <x v="0"/>
    <s v="Adult "/>
    <s v="Light Rail"/>
    <s v="0-3km"/>
    <n v="3.2"/>
    <n v="118.5"/>
    <n v="3.2"/>
    <n v="16.3"/>
    <n v="50"/>
  </r>
  <r>
    <x v="0"/>
    <s v="Adult "/>
    <s v="Light Rail"/>
    <s v="3-8km"/>
    <n v="3.79"/>
    <n v="118.5"/>
    <n v="3.79"/>
    <n v="16.3"/>
    <n v="50"/>
  </r>
  <r>
    <x v="0"/>
    <s v="Adult "/>
    <s v="Light Rail"/>
    <s v="8km+"/>
    <n v="4.87"/>
    <n v="118.5"/>
    <n v="4.87"/>
    <n v="16.3"/>
    <n v="50"/>
  </r>
  <r>
    <x v="0"/>
    <s v="Adult "/>
    <s v="Ferry"/>
    <s v="0-9km"/>
    <n v="6.21"/>
    <n v="118.5"/>
    <n v="6.21"/>
    <n v="16.3"/>
    <n v="50"/>
  </r>
  <r>
    <x v="0"/>
    <s v="Adult "/>
    <s v="Ferry"/>
    <s v="9km+"/>
    <n v="7.76"/>
    <n v="118.5"/>
    <n v="7.76"/>
    <n v="16.3"/>
    <n v="50"/>
  </r>
  <r>
    <x v="1"/>
    <s v="Adult "/>
    <s v="Train"/>
    <s v="0-10km"/>
    <n v="3.79"/>
    <n v="123.7"/>
    <n v="3.6306790622473724"/>
    <n v="16.8"/>
    <n v="50"/>
  </r>
  <r>
    <x v="1"/>
    <s v="Adult "/>
    <s v="Train"/>
    <s v="10-20km"/>
    <n v="4.71"/>
    <n v="123.7"/>
    <n v="4.5120048504446242"/>
    <n v="16.8"/>
    <n v="50"/>
  </r>
  <r>
    <x v="1"/>
    <s v="Adult "/>
    <s v="Train"/>
    <s v="20-35km"/>
    <n v="5.42"/>
    <n v="123.7"/>
    <n v="5.1921584478577198"/>
    <n v="16.8"/>
    <n v="50"/>
  </r>
  <r>
    <x v="1"/>
    <s v="Adult "/>
    <s v="Train"/>
    <s v="35-65km"/>
    <n v="7.24"/>
    <n v="123.7"/>
    <n v="6.9356507679870649"/>
    <n v="16.8"/>
    <n v="50"/>
  </r>
  <r>
    <x v="1"/>
    <s v="Adult "/>
    <s v="Train"/>
    <s v="65km+"/>
    <n v="9.31"/>
    <n v="123.7"/>
    <n v="8.9186337914308815"/>
    <n v="16.8"/>
    <n v="50"/>
  </r>
  <r>
    <x v="1"/>
    <s v="Adult "/>
    <s v="Bus"/>
    <s v="0-3km"/>
    <n v="3.2"/>
    <n v="123.7"/>
    <n v="3.0654810024252224"/>
    <n v="16.8"/>
    <n v="50"/>
  </r>
  <r>
    <x v="1"/>
    <s v="Adult "/>
    <s v="Bus"/>
    <s v="3-8km"/>
    <n v="3.93"/>
    <n v="123.7"/>
    <n v="3.7647938561034762"/>
    <n v="16.8"/>
    <n v="50"/>
  </r>
  <r>
    <x v="1"/>
    <s v="Adult "/>
    <s v="Bus"/>
    <s v="8km+"/>
    <n v="5.05"/>
    <n v="123.7"/>
    <n v="4.8377122069523031"/>
    <n v="16.8"/>
    <n v="50"/>
  </r>
  <r>
    <x v="1"/>
    <s v="Adult "/>
    <s v="Light Rail"/>
    <s v="0-3km"/>
    <n v="3.2"/>
    <n v="123.7"/>
    <n v="3.0654810024252224"/>
    <n v="16.8"/>
    <n v="50"/>
  </r>
  <r>
    <x v="1"/>
    <s v="Adult "/>
    <s v="Light Rail"/>
    <s v="3-8km"/>
    <n v="3.93"/>
    <n v="123.7"/>
    <n v="3.7647938561034762"/>
    <n v="16.8"/>
    <n v="50"/>
  </r>
  <r>
    <x v="1"/>
    <s v="Adult "/>
    <s v="Light Rail"/>
    <s v="8km+"/>
    <n v="5.05"/>
    <n v="123.7"/>
    <n v="4.8377122069523031"/>
    <n v="16.8"/>
    <n v="50"/>
  </r>
  <r>
    <x v="1"/>
    <s v="Adult "/>
    <s v="Light Rail"/>
    <s v="0-3km"/>
    <n v="2.2400000000000002"/>
    <n v="123.7"/>
    <n v="2.1458367016976556"/>
    <n v="16.8"/>
    <n v="50"/>
  </r>
  <r>
    <x v="1"/>
    <s v="Adult "/>
    <s v="Light Rail"/>
    <s v="3-8km"/>
    <n v="2.75"/>
    <n v="123.7"/>
    <n v="2.6343977364591753"/>
    <n v="16.8"/>
    <n v="50"/>
  </r>
  <r>
    <x v="1"/>
    <s v="Adult "/>
    <s v="Light Rail"/>
    <s v="0-3km"/>
    <n v="2.72"/>
    <n v="123.7"/>
    <n v="2.6056588520614388"/>
    <n v="16.8"/>
    <n v="50"/>
  </r>
  <r>
    <x v="1"/>
    <s v="Adult "/>
    <s v="Light Rail"/>
    <s v="3-8km"/>
    <n v="3.34"/>
    <n v="123.7"/>
    <n v="3.1995957962813253"/>
    <n v="16.8"/>
    <n v="50"/>
  </r>
  <r>
    <x v="1"/>
    <s v="Adult "/>
    <s v="Light Rail"/>
    <s v="8km+"/>
    <n v="4.29"/>
    <n v="123.7"/>
    <n v="4.1096604688763136"/>
    <n v="16.8"/>
    <n v="50"/>
  </r>
  <r>
    <x v="2"/>
    <s v="Adult "/>
    <s v="Train"/>
    <s v="0-10km"/>
    <n v="4"/>
    <n v="132.69999999999999"/>
    <n v="3.5719668425018845"/>
    <n v="17.8"/>
    <n v="50"/>
  </r>
  <r>
    <x v="2"/>
    <s v="Adult "/>
    <s v="Train"/>
    <s v="10-20km"/>
    <n v="4.97"/>
    <n v="132.69999999999999"/>
    <n v="4.4381688018085912"/>
    <n v="17.8"/>
    <n v="50"/>
  </r>
  <r>
    <x v="2"/>
    <s v="Adult "/>
    <s v="Train"/>
    <s v="20-35km"/>
    <n v="5.72"/>
    <n v="132.69999999999999"/>
    <n v="5.1079125847776945"/>
    <n v="17.8"/>
    <n v="50"/>
  </r>
  <r>
    <x v="2"/>
    <s v="Adult "/>
    <s v="Train"/>
    <s v="35-65km"/>
    <n v="7.65"/>
    <n v="132.69999999999999"/>
    <n v="6.8313865862848546"/>
    <n v="17.8"/>
    <n v="50"/>
  </r>
  <r>
    <x v="2"/>
    <s v="Adult "/>
    <s v="Train"/>
    <s v="65km+"/>
    <n v="9.84"/>
    <n v="132.69999999999999"/>
    <n v="8.7870384325546365"/>
    <n v="17.8"/>
    <n v="50"/>
  </r>
  <r>
    <x v="2"/>
    <s v="Adult "/>
    <s v="Bus"/>
    <s v="0-3km"/>
    <n v="3.2"/>
    <n v="132.69999999999999"/>
    <n v="2.8575734740015077"/>
    <n v="17.8"/>
    <n v="50"/>
  </r>
  <r>
    <x v="2"/>
    <s v="Adult "/>
    <s v="Bus"/>
    <s v="3-8km"/>
    <n v="4.1500000000000004"/>
    <n v="132.69999999999999"/>
    <n v="3.7059155990957056"/>
    <n v="17.8"/>
    <n v="50"/>
  </r>
  <r>
    <x v="2"/>
    <s v="Adult "/>
    <s v="Bus"/>
    <s v="8km+"/>
    <n v="5.33"/>
    <n v="132.69999999999999"/>
    <n v="4.7596458176337615"/>
    <n v="17.8"/>
    <n v="50"/>
  </r>
  <r>
    <x v="2"/>
    <s v="Adult "/>
    <s v="Light Rail"/>
    <s v="0-3km"/>
    <n v="3.2"/>
    <n v="132.69999999999999"/>
    <n v="2.8575734740015077"/>
    <n v="17.8"/>
    <n v="50"/>
  </r>
  <r>
    <x v="2"/>
    <s v="Adult "/>
    <s v="Light Rail"/>
    <s v="3-8km"/>
    <n v="4.1500000000000004"/>
    <n v="132.69999999999999"/>
    <n v="3.7059155990957056"/>
    <n v="17.8"/>
    <n v="50"/>
  </r>
  <r>
    <x v="2"/>
    <s v="Adult "/>
    <s v="Light Rail"/>
    <s v="8km+"/>
    <n v="5.33"/>
    <n v="132.69999999999999"/>
    <n v="4.7596458176337615"/>
    <n v="17.8"/>
    <n v="50"/>
  </r>
  <r>
    <x v="2"/>
    <s v="Adult "/>
    <s v="Ferry"/>
    <s v="0-9km"/>
    <n v="6.79"/>
    <n v="132.69999999999999"/>
    <n v="6.0634137151469485"/>
    <n v="17.8"/>
    <n v="50"/>
  </r>
  <r>
    <x v="2"/>
    <s v="Adult "/>
    <s v="Ferry"/>
    <s v="9km+"/>
    <n v="8.49"/>
    <n v="132.69999999999999"/>
    <n v="7.5814996232102496"/>
    <n v="17.8"/>
    <n v="50"/>
  </r>
  <r>
    <x v="3"/>
    <s v="Adult "/>
    <s v="Train"/>
    <s v="0-10km"/>
    <n v="4.2"/>
    <n v="137.69999999999999"/>
    <n v="3.6143790849673207"/>
    <n v="18.7"/>
    <n v="50"/>
  </r>
  <r>
    <x v="3"/>
    <s v="Adult "/>
    <s v="Train"/>
    <s v="10-20km"/>
    <n v="5.22"/>
    <n v="137.69999999999999"/>
    <n v="4.4921568627450981"/>
    <n v="18.7"/>
    <n v="50"/>
  </r>
  <r>
    <x v="3"/>
    <s v="Adult "/>
    <s v="Train"/>
    <s v="20-35km"/>
    <n v="6.01"/>
    <n v="137.69999999999999"/>
    <n v="5.1720043572984755"/>
    <n v="18.7"/>
    <n v="50"/>
  </r>
  <r>
    <x v="3"/>
    <s v="Adult "/>
    <s v="Train"/>
    <s v="35-65km"/>
    <n v="8.0299999999999994"/>
    <n v="137.69999999999999"/>
    <n v="6.9103485838779957"/>
    <n v="18.7"/>
    <n v="50"/>
  </r>
  <r>
    <x v="3"/>
    <s v="Adult "/>
    <s v="Train"/>
    <s v="65km+"/>
    <n v="10.33"/>
    <n v="137.69999999999999"/>
    <n v="8.889651416122005"/>
    <n v="18.7"/>
    <n v="50"/>
  </r>
  <r>
    <x v="3"/>
    <s v="Adult "/>
    <s v="Bus"/>
    <s v="0-3km"/>
    <n v="3.2"/>
    <n v="137.69999999999999"/>
    <n v="2.7538126361655779"/>
    <n v="18.7"/>
    <n v="50"/>
  </r>
  <r>
    <x v="3"/>
    <s v="Adult "/>
    <s v="Bus"/>
    <s v="3-8km"/>
    <n v="4.3600000000000003"/>
    <n v="137.69999999999999"/>
    <n v="3.7520697167755999"/>
    <n v="18.7"/>
    <n v="50"/>
  </r>
  <r>
    <x v="3"/>
    <s v="Adult "/>
    <s v="Bus"/>
    <s v="8km+"/>
    <n v="5.6"/>
    <n v="137.69999999999999"/>
    <n v="4.8191721132897607"/>
    <n v="18.7"/>
    <n v="50"/>
  </r>
  <r>
    <x v="3"/>
    <s v="Adult "/>
    <s v="Light Rail"/>
    <s v="0-3km"/>
    <n v="3.2"/>
    <n v="137.69999999999999"/>
    <n v="2.7538126361655779"/>
    <n v="18.7"/>
    <n v="50"/>
  </r>
  <r>
    <x v="3"/>
    <s v="Adult "/>
    <s v="Light Rail"/>
    <s v="3-8km"/>
    <n v="4.3600000000000003"/>
    <n v="137.69999999999999"/>
    <n v="3.7520697167755999"/>
    <n v="18.7"/>
    <n v="50"/>
  </r>
  <r>
    <x v="3"/>
    <s v="Adult "/>
    <s v="Light Rail"/>
    <s v="8km+"/>
    <n v="5.6"/>
    <n v="137.69999999999999"/>
    <n v="4.8191721132897607"/>
    <n v="18.7"/>
    <n v="50"/>
  </r>
  <r>
    <x v="3"/>
    <s v="Adult "/>
    <s v="Ferry"/>
    <s v="0-9km"/>
    <n v="7.13"/>
    <n v="137.69999999999999"/>
    <n v="6.135838779956428"/>
    <n v="18.7"/>
    <n v="50"/>
  </r>
  <r>
    <x v="3"/>
    <s v="Adult "/>
    <s v="Ferry"/>
    <s v="9km+"/>
    <n v="8.92"/>
    <n v="137.69999999999999"/>
    <n v="7.6762527233115483"/>
    <n v="18.7"/>
    <n v="50"/>
  </r>
  <r>
    <x v="4"/>
    <s v="Adult "/>
    <s v="Train"/>
    <s v="0-10km"/>
    <n v="4.33"/>
    <n v="140.9"/>
    <n v="3.6416252661462027"/>
    <n v="19.3"/>
    <n v="50"/>
  </r>
  <r>
    <x v="4"/>
    <s v="Adult "/>
    <s v="Train"/>
    <s v="10-20km"/>
    <n v="5.38"/>
    <n v="140.9"/>
    <n v="4.5246983676366215"/>
    <n v="19.3"/>
    <n v="50"/>
  </r>
  <r>
    <x v="4"/>
    <s v="Adult "/>
    <s v="Train"/>
    <s v="20-35km"/>
    <n v="6.2"/>
    <n v="140.9"/>
    <n v="5.2143364088005679"/>
    <n v="19.3"/>
    <n v="50"/>
  </r>
  <r>
    <x v="4"/>
    <s v="Adult "/>
    <s v="Train"/>
    <s v="35-65km"/>
    <n v="8.2799999999999994"/>
    <n v="140.9"/>
    <n v="6.9636621717530156"/>
    <n v="19.3"/>
    <n v="50"/>
  </r>
  <r>
    <x v="4"/>
    <s v="Adult "/>
    <s v="Train"/>
    <s v="65km+"/>
    <n v="10.66"/>
    <n v="140.9"/>
    <n v="8.9652945351312994"/>
    <n v="19.3"/>
    <n v="50"/>
  </r>
  <r>
    <x v="4"/>
    <s v="Adult "/>
    <s v="Bus"/>
    <s v="0-3km"/>
    <n v="3.3"/>
    <n v="140.9"/>
    <n v="2.7753726046841729"/>
    <n v="19.3"/>
    <n v="50"/>
  </r>
  <r>
    <x v="4"/>
    <s v="Adult "/>
    <s v="Bus"/>
    <s v="3-8km"/>
    <n v="4.49"/>
    <n v="140.9"/>
    <n v="3.7761887863733143"/>
    <n v="19.3"/>
    <n v="50"/>
  </r>
  <r>
    <x v="4"/>
    <s v="Adult "/>
    <s v="Bus"/>
    <s v="8km+"/>
    <n v="5.77"/>
    <n v="140.9"/>
    <n v="4.8526969481902054"/>
    <n v="19.3"/>
    <n v="50"/>
  </r>
  <r>
    <x v="4"/>
    <s v="Adult "/>
    <s v="Light Rail"/>
    <s v="0-3km"/>
    <n v="3.3"/>
    <n v="140.9"/>
    <n v="2.7753726046841729"/>
    <n v="19.3"/>
    <n v="50"/>
  </r>
  <r>
    <x v="4"/>
    <s v="Adult "/>
    <s v="Light Rail"/>
    <s v="3-8km"/>
    <n v="4.49"/>
    <n v="140.9"/>
    <n v="3.7761887863733143"/>
    <n v="19.3"/>
    <n v="50"/>
  </r>
  <r>
    <x v="4"/>
    <s v="Adult "/>
    <s v="Light Rail"/>
    <s v="8km+"/>
    <n v="5.77"/>
    <n v="140.9"/>
    <n v="4.8526969481902054"/>
    <n v="19.3"/>
    <n v="50"/>
  </r>
  <r>
    <x v="4"/>
    <s v="Adult "/>
    <s v="Ferry"/>
    <s v="0-9km"/>
    <n v="7.35"/>
    <n v="140.9"/>
    <n v="6.1815117104329307"/>
    <n v="19.3"/>
    <n v="50"/>
  </r>
  <r>
    <x v="4"/>
    <s v="Adult "/>
    <s v="Ferry"/>
    <s v="9km+"/>
    <n v="9.1999999999999993"/>
    <n v="140.9"/>
    <n v="7.7374024130589065"/>
    <n v="19.3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B9C4F-BC31-2B44-98C3-F9BB39DC653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6:P19" firstHeaderRow="1" firstDataRow="2" firstDataCol="1" rowPageCount="3" colPageCount="1"/>
  <pivotFields count="7">
    <pivotField axis="axisPage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7"/>
        <item x="95"/>
        <item x="103"/>
        <item x="90"/>
        <item x="105"/>
        <item x="101"/>
        <item x="99"/>
        <item x="92"/>
        <item x="109"/>
        <item x="108"/>
        <item x="107"/>
        <item x="94"/>
        <item x="98"/>
        <item x="96"/>
        <item x="104"/>
        <item x="91"/>
        <item x="106"/>
        <item x="102"/>
        <item x="100"/>
        <item x="93"/>
        <item x="110"/>
        <item t="default"/>
      </items>
    </pivotField>
    <pivotField showAll="0"/>
    <pivotField axis="axisCol" showAll="0">
      <items count="8">
        <item x="0"/>
        <item x="1"/>
        <item x="2"/>
        <item x="4"/>
        <item x="3"/>
        <item x="5"/>
        <item x="6"/>
        <item t="default"/>
      </items>
    </pivotField>
    <pivotField dataField="1" numFmtId="1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3">
    <pageField fld="5" hier="-1"/>
    <pageField fld="4" hier="-1"/>
    <pageField fld="0" hier="-1"/>
  </pageFields>
  <dataFields count="1">
    <dataField name="Average of Trip" fld="3" subtotal="average" baseField="0" baseItem="0" numFmtId="1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A6DDA-6953-094F-B0FF-73FC5930CEF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1:O7" firstHeaderRow="0" firstDataRow="1" firstDataCol="1"/>
  <pivotFields count="9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numFmtId="164" showAll="0"/>
    <pivotField numFmtId="170" showAll="0"/>
    <pivotField dataField="1" numFmtId="164" showAll="0"/>
    <pivotField numFmtId="165"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are_nominal (Peak time)" fld="4" subtotal="average" baseField="0" baseItem="0" numFmtId="164"/>
    <dataField name="Average of Fare_real (Peaktime) " fld="6" subtotal="average" baseField="0" baseItem="0" numFmtId="164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4C238B-E925-0B41-90CC-9FDC7D18AFFF}" name="Table1" displayName="Table1" ref="A1:D25" totalsRowShown="0" tableBorderDxfId="4">
  <autoFilter ref="A1:D25" xr:uid="{B44C238B-E925-0B41-90CC-9FDC7D18AFFF}"/>
  <tableColumns count="4">
    <tableColumn id="1" xr3:uid="{20F29BFF-F8C4-A448-B0EE-475A53001E99}" name="LGAs" dataDxfId="3"/>
    <tableColumn id="2" xr3:uid="{08F583B1-6F1D-E743-9D89-51D16FB59149}" name="Distance from Sydney CBD (km)" dataDxfId="2" dataCellStyle="Input #"/>
    <tableColumn id="3" xr3:uid="{EFCD9CF7-FAA2-0648-818E-3B45B8127819}" name="Worked at home (%)" dataDxfId="1" dataCellStyle="Input %"/>
    <tableColumn id="4" xr3:uid="{7874A01E-7445-4943-9164-D30AE1426852}" name="Public transport use (%)" dataDxfId="0" dataCellStyle="Input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AAD0-3CCE-0D41-801B-C9D35539C63D}">
  <dimension ref="A1:A10"/>
  <sheetViews>
    <sheetView workbookViewId="0">
      <selection activeCell="J29" sqref="J29"/>
    </sheetView>
  </sheetViews>
  <sheetFormatPr baseColWidth="10" defaultRowHeight="16" x14ac:dyDescent="0.2"/>
  <sheetData>
    <row r="1" spans="1:1" x14ac:dyDescent="0.2">
      <c r="A1" t="s">
        <v>29</v>
      </c>
    </row>
    <row r="2" spans="1:1" x14ac:dyDescent="0.2">
      <c r="A2" t="s">
        <v>30</v>
      </c>
    </row>
    <row r="3" spans="1:1" x14ac:dyDescent="0.2">
      <c r="A3" t="s">
        <v>61</v>
      </c>
    </row>
    <row r="4" spans="1:1" x14ac:dyDescent="0.2">
      <c r="A4" t="s">
        <v>245</v>
      </c>
    </row>
    <row r="5" spans="1:1" x14ac:dyDescent="0.2">
      <c r="A5" t="s">
        <v>247</v>
      </c>
    </row>
    <row r="7" spans="1:1" x14ac:dyDescent="0.2">
      <c r="A7" t="s">
        <v>31</v>
      </c>
    </row>
    <row r="8" spans="1:1" x14ac:dyDescent="0.2">
      <c r="A8" t="s">
        <v>32</v>
      </c>
    </row>
    <row r="9" spans="1:1" x14ac:dyDescent="0.2">
      <c r="A9" t="s">
        <v>62</v>
      </c>
    </row>
    <row r="10" spans="1:1" x14ac:dyDescent="0.2">
      <c r="A10" t="s">
        <v>109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E23E-D6B9-2844-A7F5-B3967F3A3D6E}">
  <dimension ref="A1:P6397"/>
  <sheetViews>
    <sheetView topLeftCell="M1" zoomScale="150" workbookViewId="0">
      <selection activeCell="I7" sqref="I7"/>
    </sheetView>
  </sheetViews>
  <sheetFormatPr baseColWidth="10" defaultRowHeight="16" x14ac:dyDescent="0.2"/>
  <cols>
    <col min="2" max="2" width="21.5" customWidth="1"/>
    <col min="4" max="4" width="14.6640625" bestFit="1" customWidth="1"/>
    <col min="6" max="6" width="13" bestFit="1" customWidth="1"/>
    <col min="7" max="7" width="16" bestFit="1" customWidth="1"/>
    <col min="8" max="8" width="19.83203125" bestFit="1" customWidth="1"/>
    <col min="9" max="9" width="16" bestFit="1" customWidth="1"/>
    <col min="10" max="10" width="7.1640625" bestFit="1" customWidth="1"/>
    <col min="11" max="11" width="8.83203125" bestFit="1" customWidth="1"/>
    <col min="12" max="12" width="7.1640625" bestFit="1" customWidth="1"/>
    <col min="13" max="13" width="8.1640625" bestFit="1" customWidth="1"/>
    <col min="14" max="14" width="11" bestFit="1" customWidth="1"/>
    <col min="15" max="16" width="11.1640625" bestFit="1" customWidth="1"/>
    <col min="17" max="18" width="10.1640625" bestFit="1" customWidth="1"/>
    <col min="19" max="19" width="11.1640625" bestFit="1" customWidth="1"/>
    <col min="20" max="20" width="12.1640625" bestFit="1" customWidth="1"/>
    <col min="21" max="118" width="10.5" bestFit="1" customWidth="1"/>
    <col min="119" max="119" width="7" bestFit="1" customWidth="1"/>
    <col min="120" max="120" width="10.6640625" bestFit="1" customWidth="1"/>
  </cols>
  <sheetData>
    <row r="1" spans="1:16" x14ac:dyDescent="0.2">
      <c r="A1" s="23" t="s">
        <v>113</v>
      </c>
      <c r="B1" s="23" t="s">
        <v>114</v>
      </c>
      <c r="C1" s="23" t="s">
        <v>115</v>
      </c>
      <c r="D1" s="23" t="s">
        <v>116</v>
      </c>
      <c r="E1" s="23"/>
    </row>
    <row r="2" spans="1:16" x14ac:dyDescent="0.2">
      <c r="A2" s="24">
        <v>42552</v>
      </c>
      <c r="B2" s="25" t="s">
        <v>117</v>
      </c>
      <c r="C2" s="25" t="s">
        <v>4</v>
      </c>
      <c r="D2" s="51">
        <v>13146432</v>
      </c>
      <c r="H2" s="53" t="s">
        <v>263</v>
      </c>
      <c r="I2" t="s">
        <v>262</v>
      </c>
    </row>
    <row r="3" spans="1:16" x14ac:dyDescent="0.2">
      <c r="A3" s="24">
        <v>42552</v>
      </c>
      <c r="B3" s="25" t="s">
        <v>118</v>
      </c>
      <c r="C3" s="25" t="s">
        <v>4</v>
      </c>
      <c r="D3" s="51">
        <v>1079640</v>
      </c>
      <c r="H3" s="53" t="s">
        <v>264</v>
      </c>
      <c r="I3" t="s">
        <v>262</v>
      </c>
    </row>
    <row r="4" spans="1:16" x14ac:dyDescent="0.2">
      <c r="A4" s="24">
        <v>42552</v>
      </c>
      <c r="B4" s="25" t="s">
        <v>119</v>
      </c>
      <c r="C4" s="25" t="s">
        <v>4</v>
      </c>
      <c r="D4" s="51">
        <v>1845322</v>
      </c>
      <c r="H4" s="53" t="s">
        <v>113</v>
      </c>
      <c r="I4" t="s">
        <v>262</v>
      </c>
    </row>
    <row r="5" spans="1:16" x14ac:dyDescent="0.2">
      <c r="A5" s="24">
        <v>42552</v>
      </c>
      <c r="B5" s="25" t="s">
        <v>120</v>
      </c>
      <c r="C5" s="25" t="s">
        <v>4</v>
      </c>
      <c r="D5" s="51">
        <v>64989</v>
      </c>
    </row>
    <row r="6" spans="1:16" x14ac:dyDescent="0.2">
      <c r="A6" s="24">
        <v>42552</v>
      </c>
      <c r="B6" s="25" t="s">
        <v>121</v>
      </c>
      <c r="C6" s="25" t="s">
        <v>4</v>
      </c>
      <c r="D6" s="51">
        <v>25228</v>
      </c>
      <c r="H6" s="53" t="s">
        <v>266</v>
      </c>
      <c r="I6" s="53" t="s">
        <v>265</v>
      </c>
    </row>
    <row r="7" spans="1:16" x14ac:dyDescent="0.2">
      <c r="A7" s="24">
        <v>42552</v>
      </c>
      <c r="B7" s="25" t="s">
        <v>122</v>
      </c>
      <c r="C7" s="25" t="s">
        <v>4</v>
      </c>
      <c r="D7" s="51">
        <v>1297240</v>
      </c>
      <c r="H7" s="53" t="s">
        <v>248</v>
      </c>
      <c r="I7" t="s">
        <v>4</v>
      </c>
      <c r="J7" t="s">
        <v>8</v>
      </c>
      <c r="K7" t="s">
        <v>26</v>
      </c>
      <c r="L7" t="s">
        <v>142</v>
      </c>
      <c r="M7" t="s">
        <v>2</v>
      </c>
      <c r="N7" t="s">
        <v>143</v>
      </c>
      <c r="O7" t="s">
        <v>249</v>
      </c>
      <c r="P7" t="s">
        <v>250</v>
      </c>
    </row>
    <row r="8" spans="1:16" x14ac:dyDescent="0.2">
      <c r="A8" s="24">
        <v>42552</v>
      </c>
      <c r="B8" s="25" t="s">
        <v>123</v>
      </c>
      <c r="C8" s="25" t="s">
        <v>4</v>
      </c>
      <c r="D8" s="51">
        <v>3739658</v>
      </c>
      <c r="H8" s="54" t="s">
        <v>251</v>
      </c>
      <c r="I8" s="52"/>
      <c r="J8" s="52"/>
      <c r="K8" s="52"/>
      <c r="L8" s="52"/>
      <c r="M8" s="52"/>
      <c r="N8" s="52"/>
      <c r="O8" s="52">
        <v>4350861032.4699984</v>
      </c>
      <c r="P8" s="52">
        <v>4350861032.4699984</v>
      </c>
    </row>
    <row r="9" spans="1:16" x14ac:dyDescent="0.2">
      <c r="A9" s="24">
        <v>42552</v>
      </c>
      <c r="B9" s="25" t="s">
        <v>117</v>
      </c>
      <c r="C9" s="25" t="s">
        <v>8</v>
      </c>
      <c r="D9" s="51">
        <v>861272</v>
      </c>
      <c r="H9" s="54" t="s">
        <v>252</v>
      </c>
      <c r="I9" s="52">
        <v>1914157.9305555555</v>
      </c>
      <c r="J9" s="52">
        <v>139687.48148148149</v>
      </c>
      <c r="K9" s="52">
        <v>90889.23529411765</v>
      </c>
      <c r="L9" s="52"/>
      <c r="M9" s="52">
        <v>3360671.7962962962</v>
      </c>
      <c r="N9" s="52"/>
      <c r="O9" s="52"/>
      <c r="P9" s="52">
        <v>1434952.9134199135</v>
      </c>
    </row>
    <row r="10" spans="1:16" x14ac:dyDescent="0.2">
      <c r="A10" s="24">
        <v>42552</v>
      </c>
      <c r="B10" s="25" t="s">
        <v>118</v>
      </c>
      <c r="C10" s="25" t="s">
        <v>8</v>
      </c>
      <c r="D10" s="51">
        <v>108450</v>
      </c>
      <c r="H10" s="54" t="s">
        <v>253</v>
      </c>
      <c r="I10" s="52">
        <v>1703737.7134146341</v>
      </c>
      <c r="J10" s="52">
        <v>131717.2372881356</v>
      </c>
      <c r="K10" s="52">
        <v>93410.76470588235</v>
      </c>
      <c r="L10" s="52"/>
      <c r="M10" s="52">
        <v>3292549.2</v>
      </c>
      <c r="N10" s="52"/>
      <c r="O10" s="52"/>
      <c r="P10" s="52">
        <v>1368991.3326653307</v>
      </c>
    </row>
    <row r="11" spans="1:16" x14ac:dyDescent="0.2">
      <c r="A11" s="24">
        <v>42552</v>
      </c>
      <c r="B11" s="25" t="s">
        <v>119</v>
      </c>
      <c r="C11" s="25" t="s">
        <v>8</v>
      </c>
      <c r="D11" s="51">
        <v>71362</v>
      </c>
      <c r="H11" s="54" t="s">
        <v>254</v>
      </c>
      <c r="I11" s="52">
        <v>1475050.63</v>
      </c>
      <c r="J11" s="52">
        <v>123559.35714285714</v>
      </c>
      <c r="K11" s="52">
        <v>78657.274999999994</v>
      </c>
      <c r="L11" s="52"/>
      <c r="M11" s="52">
        <v>3014105.5343511449</v>
      </c>
      <c r="N11" s="52"/>
      <c r="O11" s="52"/>
      <c r="P11" s="52">
        <v>1238934.6672443673</v>
      </c>
    </row>
    <row r="12" spans="1:16" x14ac:dyDescent="0.2">
      <c r="A12" s="24">
        <v>42552</v>
      </c>
      <c r="B12" s="25" t="s">
        <v>120</v>
      </c>
      <c r="C12" s="25" t="s">
        <v>8</v>
      </c>
      <c r="D12" s="51">
        <v>5251</v>
      </c>
      <c r="H12" s="54" t="s">
        <v>255</v>
      </c>
      <c r="I12" s="52">
        <v>1542485.67</v>
      </c>
      <c r="J12" s="52">
        <v>110301.6170212766</v>
      </c>
      <c r="K12" s="52">
        <v>86547.808823529413</v>
      </c>
      <c r="L12" s="52">
        <v>156190.82417582418</v>
      </c>
      <c r="M12" s="52">
        <v>2799753.111111111</v>
      </c>
      <c r="N12" s="52"/>
      <c r="O12" s="52"/>
      <c r="P12" s="52">
        <v>1057862.327247191</v>
      </c>
    </row>
    <row r="13" spans="1:16" x14ac:dyDescent="0.2">
      <c r="A13" s="24">
        <v>42552</v>
      </c>
      <c r="B13" s="25" t="s">
        <v>121</v>
      </c>
      <c r="C13" s="25" t="s">
        <v>8</v>
      </c>
      <c r="D13" s="51">
        <v>1317</v>
      </c>
      <c r="H13" s="54" t="s">
        <v>256</v>
      </c>
      <c r="I13" s="52">
        <v>858625.07843137253</v>
      </c>
      <c r="J13" s="52">
        <v>50237.511111111111</v>
      </c>
      <c r="K13" s="52">
        <v>103596.6</v>
      </c>
      <c r="L13" s="52">
        <v>96350.350746268654</v>
      </c>
      <c r="M13" s="52">
        <v>1445025.4055944055</v>
      </c>
      <c r="N13" s="52"/>
      <c r="O13" s="52"/>
      <c r="P13" s="52">
        <v>553231.29294274305</v>
      </c>
    </row>
    <row r="14" spans="1:16" x14ac:dyDescent="0.2">
      <c r="A14" s="24">
        <v>42552</v>
      </c>
      <c r="B14" s="25" t="s">
        <v>122</v>
      </c>
      <c r="C14" s="25" t="s">
        <v>8</v>
      </c>
      <c r="D14" s="51">
        <v>1295</v>
      </c>
      <c r="H14" s="54" t="s">
        <v>257</v>
      </c>
      <c r="I14" s="52">
        <v>713574.98947368423</v>
      </c>
      <c r="J14" s="52">
        <v>39995.903703703705</v>
      </c>
      <c r="K14" s="52">
        <v>108335.75</v>
      </c>
      <c r="L14" s="52">
        <v>86014.795454545456</v>
      </c>
      <c r="M14" s="52">
        <v>1139337.6363636365</v>
      </c>
      <c r="N14" s="52"/>
      <c r="O14" s="52"/>
      <c r="P14" s="52">
        <v>448358.14130434784</v>
      </c>
    </row>
    <row r="15" spans="1:16" x14ac:dyDescent="0.2">
      <c r="A15" s="24">
        <v>42552</v>
      </c>
      <c r="B15" s="25" t="s">
        <v>123</v>
      </c>
      <c r="C15" s="25" t="s">
        <v>8</v>
      </c>
      <c r="D15" s="51">
        <v>152188</v>
      </c>
      <c r="H15" s="54" t="s">
        <v>258</v>
      </c>
      <c r="I15" s="52">
        <v>929220.89839572192</v>
      </c>
      <c r="J15" s="52">
        <v>79224.275362318847</v>
      </c>
      <c r="K15" s="52">
        <v>191192.34782608695</v>
      </c>
      <c r="L15" s="52">
        <v>123236.46212121213</v>
      </c>
      <c r="M15" s="52">
        <v>1458934.3194444445</v>
      </c>
      <c r="N15" s="52"/>
      <c r="O15" s="52"/>
      <c r="P15" s="52">
        <v>591929.0351826793</v>
      </c>
    </row>
    <row r="16" spans="1:16" x14ac:dyDescent="0.2">
      <c r="A16" s="24">
        <v>42552</v>
      </c>
      <c r="B16" s="25" t="s">
        <v>124</v>
      </c>
      <c r="C16" s="25" t="s">
        <v>8</v>
      </c>
      <c r="D16" s="51">
        <v>10030</v>
      </c>
      <c r="H16" s="54" t="s">
        <v>259</v>
      </c>
      <c r="I16" s="52">
        <v>1191658.3697916667</v>
      </c>
      <c r="J16" s="52">
        <v>116148.00729927007</v>
      </c>
      <c r="K16" s="52">
        <v>273807.37588652479</v>
      </c>
      <c r="L16" s="52">
        <v>169881.87218045112</v>
      </c>
      <c r="M16" s="52">
        <v>2035036.611111111</v>
      </c>
      <c r="N16" s="52"/>
      <c r="O16" s="52"/>
      <c r="P16" s="52">
        <v>801816.7135207497</v>
      </c>
    </row>
    <row r="17" spans="1:16" x14ac:dyDescent="0.2">
      <c r="A17" s="24">
        <v>42552</v>
      </c>
      <c r="B17" s="25" t="s">
        <v>125</v>
      </c>
      <c r="C17" s="25" t="s">
        <v>8</v>
      </c>
      <c r="D17" s="51">
        <v>2547</v>
      </c>
      <c r="H17" s="54" t="s">
        <v>260</v>
      </c>
      <c r="I17" s="52">
        <v>1681714.8041958043</v>
      </c>
      <c r="J17" s="52">
        <v>121064.00662251655</v>
      </c>
      <c r="K17" s="52">
        <v>271750.5294117647</v>
      </c>
      <c r="L17" s="52">
        <v>265477.43026666663</v>
      </c>
      <c r="M17" s="52">
        <v>1990408.8835897434</v>
      </c>
      <c r="N17" s="52">
        <v>5.7037037037037033</v>
      </c>
      <c r="O17" s="52"/>
      <c r="P17" s="52">
        <v>834191.3684358974</v>
      </c>
    </row>
    <row r="18" spans="1:16" x14ac:dyDescent="0.2">
      <c r="A18" s="24">
        <v>42552</v>
      </c>
      <c r="B18" s="25" t="s">
        <v>117</v>
      </c>
      <c r="C18" s="25" t="s">
        <v>26</v>
      </c>
      <c r="D18" s="51">
        <v>595732</v>
      </c>
      <c r="H18" s="54" t="s">
        <v>261</v>
      </c>
      <c r="I18" s="52">
        <v>1668903.03125</v>
      </c>
      <c r="J18" s="52">
        <v>123601.73195876289</v>
      </c>
      <c r="K18" s="52">
        <v>305002.66336633661</v>
      </c>
      <c r="L18" s="52">
        <v>464279.63533980586</v>
      </c>
      <c r="M18" s="52">
        <v>1784626.8048076925</v>
      </c>
      <c r="N18" s="52">
        <v>90</v>
      </c>
      <c r="O18" s="52"/>
      <c r="P18" s="52">
        <v>859118.00814960641</v>
      </c>
    </row>
    <row r="19" spans="1:16" x14ac:dyDescent="0.2">
      <c r="A19" s="24">
        <v>42552</v>
      </c>
      <c r="B19" s="25" t="s">
        <v>118</v>
      </c>
      <c r="C19" s="25" t="s">
        <v>26</v>
      </c>
      <c r="D19" s="51">
        <v>48667</v>
      </c>
      <c r="H19" s="54" t="s">
        <v>250</v>
      </c>
      <c r="I19" s="52">
        <v>1295352.5503640776</v>
      </c>
      <c r="J19" s="52">
        <v>100246.37662337662</v>
      </c>
      <c r="K19" s="52">
        <v>166089.29183841715</v>
      </c>
      <c r="L19" s="52">
        <v>188551.06740571413</v>
      </c>
      <c r="M19" s="52">
        <v>2133749.9300000002</v>
      </c>
      <c r="N19" s="52">
        <v>23.058823529411764</v>
      </c>
      <c r="O19" s="52">
        <v>4350861032.4699984</v>
      </c>
      <c r="P19" s="52">
        <v>2237081.8677905118</v>
      </c>
    </row>
    <row r="20" spans="1:16" x14ac:dyDescent="0.2">
      <c r="A20" s="24">
        <v>42552</v>
      </c>
      <c r="B20" s="25" t="s">
        <v>119</v>
      </c>
      <c r="C20" s="25" t="s">
        <v>26</v>
      </c>
      <c r="D20" s="51">
        <v>27107</v>
      </c>
    </row>
    <row r="21" spans="1:16" x14ac:dyDescent="0.2">
      <c r="A21" s="24">
        <v>42552</v>
      </c>
      <c r="B21" s="25" t="s">
        <v>120</v>
      </c>
      <c r="C21" s="25" t="s">
        <v>26</v>
      </c>
      <c r="D21" s="51">
        <v>2</v>
      </c>
    </row>
    <row r="22" spans="1:16" x14ac:dyDescent="0.2">
      <c r="A22" s="24">
        <v>42552</v>
      </c>
      <c r="B22" s="25" t="s">
        <v>121</v>
      </c>
      <c r="C22" s="25" t="s">
        <v>26</v>
      </c>
      <c r="D22" s="51">
        <v>693</v>
      </c>
    </row>
    <row r="23" spans="1:16" x14ac:dyDescent="0.2">
      <c r="A23" s="24">
        <v>42552</v>
      </c>
      <c r="B23" s="25" t="s">
        <v>126</v>
      </c>
      <c r="C23" s="25" t="s">
        <v>26</v>
      </c>
      <c r="D23" s="51">
        <v>24913</v>
      </c>
    </row>
    <row r="24" spans="1:16" x14ac:dyDescent="0.2">
      <c r="A24" s="24">
        <v>42552</v>
      </c>
      <c r="B24" s="25" t="s">
        <v>122</v>
      </c>
      <c r="C24" s="25" t="s">
        <v>26</v>
      </c>
      <c r="D24" s="51">
        <v>994</v>
      </c>
    </row>
    <row r="25" spans="1:16" x14ac:dyDescent="0.2">
      <c r="A25" s="24">
        <v>42552</v>
      </c>
      <c r="B25" s="25" t="s">
        <v>123</v>
      </c>
      <c r="C25" s="25" t="s">
        <v>26</v>
      </c>
      <c r="D25" s="51">
        <v>128228</v>
      </c>
    </row>
    <row r="26" spans="1:16" x14ac:dyDescent="0.2">
      <c r="A26" s="24">
        <v>42552</v>
      </c>
      <c r="B26" s="25" t="s">
        <v>127</v>
      </c>
      <c r="C26" s="25" t="s">
        <v>26</v>
      </c>
      <c r="D26" s="51">
        <v>1094</v>
      </c>
    </row>
    <row r="27" spans="1:16" x14ac:dyDescent="0.2">
      <c r="A27" s="24">
        <v>42552</v>
      </c>
      <c r="B27" s="25" t="s">
        <v>128</v>
      </c>
      <c r="C27" s="25" t="s">
        <v>26</v>
      </c>
      <c r="D27" s="51">
        <v>302</v>
      </c>
    </row>
    <row r="28" spans="1:16" x14ac:dyDescent="0.2">
      <c r="A28" s="24">
        <v>42552</v>
      </c>
      <c r="B28" s="25" t="s">
        <v>117</v>
      </c>
      <c r="C28" s="25" t="s">
        <v>2</v>
      </c>
      <c r="D28" s="51">
        <v>22145198</v>
      </c>
    </row>
    <row r="29" spans="1:16" x14ac:dyDescent="0.2">
      <c r="A29" s="24">
        <v>42552</v>
      </c>
      <c r="B29" s="25" t="s">
        <v>118</v>
      </c>
      <c r="C29" s="25" t="s">
        <v>2</v>
      </c>
      <c r="D29" s="51">
        <v>1107160</v>
      </c>
    </row>
    <row r="30" spans="1:16" x14ac:dyDescent="0.2">
      <c r="A30" s="24">
        <v>42552</v>
      </c>
      <c r="B30" s="25" t="s">
        <v>119</v>
      </c>
      <c r="C30" s="25" t="s">
        <v>2</v>
      </c>
      <c r="D30" s="51">
        <v>2105013</v>
      </c>
    </row>
    <row r="31" spans="1:16" x14ac:dyDescent="0.2">
      <c r="A31" s="24">
        <v>42552</v>
      </c>
      <c r="B31" s="25" t="s">
        <v>120</v>
      </c>
      <c r="C31" s="25" t="s">
        <v>2</v>
      </c>
      <c r="D31" s="51">
        <v>264074</v>
      </c>
    </row>
    <row r="32" spans="1:16" x14ac:dyDescent="0.2">
      <c r="A32" s="24">
        <v>42552</v>
      </c>
      <c r="B32" s="25" t="s">
        <v>121</v>
      </c>
      <c r="C32" s="25" t="s">
        <v>2</v>
      </c>
      <c r="D32" s="51">
        <v>24395</v>
      </c>
    </row>
    <row r="33" spans="1:4" x14ac:dyDescent="0.2">
      <c r="A33" s="24">
        <v>42552</v>
      </c>
      <c r="B33" s="25" t="s">
        <v>122</v>
      </c>
      <c r="C33" s="25" t="s">
        <v>2</v>
      </c>
      <c r="D33" s="51">
        <v>511309</v>
      </c>
    </row>
    <row r="34" spans="1:4" x14ac:dyDescent="0.2">
      <c r="A34" s="24">
        <v>42552</v>
      </c>
      <c r="B34" s="25" t="s">
        <v>123</v>
      </c>
      <c r="C34" s="25" t="s">
        <v>2</v>
      </c>
      <c r="D34" s="51">
        <v>2567262</v>
      </c>
    </row>
    <row r="35" spans="1:4" x14ac:dyDescent="0.2">
      <c r="A35" s="24">
        <v>42552</v>
      </c>
      <c r="B35" s="25" t="s">
        <v>129</v>
      </c>
      <c r="C35" s="25" t="s">
        <v>2</v>
      </c>
      <c r="D35" s="51">
        <v>75274</v>
      </c>
    </row>
    <row r="36" spans="1:4" x14ac:dyDescent="0.2">
      <c r="A36" s="24">
        <v>42552</v>
      </c>
      <c r="B36" s="25" t="s">
        <v>130</v>
      </c>
      <c r="C36" s="25" t="s">
        <v>2</v>
      </c>
      <c r="D36" s="51">
        <v>19564</v>
      </c>
    </row>
    <row r="37" spans="1:4" x14ac:dyDescent="0.2">
      <c r="A37" s="24">
        <v>42583</v>
      </c>
      <c r="B37" s="25" t="s">
        <v>117</v>
      </c>
      <c r="C37" s="25" t="s">
        <v>4</v>
      </c>
      <c r="D37" s="51">
        <v>14080864</v>
      </c>
    </row>
    <row r="38" spans="1:4" x14ac:dyDescent="0.2">
      <c r="A38" s="24">
        <v>42583</v>
      </c>
      <c r="B38" s="25" t="s">
        <v>131</v>
      </c>
      <c r="C38" s="25" t="s">
        <v>4</v>
      </c>
      <c r="D38" s="51">
        <v>213548</v>
      </c>
    </row>
    <row r="39" spans="1:4" x14ac:dyDescent="0.2">
      <c r="A39" s="24">
        <v>42583</v>
      </c>
      <c r="B39" s="25" t="s">
        <v>132</v>
      </c>
      <c r="C39" s="25" t="s">
        <v>4</v>
      </c>
      <c r="D39" s="51">
        <v>149890</v>
      </c>
    </row>
    <row r="40" spans="1:4" x14ac:dyDescent="0.2">
      <c r="A40" s="24">
        <v>42583</v>
      </c>
      <c r="B40" s="25" t="s">
        <v>133</v>
      </c>
      <c r="C40" s="25" t="s">
        <v>4</v>
      </c>
      <c r="D40" s="51">
        <v>60625</v>
      </c>
    </row>
    <row r="41" spans="1:4" x14ac:dyDescent="0.2">
      <c r="A41" s="24">
        <v>42583</v>
      </c>
      <c r="B41" s="25" t="s">
        <v>118</v>
      </c>
      <c r="C41" s="25" t="s">
        <v>4</v>
      </c>
      <c r="D41" s="51">
        <v>1034488</v>
      </c>
    </row>
    <row r="42" spans="1:4" x14ac:dyDescent="0.2">
      <c r="A42" s="24">
        <v>42583</v>
      </c>
      <c r="B42" s="25" t="s">
        <v>134</v>
      </c>
      <c r="C42" s="25" t="s">
        <v>4</v>
      </c>
      <c r="D42" s="51">
        <v>85540</v>
      </c>
    </row>
    <row r="43" spans="1:4" x14ac:dyDescent="0.2">
      <c r="A43" s="24">
        <v>42583</v>
      </c>
      <c r="B43" s="25" t="s">
        <v>135</v>
      </c>
      <c r="C43" s="25" t="s">
        <v>4</v>
      </c>
      <c r="D43" s="51">
        <v>52781</v>
      </c>
    </row>
    <row r="44" spans="1:4" x14ac:dyDescent="0.2">
      <c r="A44" s="24">
        <v>42583</v>
      </c>
      <c r="B44" s="25" t="s">
        <v>136</v>
      </c>
      <c r="C44" s="25" t="s">
        <v>4</v>
      </c>
      <c r="D44" s="51">
        <v>15864</v>
      </c>
    </row>
    <row r="45" spans="1:4" x14ac:dyDescent="0.2">
      <c r="A45" s="24">
        <v>42583</v>
      </c>
      <c r="B45" s="25" t="s">
        <v>119</v>
      </c>
      <c r="C45" s="25" t="s">
        <v>4</v>
      </c>
      <c r="D45" s="51">
        <v>2168046</v>
      </c>
    </row>
    <row r="46" spans="1:4" x14ac:dyDescent="0.2">
      <c r="A46" s="24">
        <v>42583</v>
      </c>
      <c r="B46" s="25" t="s">
        <v>120</v>
      </c>
      <c r="C46" s="25" t="s">
        <v>4</v>
      </c>
      <c r="D46" s="51">
        <v>73112</v>
      </c>
    </row>
    <row r="47" spans="1:4" x14ac:dyDescent="0.2">
      <c r="A47" s="24">
        <v>42583</v>
      </c>
      <c r="B47" s="25" t="s">
        <v>121</v>
      </c>
      <c r="C47" s="25" t="s">
        <v>4</v>
      </c>
      <c r="D47" s="51">
        <v>32202</v>
      </c>
    </row>
    <row r="48" spans="1:4" x14ac:dyDescent="0.2">
      <c r="A48" s="24">
        <v>42583</v>
      </c>
      <c r="B48" s="25" t="s">
        <v>122</v>
      </c>
      <c r="C48" s="25" t="s">
        <v>4</v>
      </c>
      <c r="D48" s="51">
        <v>3135595</v>
      </c>
    </row>
    <row r="49" spans="1:4" x14ac:dyDescent="0.2">
      <c r="A49" s="24">
        <v>42583</v>
      </c>
      <c r="B49" s="25" t="s">
        <v>123</v>
      </c>
      <c r="C49" s="25" t="s">
        <v>4</v>
      </c>
      <c r="D49" s="51">
        <v>4108217</v>
      </c>
    </row>
    <row r="50" spans="1:4" x14ac:dyDescent="0.2">
      <c r="A50" s="24">
        <v>42583</v>
      </c>
      <c r="B50" s="25" t="s">
        <v>117</v>
      </c>
      <c r="C50" s="25" t="s">
        <v>8</v>
      </c>
      <c r="D50" s="51">
        <v>773097</v>
      </c>
    </row>
    <row r="51" spans="1:4" x14ac:dyDescent="0.2">
      <c r="A51" s="24">
        <v>42583</v>
      </c>
      <c r="B51" s="25" t="s">
        <v>118</v>
      </c>
      <c r="C51" s="25" t="s">
        <v>8</v>
      </c>
      <c r="D51" s="51">
        <v>81256</v>
      </c>
    </row>
    <row r="52" spans="1:4" x14ac:dyDescent="0.2">
      <c r="A52" s="24">
        <v>42583</v>
      </c>
      <c r="B52" s="25" t="s">
        <v>119</v>
      </c>
      <c r="C52" s="25" t="s">
        <v>8</v>
      </c>
      <c r="D52" s="51">
        <v>25177</v>
      </c>
    </row>
    <row r="53" spans="1:4" x14ac:dyDescent="0.2">
      <c r="A53" s="24">
        <v>42583</v>
      </c>
      <c r="B53" s="25" t="s">
        <v>120</v>
      </c>
      <c r="C53" s="25" t="s">
        <v>8</v>
      </c>
      <c r="D53" s="51">
        <v>4780</v>
      </c>
    </row>
    <row r="54" spans="1:4" x14ac:dyDescent="0.2">
      <c r="A54" s="24">
        <v>42583</v>
      </c>
      <c r="B54" s="25" t="s">
        <v>121</v>
      </c>
      <c r="C54" s="25" t="s">
        <v>8</v>
      </c>
      <c r="D54" s="51">
        <v>1728</v>
      </c>
    </row>
    <row r="55" spans="1:4" x14ac:dyDescent="0.2">
      <c r="A55" s="24">
        <v>42583</v>
      </c>
      <c r="B55" s="25" t="s">
        <v>122</v>
      </c>
      <c r="C55" s="25" t="s">
        <v>8</v>
      </c>
      <c r="D55" s="51">
        <v>2701</v>
      </c>
    </row>
    <row r="56" spans="1:4" x14ac:dyDescent="0.2">
      <c r="A56" s="24">
        <v>42583</v>
      </c>
      <c r="B56" s="25" t="s">
        <v>123</v>
      </c>
      <c r="C56" s="25" t="s">
        <v>8</v>
      </c>
      <c r="D56" s="51">
        <v>158521</v>
      </c>
    </row>
    <row r="57" spans="1:4" x14ac:dyDescent="0.2">
      <c r="A57" s="24">
        <v>42583</v>
      </c>
      <c r="B57" s="25" t="s">
        <v>124</v>
      </c>
      <c r="C57" s="25" t="s">
        <v>8</v>
      </c>
      <c r="D57" s="51">
        <v>39692</v>
      </c>
    </row>
    <row r="58" spans="1:4" x14ac:dyDescent="0.2">
      <c r="A58" s="24">
        <v>42583</v>
      </c>
      <c r="B58" s="25" t="s">
        <v>125</v>
      </c>
      <c r="C58" s="25" t="s">
        <v>8</v>
      </c>
      <c r="D58" s="51">
        <v>8103</v>
      </c>
    </row>
    <row r="59" spans="1:4" x14ac:dyDescent="0.2">
      <c r="A59" s="24">
        <v>42583</v>
      </c>
      <c r="B59" s="25" t="s">
        <v>117</v>
      </c>
      <c r="C59" s="25" t="s">
        <v>26</v>
      </c>
      <c r="D59" s="51">
        <v>626133</v>
      </c>
    </row>
    <row r="60" spans="1:4" x14ac:dyDescent="0.2">
      <c r="A60" s="24">
        <v>42583</v>
      </c>
      <c r="B60" s="25" t="s">
        <v>118</v>
      </c>
      <c r="C60" s="25" t="s">
        <v>26</v>
      </c>
      <c r="D60" s="51">
        <v>40298</v>
      </c>
    </row>
    <row r="61" spans="1:4" x14ac:dyDescent="0.2">
      <c r="A61" s="24">
        <v>42583</v>
      </c>
      <c r="B61" s="25" t="s">
        <v>119</v>
      </c>
      <c r="C61" s="25" t="s">
        <v>26</v>
      </c>
      <c r="D61" s="51">
        <v>31569</v>
      </c>
    </row>
    <row r="62" spans="1:4" x14ac:dyDescent="0.2">
      <c r="A62" s="24">
        <v>42583</v>
      </c>
      <c r="B62" s="25" t="s">
        <v>121</v>
      </c>
      <c r="C62" s="25" t="s">
        <v>26</v>
      </c>
      <c r="D62" s="51">
        <v>888</v>
      </c>
    </row>
    <row r="63" spans="1:4" x14ac:dyDescent="0.2">
      <c r="A63" s="24">
        <v>42583</v>
      </c>
      <c r="B63" s="25" t="s">
        <v>122</v>
      </c>
      <c r="C63" s="25" t="s">
        <v>26</v>
      </c>
      <c r="D63" s="51">
        <v>4940</v>
      </c>
    </row>
    <row r="64" spans="1:4" x14ac:dyDescent="0.2">
      <c r="A64" s="24">
        <v>42583</v>
      </c>
      <c r="B64" s="25" t="s">
        <v>123</v>
      </c>
      <c r="C64" s="25" t="s">
        <v>26</v>
      </c>
      <c r="D64" s="51">
        <v>134404</v>
      </c>
    </row>
    <row r="65" spans="1:4" x14ac:dyDescent="0.2">
      <c r="A65" s="24">
        <v>42583</v>
      </c>
      <c r="B65" s="25" t="s">
        <v>127</v>
      </c>
      <c r="C65" s="25" t="s">
        <v>26</v>
      </c>
      <c r="D65" s="51">
        <v>2068</v>
      </c>
    </row>
    <row r="66" spans="1:4" x14ac:dyDescent="0.2">
      <c r="A66" s="24">
        <v>42583</v>
      </c>
      <c r="B66" s="25" t="s">
        <v>128</v>
      </c>
      <c r="C66" s="25" t="s">
        <v>26</v>
      </c>
      <c r="D66" s="51">
        <v>500</v>
      </c>
    </row>
    <row r="67" spans="1:4" x14ac:dyDescent="0.2">
      <c r="A67" s="24">
        <v>42583</v>
      </c>
      <c r="B67" s="25" t="s">
        <v>117</v>
      </c>
      <c r="C67" s="25" t="s">
        <v>2</v>
      </c>
      <c r="D67" s="51">
        <v>24129963</v>
      </c>
    </row>
    <row r="68" spans="1:4" x14ac:dyDescent="0.2">
      <c r="A68" s="24">
        <v>42583</v>
      </c>
      <c r="B68" s="25" t="s">
        <v>118</v>
      </c>
      <c r="C68" s="25" t="s">
        <v>2</v>
      </c>
      <c r="D68" s="51">
        <v>946988</v>
      </c>
    </row>
    <row r="69" spans="1:4" x14ac:dyDescent="0.2">
      <c r="A69" s="24">
        <v>42583</v>
      </c>
      <c r="B69" s="25" t="s">
        <v>119</v>
      </c>
      <c r="C69" s="25" t="s">
        <v>2</v>
      </c>
      <c r="D69" s="51">
        <v>2656456</v>
      </c>
    </row>
    <row r="70" spans="1:4" x14ac:dyDescent="0.2">
      <c r="A70" s="24">
        <v>42583</v>
      </c>
      <c r="B70" s="25" t="s">
        <v>120</v>
      </c>
      <c r="C70" s="25" t="s">
        <v>2</v>
      </c>
      <c r="D70" s="51">
        <v>304666</v>
      </c>
    </row>
    <row r="71" spans="1:4" x14ac:dyDescent="0.2">
      <c r="A71" s="24">
        <v>42583</v>
      </c>
      <c r="B71" s="25" t="s">
        <v>121</v>
      </c>
      <c r="C71" s="25" t="s">
        <v>2</v>
      </c>
      <c r="D71" s="51">
        <v>30830</v>
      </c>
    </row>
    <row r="72" spans="1:4" x14ac:dyDescent="0.2">
      <c r="A72" s="24">
        <v>42583</v>
      </c>
      <c r="B72" s="25" t="s">
        <v>122</v>
      </c>
      <c r="C72" s="25" t="s">
        <v>2</v>
      </c>
      <c r="D72" s="51">
        <v>1125676</v>
      </c>
    </row>
    <row r="73" spans="1:4" x14ac:dyDescent="0.2">
      <c r="A73" s="24">
        <v>42583</v>
      </c>
      <c r="B73" s="25" t="s">
        <v>123</v>
      </c>
      <c r="C73" s="25" t="s">
        <v>2</v>
      </c>
      <c r="D73" s="51">
        <v>2849358</v>
      </c>
    </row>
    <row r="74" spans="1:4" x14ac:dyDescent="0.2">
      <c r="A74" s="24">
        <v>42583</v>
      </c>
      <c r="B74" s="25" t="s">
        <v>129</v>
      </c>
      <c r="C74" s="25" t="s">
        <v>2</v>
      </c>
      <c r="D74" s="51">
        <v>296696</v>
      </c>
    </row>
    <row r="75" spans="1:4" x14ac:dyDescent="0.2">
      <c r="A75" s="24">
        <v>42583</v>
      </c>
      <c r="B75" s="25" t="s">
        <v>130</v>
      </c>
      <c r="C75" s="25" t="s">
        <v>2</v>
      </c>
      <c r="D75" s="51">
        <v>53347</v>
      </c>
    </row>
    <row r="76" spans="1:4" x14ac:dyDescent="0.2">
      <c r="A76" s="24">
        <v>42614</v>
      </c>
      <c r="B76" s="25" t="s">
        <v>117</v>
      </c>
      <c r="C76" s="25" t="s">
        <v>4</v>
      </c>
      <c r="D76" s="51">
        <v>13283356</v>
      </c>
    </row>
    <row r="77" spans="1:4" x14ac:dyDescent="0.2">
      <c r="A77" s="24">
        <v>42614</v>
      </c>
      <c r="B77" s="25" t="s">
        <v>131</v>
      </c>
      <c r="C77" s="25" t="s">
        <v>4</v>
      </c>
      <c r="D77" s="51">
        <v>185031</v>
      </c>
    </row>
    <row r="78" spans="1:4" x14ac:dyDescent="0.2">
      <c r="A78" s="24">
        <v>42614</v>
      </c>
      <c r="B78" s="25" t="s">
        <v>132</v>
      </c>
      <c r="C78" s="25" t="s">
        <v>4</v>
      </c>
      <c r="D78" s="51">
        <v>122355</v>
      </c>
    </row>
    <row r="79" spans="1:4" x14ac:dyDescent="0.2">
      <c r="A79" s="24">
        <v>42614</v>
      </c>
      <c r="B79" s="25" t="s">
        <v>133</v>
      </c>
      <c r="C79" s="25" t="s">
        <v>4</v>
      </c>
      <c r="D79" s="51">
        <v>50083</v>
      </c>
    </row>
    <row r="80" spans="1:4" x14ac:dyDescent="0.2">
      <c r="A80" s="24">
        <v>42614</v>
      </c>
      <c r="B80" s="25" t="s">
        <v>118</v>
      </c>
      <c r="C80" s="25" t="s">
        <v>4</v>
      </c>
      <c r="D80" s="51">
        <v>1130778</v>
      </c>
    </row>
    <row r="81" spans="1:4" x14ac:dyDescent="0.2">
      <c r="A81" s="24">
        <v>42614</v>
      </c>
      <c r="B81" s="25" t="s">
        <v>134</v>
      </c>
      <c r="C81" s="25" t="s">
        <v>4</v>
      </c>
      <c r="D81" s="51">
        <v>71536</v>
      </c>
    </row>
    <row r="82" spans="1:4" x14ac:dyDescent="0.2">
      <c r="A82" s="24">
        <v>42614</v>
      </c>
      <c r="B82" s="25" t="s">
        <v>135</v>
      </c>
      <c r="C82" s="25" t="s">
        <v>4</v>
      </c>
      <c r="D82" s="51">
        <v>47969</v>
      </c>
    </row>
    <row r="83" spans="1:4" x14ac:dyDescent="0.2">
      <c r="A83" s="24">
        <v>42614</v>
      </c>
      <c r="B83" s="25" t="s">
        <v>136</v>
      </c>
      <c r="C83" s="25" t="s">
        <v>4</v>
      </c>
      <c r="D83" s="51">
        <v>14739</v>
      </c>
    </row>
    <row r="84" spans="1:4" x14ac:dyDescent="0.2">
      <c r="A84" s="24">
        <v>42614</v>
      </c>
      <c r="B84" s="25" t="s">
        <v>119</v>
      </c>
      <c r="C84" s="25" t="s">
        <v>4</v>
      </c>
      <c r="D84" s="51">
        <v>1736089</v>
      </c>
    </row>
    <row r="85" spans="1:4" x14ac:dyDescent="0.2">
      <c r="A85" s="24">
        <v>42614</v>
      </c>
      <c r="B85" s="25" t="s">
        <v>120</v>
      </c>
      <c r="C85" s="25" t="s">
        <v>4</v>
      </c>
      <c r="D85" s="51">
        <v>71783</v>
      </c>
    </row>
    <row r="86" spans="1:4" x14ac:dyDescent="0.2">
      <c r="A86" s="24">
        <v>42614</v>
      </c>
      <c r="B86" s="25" t="s">
        <v>121</v>
      </c>
      <c r="C86" s="25" t="s">
        <v>4</v>
      </c>
      <c r="D86" s="51">
        <v>32715</v>
      </c>
    </row>
    <row r="87" spans="1:4" x14ac:dyDescent="0.2">
      <c r="A87" s="24">
        <v>42614</v>
      </c>
      <c r="B87" s="25" t="s">
        <v>122</v>
      </c>
      <c r="C87" s="25" t="s">
        <v>4</v>
      </c>
      <c r="D87" s="51">
        <v>2244235</v>
      </c>
    </row>
    <row r="88" spans="1:4" x14ac:dyDescent="0.2">
      <c r="A88" s="24">
        <v>42614</v>
      </c>
      <c r="B88" s="25" t="s">
        <v>123</v>
      </c>
      <c r="C88" s="25" t="s">
        <v>4</v>
      </c>
      <c r="D88" s="51">
        <v>4020871</v>
      </c>
    </row>
    <row r="89" spans="1:4" x14ac:dyDescent="0.2">
      <c r="A89" s="24">
        <v>42614</v>
      </c>
      <c r="B89" s="25" t="s">
        <v>117</v>
      </c>
      <c r="C89" s="25" t="s">
        <v>8</v>
      </c>
      <c r="D89" s="51">
        <v>783747</v>
      </c>
    </row>
    <row r="90" spans="1:4" x14ac:dyDescent="0.2">
      <c r="A90" s="24">
        <v>42614</v>
      </c>
      <c r="B90" s="25" t="s">
        <v>118</v>
      </c>
      <c r="C90" s="25" t="s">
        <v>8</v>
      </c>
      <c r="D90" s="51">
        <v>103302</v>
      </c>
    </row>
    <row r="91" spans="1:4" x14ac:dyDescent="0.2">
      <c r="A91" s="24">
        <v>42614</v>
      </c>
      <c r="B91" s="25" t="s">
        <v>119</v>
      </c>
      <c r="C91" s="25" t="s">
        <v>8</v>
      </c>
      <c r="D91" s="51">
        <v>25070</v>
      </c>
    </row>
    <row r="92" spans="1:4" x14ac:dyDescent="0.2">
      <c r="A92" s="24">
        <v>42614</v>
      </c>
      <c r="B92" s="25" t="s">
        <v>120</v>
      </c>
      <c r="C92" s="25" t="s">
        <v>8</v>
      </c>
      <c r="D92" s="51">
        <v>4975</v>
      </c>
    </row>
    <row r="93" spans="1:4" x14ac:dyDescent="0.2">
      <c r="A93" s="24">
        <v>42614</v>
      </c>
      <c r="B93" s="25" t="s">
        <v>121</v>
      </c>
      <c r="C93" s="25" t="s">
        <v>8</v>
      </c>
      <c r="D93" s="51">
        <v>1920</v>
      </c>
    </row>
    <row r="94" spans="1:4" x14ac:dyDescent="0.2">
      <c r="A94" s="24">
        <v>42614</v>
      </c>
      <c r="B94" s="25" t="s">
        <v>122</v>
      </c>
      <c r="C94" s="25" t="s">
        <v>8</v>
      </c>
      <c r="D94" s="51">
        <v>1830</v>
      </c>
    </row>
    <row r="95" spans="1:4" x14ac:dyDescent="0.2">
      <c r="A95" s="24">
        <v>42614</v>
      </c>
      <c r="B95" s="25" t="s">
        <v>123</v>
      </c>
      <c r="C95" s="25" t="s">
        <v>8</v>
      </c>
      <c r="D95" s="51">
        <v>165216</v>
      </c>
    </row>
    <row r="96" spans="1:4" x14ac:dyDescent="0.2">
      <c r="A96" s="24">
        <v>42614</v>
      </c>
      <c r="B96" s="25" t="s">
        <v>124</v>
      </c>
      <c r="C96" s="25" t="s">
        <v>8</v>
      </c>
      <c r="D96" s="51">
        <v>46928</v>
      </c>
    </row>
    <row r="97" spans="1:4" x14ac:dyDescent="0.2">
      <c r="A97" s="24">
        <v>42614</v>
      </c>
      <c r="B97" s="25" t="s">
        <v>125</v>
      </c>
      <c r="C97" s="25" t="s">
        <v>8</v>
      </c>
      <c r="D97" s="51">
        <v>10730</v>
      </c>
    </row>
    <row r="98" spans="1:4" x14ac:dyDescent="0.2">
      <c r="A98" s="24">
        <v>42614</v>
      </c>
      <c r="B98" s="25" t="s">
        <v>117</v>
      </c>
      <c r="C98" s="25" t="s">
        <v>26</v>
      </c>
      <c r="D98" s="51">
        <v>545779</v>
      </c>
    </row>
    <row r="99" spans="1:4" x14ac:dyDescent="0.2">
      <c r="A99" s="24">
        <v>42614</v>
      </c>
      <c r="B99" s="25" t="s">
        <v>118</v>
      </c>
      <c r="C99" s="25" t="s">
        <v>26</v>
      </c>
      <c r="D99" s="51">
        <v>41089</v>
      </c>
    </row>
    <row r="100" spans="1:4" x14ac:dyDescent="0.2">
      <c r="A100" s="24">
        <v>42614</v>
      </c>
      <c r="B100" s="25" t="s">
        <v>119</v>
      </c>
      <c r="C100" s="25" t="s">
        <v>26</v>
      </c>
      <c r="D100" s="51">
        <v>26988</v>
      </c>
    </row>
    <row r="101" spans="1:4" x14ac:dyDescent="0.2">
      <c r="A101" s="24">
        <v>42614</v>
      </c>
      <c r="B101" s="25" t="s">
        <v>121</v>
      </c>
      <c r="C101" s="25" t="s">
        <v>26</v>
      </c>
      <c r="D101" s="51">
        <v>844</v>
      </c>
    </row>
    <row r="102" spans="1:4" x14ac:dyDescent="0.2">
      <c r="A102" s="24">
        <v>42614</v>
      </c>
      <c r="B102" s="25" t="s">
        <v>122</v>
      </c>
      <c r="C102" s="25" t="s">
        <v>26</v>
      </c>
      <c r="D102" s="51">
        <v>4389</v>
      </c>
    </row>
    <row r="103" spans="1:4" x14ac:dyDescent="0.2">
      <c r="A103" s="24">
        <v>42614</v>
      </c>
      <c r="B103" s="25" t="s">
        <v>123</v>
      </c>
      <c r="C103" s="25" t="s">
        <v>26</v>
      </c>
      <c r="D103" s="51">
        <v>135478</v>
      </c>
    </row>
    <row r="104" spans="1:4" x14ac:dyDescent="0.2">
      <c r="A104" s="24">
        <v>42614</v>
      </c>
      <c r="B104" s="25" t="s">
        <v>127</v>
      </c>
      <c r="C104" s="25" t="s">
        <v>26</v>
      </c>
      <c r="D104" s="51">
        <v>2773</v>
      </c>
    </row>
    <row r="105" spans="1:4" x14ac:dyDescent="0.2">
      <c r="A105" s="24">
        <v>42614</v>
      </c>
      <c r="B105" s="25" t="s">
        <v>128</v>
      </c>
      <c r="C105" s="25" t="s">
        <v>26</v>
      </c>
      <c r="D105" s="51">
        <v>733</v>
      </c>
    </row>
    <row r="106" spans="1:4" x14ac:dyDescent="0.2">
      <c r="A106" s="24">
        <v>42614</v>
      </c>
      <c r="B106" s="25" t="s">
        <v>117</v>
      </c>
      <c r="C106" s="25" t="s">
        <v>2</v>
      </c>
      <c r="D106" s="51">
        <v>23062165</v>
      </c>
    </row>
    <row r="107" spans="1:4" x14ac:dyDescent="0.2">
      <c r="A107" s="24">
        <v>42614</v>
      </c>
      <c r="B107" s="25" t="s">
        <v>118</v>
      </c>
      <c r="C107" s="25" t="s">
        <v>2</v>
      </c>
      <c r="D107" s="51">
        <v>1094712</v>
      </c>
    </row>
    <row r="108" spans="1:4" x14ac:dyDescent="0.2">
      <c r="A108" s="24">
        <v>42614</v>
      </c>
      <c r="B108" s="25" t="s">
        <v>119</v>
      </c>
      <c r="C108" s="25" t="s">
        <v>2</v>
      </c>
      <c r="D108" s="51">
        <v>2131790</v>
      </c>
    </row>
    <row r="109" spans="1:4" x14ac:dyDescent="0.2">
      <c r="A109" s="24">
        <v>42614</v>
      </c>
      <c r="B109" s="25" t="s">
        <v>120</v>
      </c>
      <c r="C109" s="25" t="s">
        <v>2</v>
      </c>
      <c r="D109" s="51">
        <v>302130</v>
      </c>
    </row>
    <row r="110" spans="1:4" x14ac:dyDescent="0.2">
      <c r="A110" s="24">
        <v>42614</v>
      </c>
      <c r="B110" s="25" t="s">
        <v>121</v>
      </c>
      <c r="C110" s="25" t="s">
        <v>2</v>
      </c>
      <c r="D110" s="51">
        <v>30292</v>
      </c>
    </row>
    <row r="111" spans="1:4" x14ac:dyDescent="0.2">
      <c r="A111" s="24">
        <v>42614</v>
      </c>
      <c r="B111" s="25" t="s">
        <v>122</v>
      </c>
      <c r="C111" s="25" t="s">
        <v>2</v>
      </c>
      <c r="D111" s="51">
        <v>833102</v>
      </c>
    </row>
    <row r="112" spans="1:4" x14ac:dyDescent="0.2">
      <c r="A112" s="24">
        <v>42614</v>
      </c>
      <c r="B112" s="25" t="s">
        <v>123</v>
      </c>
      <c r="C112" s="25" t="s">
        <v>2</v>
      </c>
      <c r="D112" s="51">
        <v>2816602</v>
      </c>
    </row>
    <row r="113" spans="1:4" x14ac:dyDescent="0.2">
      <c r="A113" s="24">
        <v>42614</v>
      </c>
      <c r="B113" s="25" t="s">
        <v>129</v>
      </c>
      <c r="C113" s="25" t="s">
        <v>2</v>
      </c>
      <c r="D113" s="51">
        <v>311066</v>
      </c>
    </row>
    <row r="114" spans="1:4" x14ac:dyDescent="0.2">
      <c r="A114" s="24">
        <v>42614</v>
      </c>
      <c r="B114" s="25" t="s">
        <v>130</v>
      </c>
      <c r="C114" s="25" t="s">
        <v>2</v>
      </c>
      <c r="D114" s="51">
        <v>66493</v>
      </c>
    </row>
    <row r="115" spans="1:4" x14ac:dyDescent="0.2">
      <c r="A115" s="24">
        <v>42644</v>
      </c>
      <c r="B115" s="25" t="s">
        <v>117</v>
      </c>
      <c r="C115" s="25" t="s">
        <v>4</v>
      </c>
      <c r="D115" s="51">
        <v>13399297</v>
      </c>
    </row>
    <row r="116" spans="1:4" x14ac:dyDescent="0.2">
      <c r="A116" s="24">
        <v>42644</v>
      </c>
      <c r="B116" s="25" t="s">
        <v>131</v>
      </c>
      <c r="C116" s="25" t="s">
        <v>4</v>
      </c>
      <c r="D116" s="51">
        <v>183834</v>
      </c>
    </row>
    <row r="117" spans="1:4" x14ac:dyDescent="0.2">
      <c r="A117" s="24">
        <v>42644</v>
      </c>
      <c r="B117" s="25" t="s">
        <v>132</v>
      </c>
      <c r="C117" s="25" t="s">
        <v>4</v>
      </c>
      <c r="D117" s="51">
        <v>120313</v>
      </c>
    </row>
    <row r="118" spans="1:4" x14ac:dyDescent="0.2">
      <c r="A118" s="24">
        <v>42644</v>
      </c>
      <c r="B118" s="25" t="s">
        <v>133</v>
      </c>
      <c r="C118" s="25" t="s">
        <v>4</v>
      </c>
      <c r="D118" s="51">
        <v>49327</v>
      </c>
    </row>
    <row r="119" spans="1:4" x14ac:dyDescent="0.2">
      <c r="A119" s="24">
        <v>42644</v>
      </c>
      <c r="B119" s="25" t="s">
        <v>118</v>
      </c>
      <c r="C119" s="25" t="s">
        <v>4</v>
      </c>
      <c r="D119" s="51">
        <v>1180998</v>
      </c>
    </row>
    <row r="120" spans="1:4" x14ac:dyDescent="0.2">
      <c r="A120" s="24">
        <v>42644</v>
      </c>
      <c r="B120" s="25" t="s">
        <v>134</v>
      </c>
      <c r="C120" s="25" t="s">
        <v>4</v>
      </c>
      <c r="D120" s="51">
        <v>65256</v>
      </c>
    </row>
    <row r="121" spans="1:4" x14ac:dyDescent="0.2">
      <c r="A121" s="24">
        <v>42644</v>
      </c>
      <c r="B121" s="25" t="s">
        <v>135</v>
      </c>
      <c r="C121" s="25" t="s">
        <v>4</v>
      </c>
      <c r="D121" s="51">
        <v>44063</v>
      </c>
    </row>
    <row r="122" spans="1:4" x14ac:dyDescent="0.2">
      <c r="A122" s="24">
        <v>42644</v>
      </c>
      <c r="B122" s="25" t="s">
        <v>136</v>
      </c>
      <c r="C122" s="25" t="s">
        <v>4</v>
      </c>
      <c r="D122" s="51">
        <v>13664</v>
      </c>
    </row>
    <row r="123" spans="1:4" x14ac:dyDescent="0.2">
      <c r="A123" s="24">
        <v>42644</v>
      </c>
      <c r="B123" s="25" t="s">
        <v>119</v>
      </c>
      <c r="C123" s="25" t="s">
        <v>4</v>
      </c>
      <c r="D123" s="51">
        <v>1722565</v>
      </c>
    </row>
    <row r="124" spans="1:4" x14ac:dyDescent="0.2">
      <c r="A124" s="24">
        <v>42644</v>
      </c>
      <c r="B124" s="25" t="s">
        <v>120</v>
      </c>
      <c r="C124" s="25" t="s">
        <v>4</v>
      </c>
      <c r="D124" s="51">
        <v>71428</v>
      </c>
    </row>
    <row r="125" spans="1:4" x14ac:dyDescent="0.2">
      <c r="A125" s="24">
        <v>42644</v>
      </c>
      <c r="B125" s="25" t="s">
        <v>121</v>
      </c>
      <c r="C125" s="25" t="s">
        <v>4</v>
      </c>
      <c r="D125" s="51">
        <v>33031</v>
      </c>
    </row>
    <row r="126" spans="1:4" x14ac:dyDescent="0.2">
      <c r="A126" s="24">
        <v>42644</v>
      </c>
      <c r="B126" s="25" t="s">
        <v>122</v>
      </c>
      <c r="C126" s="25" t="s">
        <v>4</v>
      </c>
      <c r="D126" s="51">
        <v>2115831</v>
      </c>
    </row>
    <row r="127" spans="1:4" x14ac:dyDescent="0.2">
      <c r="A127" s="24">
        <v>42644</v>
      </c>
      <c r="B127" s="25" t="s">
        <v>123</v>
      </c>
      <c r="C127" s="25" t="s">
        <v>4</v>
      </c>
      <c r="D127" s="51">
        <v>4095695</v>
      </c>
    </row>
    <row r="128" spans="1:4" x14ac:dyDescent="0.2">
      <c r="A128" s="24">
        <v>42644</v>
      </c>
      <c r="B128" s="25" t="s">
        <v>117</v>
      </c>
      <c r="C128" s="25" t="s">
        <v>8</v>
      </c>
      <c r="D128" s="51">
        <v>879150</v>
      </c>
    </row>
    <row r="129" spans="1:4" x14ac:dyDescent="0.2">
      <c r="A129" s="24">
        <v>42644</v>
      </c>
      <c r="B129" s="25" t="s">
        <v>118</v>
      </c>
      <c r="C129" s="25" t="s">
        <v>8</v>
      </c>
      <c r="D129" s="51">
        <v>119399</v>
      </c>
    </row>
    <row r="130" spans="1:4" x14ac:dyDescent="0.2">
      <c r="A130" s="24">
        <v>42644</v>
      </c>
      <c r="B130" s="25" t="s">
        <v>119</v>
      </c>
      <c r="C130" s="25" t="s">
        <v>8</v>
      </c>
      <c r="D130" s="51">
        <v>24094</v>
      </c>
    </row>
    <row r="131" spans="1:4" x14ac:dyDescent="0.2">
      <c r="A131" s="24">
        <v>42644</v>
      </c>
      <c r="B131" s="25" t="s">
        <v>120</v>
      </c>
      <c r="C131" s="25" t="s">
        <v>8</v>
      </c>
      <c r="D131" s="51">
        <v>5435</v>
      </c>
    </row>
    <row r="132" spans="1:4" x14ac:dyDescent="0.2">
      <c r="A132" s="24">
        <v>42644</v>
      </c>
      <c r="B132" s="25" t="s">
        <v>121</v>
      </c>
      <c r="C132" s="25" t="s">
        <v>8</v>
      </c>
      <c r="D132" s="51">
        <v>2081</v>
      </c>
    </row>
    <row r="133" spans="1:4" x14ac:dyDescent="0.2">
      <c r="A133" s="24">
        <v>42644</v>
      </c>
      <c r="B133" s="25" t="s">
        <v>122</v>
      </c>
      <c r="C133" s="25" t="s">
        <v>8</v>
      </c>
      <c r="D133" s="51">
        <v>1594</v>
      </c>
    </row>
    <row r="134" spans="1:4" x14ac:dyDescent="0.2">
      <c r="A134" s="24">
        <v>42644</v>
      </c>
      <c r="B134" s="25" t="s">
        <v>123</v>
      </c>
      <c r="C134" s="25" t="s">
        <v>8</v>
      </c>
      <c r="D134" s="51">
        <v>187265</v>
      </c>
    </row>
    <row r="135" spans="1:4" x14ac:dyDescent="0.2">
      <c r="A135" s="24">
        <v>42644</v>
      </c>
      <c r="B135" s="25" t="s">
        <v>124</v>
      </c>
      <c r="C135" s="25" t="s">
        <v>8</v>
      </c>
      <c r="D135" s="51">
        <v>52692</v>
      </c>
    </row>
    <row r="136" spans="1:4" x14ac:dyDescent="0.2">
      <c r="A136" s="24">
        <v>42644</v>
      </c>
      <c r="B136" s="25" t="s">
        <v>125</v>
      </c>
      <c r="C136" s="25" t="s">
        <v>8</v>
      </c>
      <c r="D136" s="51">
        <v>9442</v>
      </c>
    </row>
    <row r="137" spans="1:4" x14ac:dyDescent="0.2">
      <c r="A137" s="24">
        <v>42644</v>
      </c>
      <c r="B137" s="25" t="s">
        <v>117</v>
      </c>
      <c r="C137" s="25" t="s">
        <v>26</v>
      </c>
      <c r="D137" s="51">
        <v>554854</v>
      </c>
    </row>
    <row r="138" spans="1:4" x14ac:dyDescent="0.2">
      <c r="A138" s="24">
        <v>42644</v>
      </c>
      <c r="B138" s="25" t="s">
        <v>118</v>
      </c>
      <c r="C138" s="25" t="s">
        <v>26</v>
      </c>
      <c r="D138" s="51">
        <v>39224</v>
      </c>
    </row>
    <row r="139" spans="1:4" x14ac:dyDescent="0.2">
      <c r="A139" s="24">
        <v>42644</v>
      </c>
      <c r="B139" s="25" t="s">
        <v>119</v>
      </c>
      <c r="C139" s="25" t="s">
        <v>26</v>
      </c>
      <c r="D139" s="51">
        <v>26874</v>
      </c>
    </row>
    <row r="140" spans="1:4" x14ac:dyDescent="0.2">
      <c r="A140" s="24">
        <v>42644</v>
      </c>
      <c r="B140" s="25" t="s">
        <v>120</v>
      </c>
      <c r="C140" s="25" t="s">
        <v>26</v>
      </c>
      <c r="D140" s="51">
        <v>1</v>
      </c>
    </row>
    <row r="141" spans="1:4" x14ac:dyDescent="0.2">
      <c r="A141" s="24">
        <v>42644</v>
      </c>
      <c r="B141" s="25" t="s">
        <v>121</v>
      </c>
      <c r="C141" s="25" t="s">
        <v>26</v>
      </c>
      <c r="D141" s="51">
        <v>899</v>
      </c>
    </row>
    <row r="142" spans="1:4" x14ac:dyDescent="0.2">
      <c r="A142" s="24">
        <v>42644</v>
      </c>
      <c r="B142" s="25" t="s">
        <v>122</v>
      </c>
      <c r="C142" s="25" t="s">
        <v>26</v>
      </c>
      <c r="D142" s="51">
        <v>4304</v>
      </c>
    </row>
    <row r="143" spans="1:4" x14ac:dyDescent="0.2">
      <c r="A143" s="24">
        <v>42644</v>
      </c>
      <c r="B143" s="25" t="s">
        <v>123</v>
      </c>
      <c r="C143" s="25" t="s">
        <v>26</v>
      </c>
      <c r="D143" s="51">
        <v>147173</v>
      </c>
    </row>
    <row r="144" spans="1:4" x14ac:dyDescent="0.2">
      <c r="A144" s="24">
        <v>42644</v>
      </c>
      <c r="B144" s="25" t="s">
        <v>127</v>
      </c>
      <c r="C144" s="25" t="s">
        <v>26</v>
      </c>
      <c r="D144" s="51">
        <v>2916</v>
      </c>
    </row>
    <row r="145" spans="1:4" x14ac:dyDescent="0.2">
      <c r="A145" s="24">
        <v>42644</v>
      </c>
      <c r="B145" s="25" t="s">
        <v>128</v>
      </c>
      <c r="C145" s="25" t="s">
        <v>26</v>
      </c>
      <c r="D145" s="51">
        <v>715</v>
      </c>
    </row>
    <row r="146" spans="1:4" x14ac:dyDescent="0.2">
      <c r="A146" s="24">
        <v>42644</v>
      </c>
      <c r="B146" s="25" t="s">
        <v>117</v>
      </c>
      <c r="C146" s="25" t="s">
        <v>2</v>
      </c>
      <c r="D146" s="51">
        <v>22608261</v>
      </c>
    </row>
    <row r="147" spans="1:4" x14ac:dyDescent="0.2">
      <c r="A147" s="24">
        <v>42644</v>
      </c>
      <c r="B147" s="25" t="s">
        <v>118</v>
      </c>
      <c r="C147" s="25" t="s">
        <v>2</v>
      </c>
      <c r="D147" s="51">
        <v>1120560</v>
      </c>
    </row>
    <row r="148" spans="1:4" x14ac:dyDescent="0.2">
      <c r="A148" s="24">
        <v>42644</v>
      </c>
      <c r="B148" s="25" t="s">
        <v>119</v>
      </c>
      <c r="C148" s="25" t="s">
        <v>2</v>
      </c>
      <c r="D148" s="51">
        <v>2065326</v>
      </c>
    </row>
    <row r="149" spans="1:4" x14ac:dyDescent="0.2">
      <c r="A149" s="24">
        <v>42644</v>
      </c>
      <c r="B149" s="25" t="s">
        <v>120</v>
      </c>
      <c r="C149" s="25" t="s">
        <v>2</v>
      </c>
      <c r="D149" s="51">
        <v>289301</v>
      </c>
    </row>
    <row r="150" spans="1:4" x14ac:dyDescent="0.2">
      <c r="A150" s="24">
        <v>42644</v>
      </c>
      <c r="B150" s="25" t="s">
        <v>121</v>
      </c>
      <c r="C150" s="25" t="s">
        <v>2</v>
      </c>
      <c r="D150" s="51">
        <v>30205</v>
      </c>
    </row>
    <row r="151" spans="1:4" x14ac:dyDescent="0.2">
      <c r="A151" s="24">
        <v>42644</v>
      </c>
      <c r="B151" s="25" t="s">
        <v>122</v>
      </c>
      <c r="C151" s="25" t="s">
        <v>2</v>
      </c>
      <c r="D151" s="51">
        <v>759479</v>
      </c>
    </row>
    <row r="152" spans="1:4" x14ac:dyDescent="0.2">
      <c r="A152" s="24">
        <v>42644</v>
      </c>
      <c r="B152" s="25" t="s">
        <v>123</v>
      </c>
      <c r="C152" s="25" t="s">
        <v>2</v>
      </c>
      <c r="D152" s="51">
        <v>2859632</v>
      </c>
    </row>
    <row r="153" spans="1:4" x14ac:dyDescent="0.2">
      <c r="A153" s="24">
        <v>42644</v>
      </c>
      <c r="B153" s="25" t="s">
        <v>129</v>
      </c>
      <c r="C153" s="25" t="s">
        <v>2</v>
      </c>
      <c r="D153" s="51">
        <v>311836</v>
      </c>
    </row>
    <row r="154" spans="1:4" x14ac:dyDescent="0.2">
      <c r="A154" s="24">
        <v>42644</v>
      </c>
      <c r="B154" s="25" t="s">
        <v>130</v>
      </c>
      <c r="C154" s="25" t="s">
        <v>2</v>
      </c>
      <c r="D154" s="51">
        <v>62233</v>
      </c>
    </row>
    <row r="155" spans="1:4" x14ac:dyDescent="0.2">
      <c r="A155" s="24">
        <v>42675</v>
      </c>
      <c r="B155" s="25" t="s">
        <v>117</v>
      </c>
      <c r="C155" s="25" t="s">
        <v>4</v>
      </c>
      <c r="D155" s="51">
        <v>14203977</v>
      </c>
    </row>
    <row r="156" spans="1:4" x14ac:dyDescent="0.2">
      <c r="A156" s="24">
        <v>42675</v>
      </c>
      <c r="B156" s="25" t="s">
        <v>131</v>
      </c>
      <c r="C156" s="25" t="s">
        <v>4</v>
      </c>
      <c r="D156" s="51">
        <v>190359</v>
      </c>
    </row>
    <row r="157" spans="1:4" x14ac:dyDescent="0.2">
      <c r="A157" s="24">
        <v>42675</v>
      </c>
      <c r="B157" s="25" t="s">
        <v>132</v>
      </c>
      <c r="C157" s="25" t="s">
        <v>4</v>
      </c>
      <c r="D157" s="51">
        <v>122653</v>
      </c>
    </row>
    <row r="158" spans="1:4" x14ac:dyDescent="0.2">
      <c r="A158" s="24">
        <v>42675</v>
      </c>
      <c r="B158" s="25" t="s">
        <v>133</v>
      </c>
      <c r="C158" s="25" t="s">
        <v>4</v>
      </c>
      <c r="D158" s="51">
        <v>48268</v>
      </c>
    </row>
    <row r="159" spans="1:4" x14ac:dyDescent="0.2">
      <c r="A159" s="24">
        <v>42675</v>
      </c>
      <c r="B159" s="25" t="s">
        <v>118</v>
      </c>
      <c r="C159" s="25" t="s">
        <v>4</v>
      </c>
      <c r="D159" s="51">
        <v>1142170</v>
      </c>
    </row>
    <row r="160" spans="1:4" x14ac:dyDescent="0.2">
      <c r="A160" s="24">
        <v>42675</v>
      </c>
      <c r="B160" s="25" t="s">
        <v>134</v>
      </c>
      <c r="C160" s="25" t="s">
        <v>4</v>
      </c>
      <c r="D160" s="51">
        <v>57618</v>
      </c>
    </row>
    <row r="161" spans="1:4" x14ac:dyDescent="0.2">
      <c r="A161" s="24">
        <v>42675</v>
      </c>
      <c r="B161" s="25" t="s">
        <v>135</v>
      </c>
      <c r="C161" s="25" t="s">
        <v>4</v>
      </c>
      <c r="D161" s="51">
        <v>33400</v>
      </c>
    </row>
    <row r="162" spans="1:4" x14ac:dyDescent="0.2">
      <c r="A162" s="24">
        <v>42675</v>
      </c>
      <c r="B162" s="25" t="s">
        <v>136</v>
      </c>
      <c r="C162" s="25" t="s">
        <v>4</v>
      </c>
      <c r="D162" s="51">
        <v>9669</v>
      </c>
    </row>
    <row r="163" spans="1:4" x14ac:dyDescent="0.2">
      <c r="A163" s="24">
        <v>42675</v>
      </c>
      <c r="B163" s="25" t="s">
        <v>119</v>
      </c>
      <c r="C163" s="25" t="s">
        <v>4</v>
      </c>
      <c r="D163" s="51">
        <v>1391898</v>
      </c>
    </row>
    <row r="164" spans="1:4" x14ac:dyDescent="0.2">
      <c r="A164" s="24">
        <v>42675</v>
      </c>
      <c r="B164" s="25" t="s">
        <v>120</v>
      </c>
      <c r="C164" s="25" t="s">
        <v>4</v>
      </c>
      <c r="D164" s="51">
        <v>76755</v>
      </c>
    </row>
    <row r="165" spans="1:4" x14ac:dyDescent="0.2">
      <c r="A165" s="24">
        <v>42675</v>
      </c>
      <c r="B165" s="25" t="s">
        <v>121</v>
      </c>
      <c r="C165" s="25" t="s">
        <v>4</v>
      </c>
      <c r="D165" s="51">
        <v>36217</v>
      </c>
    </row>
    <row r="166" spans="1:4" x14ac:dyDescent="0.2">
      <c r="A166" s="24">
        <v>42675</v>
      </c>
      <c r="B166" s="25" t="s">
        <v>122</v>
      </c>
      <c r="C166" s="25" t="s">
        <v>4</v>
      </c>
      <c r="D166" s="51">
        <v>2792634</v>
      </c>
    </row>
    <row r="167" spans="1:4" x14ac:dyDescent="0.2">
      <c r="A167" s="24">
        <v>42675</v>
      </c>
      <c r="B167" s="25" t="s">
        <v>123</v>
      </c>
      <c r="C167" s="25" t="s">
        <v>4</v>
      </c>
      <c r="D167" s="51">
        <v>4316765</v>
      </c>
    </row>
    <row r="168" spans="1:4" x14ac:dyDescent="0.2">
      <c r="A168" s="24">
        <v>42675</v>
      </c>
      <c r="B168" s="25" t="s">
        <v>117</v>
      </c>
      <c r="C168" s="25" t="s">
        <v>8</v>
      </c>
      <c r="D168" s="51">
        <v>929645</v>
      </c>
    </row>
    <row r="169" spans="1:4" x14ac:dyDescent="0.2">
      <c r="A169" s="24">
        <v>42675</v>
      </c>
      <c r="B169" s="25" t="s">
        <v>118</v>
      </c>
      <c r="C169" s="25" t="s">
        <v>8</v>
      </c>
      <c r="D169" s="51">
        <v>76663</v>
      </c>
    </row>
    <row r="170" spans="1:4" x14ac:dyDescent="0.2">
      <c r="A170" s="24">
        <v>42675</v>
      </c>
      <c r="B170" s="25" t="s">
        <v>119</v>
      </c>
      <c r="C170" s="25" t="s">
        <v>8</v>
      </c>
      <c r="D170" s="51">
        <v>25891</v>
      </c>
    </row>
    <row r="171" spans="1:4" x14ac:dyDescent="0.2">
      <c r="A171" s="24">
        <v>42675</v>
      </c>
      <c r="B171" s="25" t="s">
        <v>120</v>
      </c>
      <c r="C171" s="25" t="s">
        <v>8</v>
      </c>
      <c r="D171" s="51">
        <v>5914</v>
      </c>
    </row>
    <row r="172" spans="1:4" x14ac:dyDescent="0.2">
      <c r="A172" s="24">
        <v>42675</v>
      </c>
      <c r="B172" s="25" t="s">
        <v>121</v>
      </c>
      <c r="C172" s="25" t="s">
        <v>8</v>
      </c>
      <c r="D172" s="51">
        <v>2271</v>
      </c>
    </row>
    <row r="173" spans="1:4" x14ac:dyDescent="0.2">
      <c r="A173" s="24">
        <v>42675</v>
      </c>
      <c r="B173" s="25" t="s">
        <v>122</v>
      </c>
      <c r="C173" s="25" t="s">
        <v>8</v>
      </c>
      <c r="D173" s="51">
        <v>2150</v>
      </c>
    </row>
    <row r="174" spans="1:4" x14ac:dyDescent="0.2">
      <c r="A174" s="24">
        <v>42675</v>
      </c>
      <c r="B174" s="25" t="s">
        <v>123</v>
      </c>
      <c r="C174" s="25" t="s">
        <v>8</v>
      </c>
      <c r="D174" s="51">
        <v>195969</v>
      </c>
    </row>
    <row r="175" spans="1:4" x14ac:dyDescent="0.2">
      <c r="A175" s="24">
        <v>42675</v>
      </c>
      <c r="B175" s="25" t="s">
        <v>124</v>
      </c>
      <c r="C175" s="25" t="s">
        <v>8</v>
      </c>
      <c r="D175" s="51">
        <v>57975</v>
      </c>
    </row>
    <row r="176" spans="1:4" x14ac:dyDescent="0.2">
      <c r="A176" s="24">
        <v>42675</v>
      </c>
      <c r="B176" s="25" t="s">
        <v>125</v>
      </c>
      <c r="C176" s="25" t="s">
        <v>8</v>
      </c>
      <c r="D176" s="51">
        <v>6023</v>
      </c>
    </row>
    <row r="177" spans="1:4" x14ac:dyDescent="0.2">
      <c r="A177" s="24">
        <v>42675</v>
      </c>
      <c r="B177" s="25" t="s">
        <v>117</v>
      </c>
      <c r="C177" s="25" t="s">
        <v>26</v>
      </c>
      <c r="D177" s="51">
        <v>511961</v>
      </c>
    </row>
    <row r="178" spans="1:4" x14ac:dyDescent="0.2">
      <c r="A178" s="24">
        <v>42675</v>
      </c>
      <c r="B178" s="25" t="s">
        <v>118</v>
      </c>
      <c r="C178" s="25" t="s">
        <v>26</v>
      </c>
      <c r="D178" s="51">
        <v>28564</v>
      </c>
    </row>
    <row r="179" spans="1:4" x14ac:dyDescent="0.2">
      <c r="A179" s="24">
        <v>42675</v>
      </c>
      <c r="B179" s="25" t="s">
        <v>119</v>
      </c>
      <c r="C179" s="25" t="s">
        <v>26</v>
      </c>
      <c r="D179" s="51">
        <v>25699</v>
      </c>
    </row>
    <row r="180" spans="1:4" x14ac:dyDescent="0.2">
      <c r="A180" s="24">
        <v>42675</v>
      </c>
      <c r="B180" s="25" t="s">
        <v>121</v>
      </c>
      <c r="C180" s="25" t="s">
        <v>26</v>
      </c>
      <c r="D180" s="51">
        <v>776</v>
      </c>
    </row>
    <row r="181" spans="1:4" x14ac:dyDescent="0.2">
      <c r="A181" s="24">
        <v>42675</v>
      </c>
      <c r="B181" s="25" t="s">
        <v>122</v>
      </c>
      <c r="C181" s="25" t="s">
        <v>26</v>
      </c>
      <c r="D181" s="51">
        <v>5599</v>
      </c>
    </row>
    <row r="182" spans="1:4" x14ac:dyDescent="0.2">
      <c r="A182" s="24">
        <v>42675</v>
      </c>
      <c r="B182" s="25" t="s">
        <v>123</v>
      </c>
      <c r="C182" s="25" t="s">
        <v>26</v>
      </c>
      <c r="D182" s="51">
        <v>130118</v>
      </c>
    </row>
    <row r="183" spans="1:4" x14ac:dyDescent="0.2">
      <c r="A183" s="24">
        <v>42675</v>
      </c>
      <c r="B183" s="25" t="s">
        <v>127</v>
      </c>
      <c r="C183" s="25" t="s">
        <v>26</v>
      </c>
      <c r="D183" s="51">
        <v>2204</v>
      </c>
    </row>
    <row r="184" spans="1:4" x14ac:dyDescent="0.2">
      <c r="A184" s="24">
        <v>42675</v>
      </c>
      <c r="B184" s="25" t="s">
        <v>128</v>
      </c>
      <c r="C184" s="25" t="s">
        <v>26</v>
      </c>
      <c r="D184" s="51">
        <v>344</v>
      </c>
    </row>
    <row r="185" spans="1:4" x14ac:dyDescent="0.2">
      <c r="A185" s="24">
        <v>42675</v>
      </c>
      <c r="B185" s="25" t="s">
        <v>117</v>
      </c>
      <c r="C185" s="25" t="s">
        <v>2</v>
      </c>
      <c r="D185" s="51">
        <v>23867512</v>
      </c>
    </row>
    <row r="186" spans="1:4" x14ac:dyDescent="0.2">
      <c r="A186" s="24">
        <v>42675</v>
      </c>
      <c r="B186" s="25" t="s">
        <v>118</v>
      </c>
      <c r="C186" s="25" t="s">
        <v>2</v>
      </c>
      <c r="D186" s="51">
        <v>1036526</v>
      </c>
    </row>
    <row r="187" spans="1:4" x14ac:dyDescent="0.2">
      <c r="A187" s="24">
        <v>42675</v>
      </c>
      <c r="B187" s="25" t="s">
        <v>119</v>
      </c>
      <c r="C187" s="25" t="s">
        <v>2</v>
      </c>
      <c r="D187" s="51">
        <v>1707681</v>
      </c>
    </row>
    <row r="188" spans="1:4" x14ac:dyDescent="0.2">
      <c r="A188" s="24">
        <v>42675</v>
      </c>
      <c r="B188" s="25" t="s">
        <v>120</v>
      </c>
      <c r="C188" s="25" t="s">
        <v>2</v>
      </c>
      <c r="D188" s="51">
        <v>318627</v>
      </c>
    </row>
    <row r="189" spans="1:4" x14ac:dyDescent="0.2">
      <c r="A189" s="24">
        <v>42675</v>
      </c>
      <c r="B189" s="25" t="s">
        <v>121</v>
      </c>
      <c r="C189" s="25" t="s">
        <v>2</v>
      </c>
      <c r="D189" s="51">
        <v>33096</v>
      </c>
    </row>
    <row r="190" spans="1:4" x14ac:dyDescent="0.2">
      <c r="A190" s="24">
        <v>42675</v>
      </c>
      <c r="B190" s="25" t="s">
        <v>122</v>
      </c>
      <c r="C190" s="25" t="s">
        <v>2</v>
      </c>
      <c r="D190" s="51">
        <v>1013962</v>
      </c>
    </row>
    <row r="191" spans="1:4" x14ac:dyDescent="0.2">
      <c r="A191" s="24">
        <v>42675</v>
      </c>
      <c r="B191" s="25" t="s">
        <v>123</v>
      </c>
      <c r="C191" s="25" t="s">
        <v>2</v>
      </c>
      <c r="D191" s="51">
        <v>2969184</v>
      </c>
    </row>
    <row r="192" spans="1:4" x14ac:dyDescent="0.2">
      <c r="A192" s="24">
        <v>42675</v>
      </c>
      <c r="B192" s="25" t="s">
        <v>129</v>
      </c>
      <c r="C192" s="25" t="s">
        <v>2</v>
      </c>
      <c r="D192" s="51">
        <v>320085</v>
      </c>
    </row>
    <row r="193" spans="1:4" x14ac:dyDescent="0.2">
      <c r="A193" s="24">
        <v>42675</v>
      </c>
      <c r="B193" s="25" t="s">
        <v>130</v>
      </c>
      <c r="C193" s="25" t="s">
        <v>2</v>
      </c>
      <c r="D193" s="51">
        <v>51606</v>
      </c>
    </row>
    <row r="194" spans="1:4" x14ac:dyDescent="0.2">
      <c r="A194" s="24">
        <v>42705</v>
      </c>
      <c r="B194" s="25" t="s">
        <v>117</v>
      </c>
      <c r="C194" s="25" t="s">
        <v>4</v>
      </c>
      <c r="D194" s="51">
        <v>12839969</v>
      </c>
    </row>
    <row r="195" spans="1:4" x14ac:dyDescent="0.2">
      <c r="A195" s="24">
        <v>42705</v>
      </c>
      <c r="B195" s="25" t="s">
        <v>131</v>
      </c>
      <c r="C195" s="25" t="s">
        <v>4</v>
      </c>
      <c r="D195" s="51">
        <v>190339</v>
      </c>
    </row>
    <row r="196" spans="1:4" x14ac:dyDescent="0.2">
      <c r="A196" s="24">
        <v>42705</v>
      </c>
      <c r="B196" s="25" t="s">
        <v>132</v>
      </c>
      <c r="C196" s="25" t="s">
        <v>4</v>
      </c>
      <c r="D196" s="51">
        <v>124517</v>
      </c>
    </row>
    <row r="197" spans="1:4" x14ac:dyDescent="0.2">
      <c r="A197" s="24">
        <v>42705</v>
      </c>
      <c r="B197" s="25" t="s">
        <v>133</v>
      </c>
      <c r="C197" s="25" t="s">
        <v>4</v>
      </c>
      <c r="D197" s="51">
        <v>51178</v>
      </c>
    </row>
    <row r="198" spans="1:4" x14ac:dyDescent="0.2">
      <c r="A198" s="24">
        <v>42705</v>
      </c>
      <c r="B198" s="25" t="s">
        <v>118</v>
      </c>
      <c r="C198" s="25" t="s">
        <v>4</v>
      </c>
      <c r="D198" s="51">
        <v>1311601</v>
      </c>
    </row>
    <row r="199" spans="1:4" x14ac:dyDescent="0.2">
      <c r="A199" s="24">
        <v>42705</v>
      </c>
      <c r="B199" s="25" t="s">
        <v>134</v>
      </c>
      <c r="C199" s="25" t="s">
        <v>4</v>
      </c>
      <c r="D199" s="51">
        <v>65006</v>
      </c>
    </row>
    <row r="200" spans="1:4" x14ac:dyDescent="0.2">
      <c r="A200" s="24">
        <v>42705</v>
      </c>
      <c r="B200" s="25" t="s">
        <v>135</v>
      </c>
      <c r="C200" s="25" t="s">
        <v>4</v>
      </c>
      <c r="D200" s="51">
        <v>48328</v>
      </c>
    </row>
    <row r="201" spans="1:4" x14ac:dyDescent="0.2">
      <c r="A201" s="24">
        <v>42705</v>
      </c>
      <c r="B201" s="25" t="s">
        <v>136</v>
      </c>
      <c r="C201" s="25" t="s">
        <v>4</v>
      </c>
      <c r="D201" s="51">
        <v>15754</v>
      </c>
    </row>
    <row r="202" spans="1:4" x14ac:dyDescent="0.2">
      <c r="A202" s="24">
        <v>42705</v>
      </c>
      <c r="B202" s="25" t="s">
        <v>119</v>
      </c>
      <c r="C202" s="25" t="s">
        <v>4</v>
      </c>
      <c r="D202" s="51">
        <v>1038399</v>
      </c>
    </row>
    <row r="203" spans="1:4" x14ac:dyDescent="0.2">
      <c r="A203" s="24">
        <v>42705</v>
      </c>
      <c r="B203" s="25" t="s">
        <v>120</v>
      </c>
      <c r="C203" s="25" t="s">
        <v>4</v>
      </c>
      <c r="D203" s="51">
        <v>71339</v>
      </c>
    </row>
    <row r="204" spans="1:4" x14ac:dyDescent="0.2">
      <c r="A204" s="24">
        <v>42705</v>
      </c>
      <c r="B204" s="25" t="s">
        <v>121</v>
      </c>
      <c r="C204" s="25" t="s">
        <v>4</v>
      </c>
      <c r="D204" s="51">
        <v>34095</v>
      </c>
    </row>
    <row r="205" spans="1:4" x14ac:dyDescent="0.2">
      <c r="A205" s="24">
        <v>42705</v>
      </c>
      <c r="B205" s="25" t="s">
        <v>122</v>
      </c>
      <c r="C205" s="25" t="s">
        <v>4</v>
      </c>
      <c r="D205" s="51">
        <v>1067910</v>
      </c>
    </row>
    <row r="206" spans="1:4" x14ac:dyDescent="0.2">
      <c r="A206" s="24">
        <v>42705</v>
      </c>
      <c r="B206" s="25" t="s">
        <v>123</v>
      </c>
      <c r="C206" s="25" t="s">
        <v>4</v>
      </c>
      <c r="D206" s="51">
        <v>4022430</v>
      </c>
    </row>
    <row r="207" spans="1:4" x14ac:dyDescent="0.2">
      <c r="A207" s="24">
        <v>42705</v>
      </c>
      <c r="B207" s="25" t="s">
        <v>117</v>
      </c>
      <c r="C207" s="25" t="s">
        <v>8</v>
      </c>
      <c r="D207" s="51">
        <v>1050663</v>
      </c>
    </row>
    <row r="208" spans="1:4" x14ac:dyDescent="0.2">
      <c r="A208" s="24">
        <v>42705</v>
      </c>
      <c r="B208" s="25" t="s">
        <v>118</v>
      </c>
      <c r="C208" s="25" t="s">
        <v>8</v>
      </c>
      <c r="D208" s="51">
        <v>144692</v>
      </c>
    </row>
    <row r="209" spans="1:4" x14ac:dyDescent="0.2">
      <c r="A209" s="24">
        <v>42705</v>
      </c>
      <c r="B209" s="25" t="s">
        <v>119</v>
      </c>
      <c r="C209" s="25" t="s">
        <v>8</v>
      </c>
      <c r="D209" s="51">
        <v>27905</v>
      </c>
    </row>
    <row r="210" spans="1:4" x14ac:dyDescent="0.2">
      <c r="A210" s="24">
        <v>42705</v>
      </c>
      <c r="B210" s="25" t="s">
        <v>120</v>
      </c>
      <c r="C210" s="25" t="s">
        <v>8</v>
      </c>
      <c r="D210" s="51">
        <v>5970</v>
      </c>
    </row>
    <row r="211" spans="1:4" x14ac:dyDescent="0.2">
      <c r="A211" s="24">
        <v>42705</v>
      </c>
      <c r="B211" s="25" t="s">
        <v>121</v>
      </c>
      <c r="C211" s="25" t="s">
        <v>8</v>
      </c>
      <c r="D211" s="51">
        <v>2219</v>
      </c>
    </row>
    <row r="212" spans="1:4" x14ac:dyDescent="0.2">
      <c r="A212" s="24">
        <v>42705</v>
      </c>
      <c r="B212" s="25" t="s">
        <v>122</v>
      </c>
      <c r="C212" s="25" t="s">
        <v>8</v>
      </c>
      <c r="D212" s="51">
        <v>796</v>
      </c>
    </row>
    <row r="213" spans="1:4" x14ac:dyDescent="0.2">
      <c r="A213" s="24">
        <v>42705</v>
      </c>
      <c r="B213" s="25" t="s">
        <v>123</v>
      </c>
      <c r="C213" s="25" t="s">
        <v>8</v>
      </c>
      <c r="D213" s="51">
        <v>187261</v>
      </c>
    </row>
    <row r="214" spans="1:4" x14ac:dyDescent="0.2">
      <c r="A214" s="24">
        <v>42705</v>
      </c>
      <c r="B214" s="25" t="s">
        <v>124</v>
      </c>
      <c r="C214" s="25" t="s">
        <v>8</v>
      </c>
      <c r="D214" s="51">
        <v>70707</v>
      </c>
    </row>
    <row r="215" spans="1:4" x14ac:dyDescent="0.2">
      <c r="A215" s="24">
        <v>42705</v>
      </c>
      <c r="B215" s="25" t="s">
        <v>125</v>
      </c>
      <c r="C215" s="25" t="s">
        <v>8</v>
      </c>
      <c r="D215" s="51">
        <v>16773</v>
      </c>
    </row>
    <row r="216" spans="1:4" x14ac:dyDescent="0.2">
      <c r="A216" s="24">
        <v>42705</v>
      </c>
      <c r="B216" s="25" t="s">
        <v>117</v>
      </c>
      <c r="C216" s="25" t="s">
        <v>26</v>
      </c>
      <c r="D216" s="51">
        <v>533991</v>
      </c>
    </row>
    <row r="217" spans="1:4" x14ac:dyDescent="0.2">
      <c r="A217" s="24">
        <v>42705</v>
      </c>
      <c r="B217" s="25" t="s">
        <v>118</v>
      </c>
      <c r="C217" s="25" t="s">
        <v>26</v>
      </c>
      <c r="D217" s="51">
        <v>39398</v>
      </c>
    </row>
    <row r="218" spans="1:4" x14ac:dyDescent="0.2">
      <c r="A218" s="24">
        <v>42705</v>
      </c>
      <c r="B218" s="25" t="s">
        <v>119</v>
      </c>
      <c r="C218" s="25" t="s">
        <v>26</v>
      </c>
      <c r="D218" s="51">
        <v>24597</v>
      </c>
    </row>
    <row r="219" spans="1:4" x14ac:dyDescent="0.2">
      <c r="A219" s="24">
        <v>42705</v>
      </c>
      <c r="B219" s="25" t="s">
        <v>121</v>
      </c>
      <c r="C219" s="25" t="s">
        <v>26</v>
      </c>
      <c r="D219" s="51">
        <v>752</v>
      </c>
    </row>
    <row r="220" spans="1:4" x14ac:dyDescent="0.2">
      <c r="A220" s="24">
        <v>42705</v>
      </c>
      <c r="B220" s="25" t="s">
        <v>122</v>
      </c>
      <c r="C220" s="25" t="s">
        <v>26</v>
      </c>
      <c r="D220" s="51">
        <v>2109</v>
      </c>
    </row>
    <row r="221" spans="1:4" x14ac:dyDescent="0.2">
      <c r="A221" s="24">
        <v>42705</v>
      </c>
      <c r="B221" s="25" t="s">
        <v>123</v>
      </c>
      <c r="C221" s="25" t="s">
        <v>26</v>
      </c>
      <c r="D221" s="51">
        <v>122012</v>
      </c>
    </row>
    <row r="222" spans="1:4" x14ac:dyDescent="0.2">
      <c r="A222" s="24">
        <v>42705</v>
      </c>
      <c r="B222" s="25" t="s">
        <v>127</v>
      </c>
      <c r="C222" s="25" t="s">
        <v>26</v>
      </c>
      <c r="D222" s="51">
        <v>2875</v>
      </c>
    </row>
    <row r="223" spans="1:4" x14ac:dyDescent="0.2">
      <c r="A223" s="24">
        <v>42705</v>
      </c>
      <c r="B223" s="25" t="s">
        <v>128</v>
      </c>
      <c r="C223" s="25" t="s">
        <v>26</v>
      </c>
      <c r="D223" s="51">
        <v>787</v>
      </c>
    </row>
    <row r="224" spans="1:4" x14ac:dyDescent="0.2">
      <c r="A224" s="24">
        <v>42705</v>
      </c>
      <c r="B224" s="25" t="s">
        <v>117</v>
      </c>
      <c r="C224" s="25" t="s">
        <v>2</v>
      </c>
      <c r="D224" s="51">
        <v>21532401</v>
      </c>
    </row>
    <row r="225" spans="1:4" x14ac:dyDescent="0.2">
      <c r="A225" s="24">
        <v>42705</v>
      </c>
      <c r="B225" s="25" t="s">
        <v>118</v>
      </c>
      <c r="C225" s="25" t="s">
        <v>2</v>
      </c>
      <c r="D225" s="51">
        <v>1353758</v>
      </c>
    </row>
    <row r="226" spans="1:4" x14ac:dyDescent="0.2">
      <c r="A226" s="24">
        <v>42705</v>
      </c>
      <c r="B226" s="25" t="s">
        <v>119</v>
      </c>
      <c r="C226" s="25" t="s">
        <v>2</v>
      </c>
      <c r="D226" s="51">
        <v>1361789</v>
      </c>
    </row>
    <row r="227" spans="1:4" x14ac:dyDescent="0.2">
      <c r="A227" s="24">
        <v>42705</v>
      </c>
      <c r="B227" s="25" t="s">
        <v>120</v>
      </c>
      <c r="C227" s="25" t="s">
        <v>2</v>
      </c>
      <c r="D227" s="51">
        <v>285847</v>
      </c>
    </row>
    <row r="228" spans="1:4" x14ac:dyDescent="0.2">
      <c r="A228" s="24">
        <v>42705</v>
      </c>
      <c r="B228" s="25" t="s">
        <v>121</v>
      </c>
      <c r="C228" s="25" t="s">
        <v>2</v>
      </c>
      <c r="D228" s="51">
        <v>29099</v>
      </c>
    </row>
    <row r="229" spans="1:4" x14ac:dyDescent="0.2">
      <c r="A229" s="24">
        <v>42705</v>
      </c>
      <c r="B229" s="25" t="s">
        <v>122</v>
      </c>
      <c r="C229" s="25" t="s">
        <v>2</v>
      </c>
      <c r="D229" s="51">
        <v>404194</v>
      </c>
    </row>
    <row r="230" spans="1:4" x14ac:dyDescent="0.2">
      <c r="A230" s="24">
        <v>42705</v>
      </c>
      <c r="B230" s="25" t="s">
        <v>123</v>
      </c>
      <c r="C230" s="25" t="s">
        <v>2</v>
      </c>
      <c r="D230" s="51">
        <v>2773808</v>
      </c>
    </row>
    <row r="231" spans="1:4" x14ac:dyDescent="0.2">
      <c r="A231" s="24">
        <v>42705</v>
      </c>
      <c r="B231" s="25" t="s">
        <v>129</v>
      </c>
      <c r="C231" s="25" t="s">
        <v>2</v>
      </c>
      <c r="D231" s="51">
        <v>362922</v>
      </c>
    </row>
    <row r="232" spans="1:4" x14ac:dyDescent="0.2">
      <c r="A232" s="24">
        <v>42705</v>
      </c>
      <c r="B232" s="25" t="s">
        <v>130</v>
      </c>
      <c r="C232" s="25" t="s">
        <v>2</v>
      </c>
      <c r="D232" s="51">
        <v>85766</v>
      </c>
    </row>
    <row r="233" spans="1:4" x14ac:dyDescent="0.2">
      <c r="A233" s="24">
        <v>42736</v>
      </c>
      <c r="B233" s="25" t="s">
        <v>117</v>
      </c>
      <c r="C233" s="25" t="s">
        <v>4</v>
      </c>
      <c r="D233" s="51">
        <v>12658936</v>
      </c>
    </row>
    <row r="234" spans="1:4" x14ac:dyDescent="0.2">
      <c r="A234" s="24">
        <v>42736</v>
      </c>
      <c r="B234" s="25" t="s">
        <v>131</v>
      </c>
      <c r="C234" s="25" t="s">
        <v>4</v>
      </c>
      <c r="D234" s="51">
        <v>182210</v>
      </c>
    </row>
    <row r="235" spans="1:4" x14ac:dyDescent="0.2">
      <c r="A235" s="24">
        <v>42736</v>
      </c>
      <c r="B235" s="25" t="s">
        <v>132</v>
      </c>
      <c r="C235" s="25" t="s">
        <v>4</v>
      </c>
      <c r="D235" s="51">
        <v>116130</v>
      </c>
    </row>
    <row r="236" spans="1:4" x14ac:dyDescent="0.2">
      <c r="A236" s="24">
        <v>42736</v>
      </c>
      <c r="B236" s="25" t="s">
        <v>133</v>
      </c>
      <c r="C236" s="25" t="s">
        <v>4</v>
      </c>
      <c r="D236" s="51">
        <v>46161</v>
      </c>
    </row>
    <row r="237" spans="1:4" x14ac:dyDescent="0.2">
      <c r="A237" s="24">
        <v>42736</v>
      </c>
      <c r="B237" s="25" t="s">
        <v>118</v>
      </c>
      <c r="C237" s="25" t="s">
        <v>4</v>
      </c>
      <c r="D237" s="51">
        <v>1405219</v>
      </c>
    </row>
    <row r="238" spans="1:4" x14ac:dyDescent="0.2">
      <c r="A238" s="24">
        <v>42736</v>
      </c>
      <c r="B238" s="25" t="s">
        <v>134</v>
      </c>
      <c r="C238" s="25" t="s">
        <v>4</v>
      </c>
      <c r="D238" s="51">
        <v>66323</v>
      </c>
    </row>
    <row r="239" spans="1:4" x14ac:dyDescent="0.2">
      <c r="A239" s="24">
        <v>42736</v>
      </c>
      <c r="B239" s="25" t="s">
        <v>135</v>
      </c>
      <c r="C239" s="25" t="s">
        <v>4</v>
      </c>
      <c r="D239" s="51">
        <v>53334</v>
      </c>
    </row>
    <row r="240" spans="1:4" x14ac:dyDescent="0.2">
      <c r="A240" s="24">
        <v>42736</v>
      </c>
      <c r="B240" s="25" t="s">
        <v>136</v>
      </c>
      <c r="C240" s="25" t="s">
        <v>4</v>
      </c>
      <c r="D240" s="51">
        <v>18050</v>
      </c>
    </row>
    <row r="241" spans="1:4" x14ac:dyDescent="0.2">
      <c r="A241" s="24">
        <v>42736</v>
      </c>
      <c r="B241" s="25" t="s">
        <v>119</v>
      </c>
      <c r="C241" s="25" t="s">
        <v>4</v>
      </c>
      <c r="D241" s="51">
        <v>985862</v>
      </c>
    </row>
    <row r="242" spans="1:4" x14ac:dyDescent="0.2">
      <c r="A242" s="24">
        <v>42736</v>
      </c>
      <c r="B242" s="25" t="s">
        <v>120</v>
      </c>
      <c r="C242" s="25" t="s">
        <v>4</v>
      </c>
      <c r="D242" s="51">
        <v>66458</v>
      </c>
    </row>
    <row r="243" spans="1:4" x14ac:dyDescent="0.2">
      <c r="A243" s="24">
        <v>42736</v>
      </c>
      <c r="B243" s="25" t="s">
        <v>121</v>
      </c>
      <c r="C243" s="25" t="s">
        <v>4</v>
      </c>
      <c r="D243" s="51">
        <v>31281</v>
      </c>
    </row>
    <row r="244" spans="1:4" x14ac:dyDescent="0.2">
      <c r="A244" s="24">
        <v>42736</v>
      </c>
      <c r="B244" s="25" t="s">
        <v>122</v>
      </c>
      <c r="C244" s="25" t="s">
        <v>4</v>
      </c>
      <c r="D244" s="51">
        <v>168257</v>
      </c>
    </row>
    <row r="245" spans="1:4" x14ac:dyDescent="0.2">
      <c r="A245" s="24">
        <v>42736</v>
      </c>
      <c r="B245" s="25" t="s">
        <v>123</v>
      </c>
      <c r="C245" s="25" t="s">
        <v>4</v>
      </c>
      <c r="D245" s="51">
        <v>3752674</v>
      </c>
    </row>
    <row r="246" spans="1:4" x14ac:dyDescent="0.2">
      <c r="A246" s="24">
        <v>42736</v>
      </c>
      <c r="B246" s="25" t="s">
        <v>117</v>
      </c>
      <c r="C246" s="25" t="s">
        <v>8</v>
      </c>
      <c r="D246" s="51">
        <v>1164945</v>
      </c>
    </row>
    <row r="247" spans="1:4" x14ac:dyDescent="0.2">
      <c r="A247" s="24">
        <v>42736</v>
      </c>
      <c r="B247" s="25" t="s">
        <v>118</v>
      </c>
      <c r="C247" s="25" t="s">
        <v>8</v>
      </c>
      <c r="D247" s="51">
        <v>217918</v>
      </c>
    </row>
    <row r="248" spans="1:4" x14ac:dyDescent="0.2">
      <c r="A248" s="24">
        <v>42736</v>
      </c>
      <c r="B248" s="25" t="s">
        <v>119</v>
      </c>
      <c r="C248" s="25" t="s">
        <v>8</v>
      </c>
      <c r="D248" s="51">
        <v>28552</v>
      </c>
    </row>
    <row r="249" spans="1:4" x14ac:dyDescent="0.2">
      <c r="A249" s="24">
        <v>42736</v>
      </c>
      <c r="B249" s="25" t="s">
        <v>120</v>
      </c>
      <c r="C249" s="25" t="s">
        <v>8</v>
      </c>
      <c r="D249" s="51">
        <v>5959</v>
      </c>
    </row>
    <row r="250" spans="1:4" x14ac:dyDescent="0.2">
      <c r="A250" s="24">
        <v>42736</v>
      </c>
      <c r="B250" s="25" t="s">
        <v>121</v>
      </c>
      <c r="C250" s="25" t="s">
        <v>8</v>
      </c>
      <c r="D250" s="51">
        <v>2234</v>
      </c>
    </row>
    <row r="251" spans="1:4" x14ac:dyDescent="0.2">
      <c r="A251" s="24">
        <v>42736</v>
      </c>
      <c r="B251" s="25" t="s">
        <v>122</v>
      </c>
      <c r="C251" s="25" t="s">
        <v>8</v>
      </c>
      <c r="D251" s="51">
        <v>139</v>
      </c>
    </row>
    <row r="252" spans="1:4" x14ac:dyDescent="0.2">
      <c r="A252" s="24">
        <v>42736</v>
      </c>
      <c r="B252" s="25" t="s">
        <v>123</v>
      </c>
      <c r="C252" s="25" t="s">
        <v>8</v>
      </c>
      <c r="D252" s="51">
        <v>220534</v>
      </c>
    </row>
    <row r="253" spans="1:4" x14ac:dyDescent="0.2">
      <c r="A253" s="24">
        <v>42736</v>
      </c>
      <c r="B253" s="25" t="s">
        <v>124</v>
      </c>
      <c r="C253" s="25" t="s">
        <v>8</v>
      </c>
      <c r="D253" s="51">
        <v>76631</v>
      </c>
    </row>
    <row r="254" spans="1:4" x14ac:dyDescent="0.2">
      <c r="A254" s="24">
        <v>42736</v>
      </c>
      <c r="B254" s="25" t="s">
        <v>125</v>
      </c>
      <c r="C254" s="25" t="s">
        <v>8</v>
      </c>
      <c r="D254" s="51">
        <v>21171</v>
      </c>
    </row>
    <row r="255" spans="1:4" x14ac:dyDescent="0.2">
      <c r="A255" s="24">
        <v>42736</v>
      </c>
      <c r="B255" s="25" t="s">
        <v>117</v>
      </c>
      <c r="C255" s="25" t="s">
        <v>26</v>
      </c>
      <c r="D255" s="51">
        <v>313530</v>
      </c>
    </row>
    <row r="256" spans="1:4" x14ac:dyDescent="0.2">
      <c r="A256" s="24">
        <v>42736</v>
      </c>
      <c r="B256" s="25" t="s">
        <v>118</v>
      </c>
      <c r="C256" s="25" t="s">
        <v>26</v>
      </c>
      <c r="D256" s="51">
        <v>33524</v>
      </c>
    </row>
    <row r="257" spans="1:4" x14ac:dyDescent="0.2">
      <c r="A257" s="24">
        <v>42736</v>
      </c>
      <c r="B257" s="25" t="s">
        <v>119</v>
      </c>
      <c r="C257" s="25" t="s">
        <v>26</v>
      </c>
      <c r="D257" s="51">
        <v>14678</v>
      </c>
    </row>
    <row r="258" spans="1:4" x14ac:dyDescent="0.2">
      <c r="A258" s="24">
        <v>42736</v>
      </c>
      <c r="B258" s="25" t="s">
        <v>121</v>
      </c>
      <c r="C258" s="25" t="s">
        <v>26</v>
      </c>
      <c r="D258" s="51">
        <v>394</v>
      </c>
    </row>
    <row r="259" spans="1:4" x14ac:dyDescent="0.2">
      <c r="A259" s="24">
        <v>42736</v>
      </c>
      <c r="B259" s="25" t="s">
        <v>122</v>
      </c>
      <c r="C259" s="25" t="s">
        <v>26</v>
      </c>
      <c r="D259" s="51">
        <v>323</v>
      </c>
    </row>
    <row r="260" spans="1:4" x14ac:dyDescent="0.2">
      <c r="A260" s="24">
        <v>42736</v>
      </c>
      <c r="B260" s="25" t="s">
        <v>123</v>
      </c>
      <c r="C260" s="25" t="s">
        <v>26</v>
      </c>
      <c r="D260" s="51">
        <v>63828</v>
      </c>
    </row>
    <row r="261" spans="1:4" x14ac:dyDescent="0.2">
      <c r="A261" s="24">
        <v>42736</v>
      </c>
      <c r="B261" s="25" t="s">
        <v>127</v>
      </c>
      <c r="C261" s="25" t="s">
        <v>26</v>
      </c>
      <c r="D261" s="51">
        <v>1986</v>
      </c>
    </row>
    <row r="262" spans="1:4" x14ac:dyDescent="0.2">
      <c r="A262" s="24">
        <v>42736</v>
      </c>
      <c r="B262" s="25" t="s">
        <v>128</v>
      </c>
      <c r="C262" s="25" t="s">
        <v>26</v>
      </c>
      <c r="D262" s="51">
        <v>735</v>
      </c>
    </row>
    <row r="263" spans="1:4" x14ac:dyDescent="0.2">
      <c r="A263" s="24">
        <v>42736</v>
      </c>
      <c r="B263" s="25" t="s">
        <v>117</v>
      </c>
      <c r="C263" s="25" t="s">
        <v>2</v>
      </c>
      <c r="D263" s="51">
        <v>20689527</v>
      </c>
    </row>
    <row r="264" spans="1:4" x14ac:dyDescent="0.2">
      <c r="A264" s="24">
        <v>42736</v>
      </c>
      <c r="B264" s="25" t="s">
        <v>118</v>
      </c>
      <c r="C264" s="25" t="s">
        <v>2</v>
      </c>
      <c r="D264" s="51">
        <v>1485300</v>
      </c>
    </row>
    <row r="265" spans="1:4" x14ac:dyDescent="0.2">
      <c r="A265" s="24">
        <v>42736</v>
      </c>
      <c r="B265" s="25" t="s">
        <v>119</v>
      </c>
      <c r="C265" s="25" t="s">
        <v>2</v>
      </c>
      <c r="D265" s="51">
        <v>1255327</v>
      </c>
    </row>
    <row r="266" spans="1:4" x14ac:dyDescent="0.2">
      <c r="A266" s="24">
        <v>42736</v>
      </c>
      <c r="B266" s="25" t="s">
        <v>120</v>
      </c>
      <c r="C266" s="25" t="s">
        <v>2</v>
      </c>
      <c r="D266" s="51">
        <v>259349</v>
      </c>
    </row>
    <row r="267" spans="1:4" x14ac:dyDescent="0.2">
      <c r="A267" s="24">
        <v>42736</v>
      </c>
      <c r="B267" s="25" t="s">
        <v>121</v>
      </c>
      <c r="C267" s="25" t="s">
        <v>2</v>
      </c>
      <c r="D267" s="51">
        <v>26745</v>
      </c>
    </row>
    <row r="268" spans="1:4" x14ac:dyDescent="0.2">
      <c r="A268" s="24">
        <v>42736</v>
      </c>
      <c r="B268" s="25" t="s">
        <v>122</v>
      </c>
      <c r="C268" s="25" t="s">
        <v>2</v>
      </c>
      <c r="D268" s="51">
        <v>67891</v>
      </c>
    </row>
    <row r="269" spans="1:4" x14ac:dyDescent="0.2">
      <c r="A269" s="24">
        <v>42736</v>
      </c>
      <c r="B269" s="25" t="s">
        <v>123</v>
      </c>
      <c r="C269" s="25" t="s">
        <v>2</v>
      </c>
      <c r="D269" s="51">
        <v>2566223</v>
      </c>
    </row>
    <row r="270" spans="1:4" x14ac:dyDescent="0.2">
      <c r="A270" s="24">
        <v>42736</v>
      </c>
      <c r="B270" s="25" t="s">
        <v>129</v>
      </c>
      <c r="C270" s="25" t="s">
        <v>2</v>
      </c>
      <c r="D270" s="51">
        <v>299852</v>
      </c>
    </row>
    <row r="271" spans="1:4" x14ac:dyDescent="0.2">
      <c r="A271" s="24">
        <v>42736</v>
      </c>
      <c r="B271" s="25" t="s">
        <v>130</v>
      </c>
      <c r="C271" s="25" t="s">
        <v>2</v>
      </c>
      <c r="D271" s="51">
        <v>85208</v>
      </c>
    </row>
    <row r="272" spans="1:4" x14ac:dyDescent="0.2">
      <c r="A272" s="24">
        <v>42767</v>
      </c>
      <c r="B272" s="25" t="s">
        <v>117</v>
      </c>
      <c r="C272" s="25" t="s">
        <v>4</v>
      </c>
      <c r="D272" s="51">
        <v>13182869</v>
      </c>
    </row>
    <row r="273" spans="1:4" x14ac:dyDescent="0.2">
      <c r="A273" s="24">
        <v>42767</v>
      </c>
      <c r="B273" s="25" t="s">
        <v>131</v>
      </c>
      <c r="C273" s="25" t="s">
        <v>4</v>
      </c>
      <c r="D273" s="51">
        <v>167293</v>
      </c>
    </row>
    <row r="274" spans="1:4" x14ac:dyDescent="0.2">
      <c r="A274" s="24">
        <v>42767</v>
      </c>
      <c r="B274" s="25" t="s">
        <v>132</v>
      </c>
      <c r="C274" s="25" t="s">
        <v>4</v>
      </c>
      <c r="D274" s="51">
        <v>104008</v>
      </c>
    </row>
    <row r="275" spans="1:4" x14ac:dyDescent="0.2">
      <c r="A275" s="24">
        <v>42767</v>
      </c>
      <c r="B275" s="25" t="s">
        <v>133</v>
      </c>
      <c r="C275" s="25" t="s">
        <v>4</v>
      </c>
      <c r="D275" s="51">
        <v>39559</v>
      </c>
    </row>
    <row r="276" spans="1:4" x14ac:dyDescent="0.2">
      <c r="A276" s="24">
        <v>42767</v>
      </c>
      <c r="B276" s="25" t="s">
        <v>118</v>
      </c>
      <c r="C276" s="25" t="s">
        <v>4</v>
      </c>
      <c r="D276" s="51">
        <v>1166175</v>
      </c>
    </row>
    <row r="277" spans="1:4" x14ac:dyDescent="0.2">
      <c r="A277" s="24">
        <v>42767</v>
      </c>
      <c r="B277" s="25" t="s">
        <v>134</v>
      </c>
      <c r="C277" s="25" t="s">
        <v>4</v>
      </c>
      <c r="D277" s="51">
        <v>39460</v>
      </c>
    </row>
    <row r="278" spans="1:4" x14ac:dyDescent="0.2">
      <c r="A278" s="24">
        <v>42767</v>
      </c>
      <c r="B278" s="25" t="s">
        <v>135</v>
      </c>
      <c r="C278" s="25" t="s">
        <v>4</v>
      </c>
      <c r="D278" s="51">
        <v>26163</v>
      </c>
    </row>
    <row r="279" spans="1:4" x14ac:dyDescent="0.2">
      <c r="A279" s="24">
        <v>42767</v>
      </c>
      <c r="B279" s="25" t="s">
        <v>136</v>
      </c>
      <c r="C279" s="25" t="s">
        <v>4</v>
      </c>
      <c r="D279" s="51">
        <v>7942</v>
      </c>
    </row>
    <row r="280" spans="1:4" x14ac:dyDescent="0.2">
      <c r="A280" s="24">
        <v>42767</v>
      </c>
      <c r="B280" s="25" t="s">
        <v>119</v>
      </c>
      <c r="C280" s="25" t="s">
        <v>4</v>
      </c>
      <c r="D280" s="51">
        <v>1240006</v>
      </c>
    </row>
    <row r="281" spans="1:4" x14ac:dyDescent="0.2">
      <c r="A281" s="24">
        <v>42767</v>
      </c>
      <c r="B281" s="25" t="s">
        <v>120</v>
      </c>
      <c r="C281" s="25" t="s">
        <v>4</v>
      </c>
      <c r="D281" s="51">
        <v>69228</v>
      </c>
    </row>
    <row r="282" spans="1:4" x14ac:dyDescent="0.2">
      <c r="A282" s="24">
        <v>42767</v>
      </c>
      <c r="B282" s="25" t="s">
        <v>121</v>
      </c>
      <c r="C282" s="25" t="s">
        <v>4</v>
      </c>
      <c r="D282" s="51">
        <v>33326</v>
      </c>
    </row>
    <row r="283" spans="1:4" x14ac:dyDescent="0.2">
      <c r="A283" s="24">
        <v>42767</v>
      </c>
      <c r="B283" s="25" t="s">
        <v>122</v>
      </c>
      <c r="C283" s="25" t="s">
        <v>4</v>
      </c>
      <c r="D283" s="51">
        <v>2600682</v>
      </c>
    </row>
    <row r="284" spans="1:4" x14ac:dyDescent="0.2">
      <c r="A284" s="24">
        <v>42767</v>
      </c>
      <c r="B284" s="25" t="s">
        <v>123</v>
      </c>
      <c r="C284" s="25" t="s">
        <v>4</v>
      </c>
      <c r="D284" s="51">
        <v>3857972</v>
      </c>
    </row>
    <row r="285" spans="1:4" x14ac:dyDescent="0.2">
      <c r="A285" s="24">
        <v>42767</v>
      </c>
      <c r="B285" s="25" t="s">
        <v>117</v>
      </c>
      <c r="C285" s="25" t="s">
        <v>8</v>
      </c>
      <c r="D285" s="51">
        <v>865014</v>
      </c>
    </row>
    <row r="286" spans="1:4" x14ac:dyDescent="0.2">
      <c r="A286" s="24">
        <v>42767</v>
      </c>
      <c r="B286" s="25" t="s">
        <v>118</v>
      </c>
      <c r="C286" s="25" t="s">
        <v>8</v>
      </c>
      <c r="D286" s="51">
        <v>57121</v>
      </c>
    </row>
    <row r="287" spans="1:4" x14ac:dyDescent="0.2">
      <c r="A287" s="24">
        <v>42767</v>
      </c>
      <c r="B287" s="25" t="s">
        <v>119</v>
      </c>
      <c r="C287" s="25" t="s">
        <v>8</v>
      </c>
      <c r="D287" s="51">
        <v>23803</v>
      </c>
    </row>
    <row r="288" spans="1:4" x14ac:dyDescent="0.2">
      <c r="A288" s="24">
        <v>42767</v>
      </c>
      <c r="B288" s="25" t="s">
        <v>120</v>
      </c>
      <c r="C288" s="25" t="s">
        <v>8</v>
      </c>
      <c r="D288" s="51">
        <v>4826</v>
      </c>
    </row>
    <row r="289" spans="1:4" x14ac:dyDescent="0.2">
      <c r="A289" s="24">
        <v>42767</v>
      </c>
      <c r="B289" s="25" t="s">
        <v>121</v>
      </c>
      <c r="C289" s="25" t="s">
        <v>8</v>
      </c>
      <c r="D289" s="51">
        <v>1897</v>
      </c>
    </row>
    <row r="290" spans="1:4" x14ac:dyDescent="0.2">
      <c r="A290" s="24">
        <v>42767</v>
      </c>
      <c r="B290" s="25" t="s">
        <v>122</v>
      </c>
      <c r="C290" s="25" t="s">
        <v>8</v>
      </c>
      <c r="D290" s="51">
        <v>1914</v>
      </c>
    </row>
    <row r="291" spans="1:4" x14ac:dyDescent="0.2">
      <c r="A291" s="24">
        <v>42767</v>
      </c>
      <c r="B291" s="25" t="s">
        <v>123</v>
      </c>
      <c r="C291" s="25" t="s">
        <v>8</v>
      </c>
      <c r="D291" s="51">
        <v>169864</v>
      </c>
    </row>
    <row r="292" spans="1:4" x14ac:dyDescent="0.2">
      <c r="A292" s="24">
        <v>42767</v>
      </c>
      <c r="B292" s="25" t="s">
        <v>124</v>
      </c>
      <c r="C292" s="25" t="s">
        <v>8</v>
      </c>
      <c r="D292" s="51">
        <v>56176</v>
      </c>
    </row>
    <row r="293" spans="1:4" x14ac:dyDescent="0.2">
      <c r="A293" s="24">
        <v>42767</v>
      </c>
      <c r="B293" s="25" t="s">
        <v>125</v>
      </c>
      <c r="C293" s="25" t="s">
        <v>8</v>
      </c>
      <c r="D293" s="51">
        <v>5700</v>
      </c>
    </row>
    <row r="294" spans="1:4" x14ac:dyDescent="0.2">
      <c r="A294" s="24">
        <v>42767</v>
      </c>
      <c r="B294" s="25" t="s">
        <v>117</v>
      </c>
      <c r="C294" s="25" t="s">
        <v>26</v>
      </c>
      <c r="D294" s="51">
        <v>545607</v>
      </c>
    </row>
    <row r="295" spans="1:4" x14ac:dyDescent="0.2">
      <c r="A295" s="24">
        <v>42767</v>
      </c>
      <c r="B295" s="25" t="s">
        <v>118</v>
      </c>
      <c r="C295" s="25" t="s">
        <v>26</v>
      </c>
      <c r="D295" s="51">
        <v>32626</v>
      </c>
    </row>
    <row r="296" spans="1:4" x14ac:dyDescent="0.2">
      <c r="A296" s="24">
        <v>42767</v>
      </c>
      <c r="B296" s="25" t="s">
        <v>119</v>
      </c>
      <c r="C296" s="25" t="s">
        <v>26</v>
      </c>
      <c r="D296" s="51">
        <v>28344</v>
      </c>
    </row>
    <row r="297" spans="1:4" x14ac:dyDescent="0.2">
      <c r="A297" s="24">
        <v>42767</v>
      </c>
      <c r="B297" s="25" t="s">
        <v>121</v>
      </c>
      <c r="C297" s="25" t="s">
        <v>26</v>
      </c>
      <c r="D297" s="51">
        <v>697</v>
      </c>
    </row>
    <row r="298" spans="1:4" x14ac:dyDescent="0.2">
      <c r="A298" s="24">
        <v>42767</v>
      </c>
      <c r="B298" s="25" t="s">
        <v>122</v>
      </c>
      <c r="C298" s="25" t="s">
        <v>26</v>
      </c>
      <c r="D298" s="51">
        <v>6101</v>
      </c>
    </row>
    <row r="299" spans="1:4" x14ac:dyDescent="0.2">
      <c r="A299" s="24">
        <v>42767</v>
      </c>
      <c r="B299" s="25" t="s">
        <v>123</v>
      </c>
      <c r="C299" s="25" t="s">
        <v>26</v>
      </c>
      <c r="D299" s="51">
        <v>124005</v>
      </c>
    </row>
    <row r="300" spans="1:4" x14ac:dyDescent="0.2">
      <c r="A300" s="24">
        <v>42767</v>
      </c>
      <c r="B300" s="25" t="s">
        <v>127</v>
      </c>
      <c r="C300" s="25" t="s">
        <v>26</v>
      </c>
      <c r="D300" s="51">
        <v>2500</v>
      </c>
    </row>
    <row r="301" spans="1:4" x14ac:dyDescent="0.2">
      <c r="A301" s="24">
        <v>42767</v>
      </c>
      <c r="B301" s="25" t="s">
        <v>128</v>
      </c>
      <c r="C301" s="25" t="s">
        <v>26</v>
      </c>
      <c r="D301" s="51">
        <v>428</v>
      </c>
    </row>
    <row r="302" spans="1:4" x14ac:dyDescent="0.2">
      <c r="A302" s="24">
        <v>42767</v>
      </c>
      <c r="B302" s="25" t="s">
        <v>117</v>
      </c>
      <c r="C302" s="25" t="s">
        <v>2</v>
      </c>
      <c r="D302" s="51">
        <v>21960594</v>
      </c>
    </row>
    <row r="303" spans="1:4" x14ac:dyDescent="0.2">
      <c r="A303" s="24">
        <v>42767</v>
      </c>
      <c r="B303" s="25" t="s">
        <v>118</v>
      </c>
      <c r="C303" s="25" t="s">
        <v>2</v>
      </c>
      <c r="D303" s="51">
        <v>977309</v>
      </c>
    </row>
    <row r="304" spans="1:4" x14ac:dyDescent="0.2">
      <c r="A304" s="24">
        <v>42767</v>
      </c>
      <c r="B304" s="25" t="s">
        <v>119</v>
      </c>
      <c r="C304" s="25" t="s">
        <v>2</v>
      </c>
      <c r="D304" s="51">
        <v>1527275</v>
      </c>
    </row>
    <row r="305" spans="1:4" x14ac:dyDescent="0.2">
      <c r="A305" s="24">
        <v>42767</v>
      </c>
      <c r="B305" s="25" t="s">
        <v>120</v>
      </c>
      <c r="C305" s="25" t="s">
        <v>2</v>
      </c>
      <c r="D305" s="51">
        <v>287362</v>
      </c>
    </row>
    <row r="306" spans="1:4" x14ac:dyDescent="0.2">
      <c r="A306" s="24">
        <v>42767</v>
      </c>
      <c r="B306" s="25" t="s">
        <v>121</v>
      </c>
      <c r="C306" s="25" t="s">
        <v>2</v>
      </c>
      <c r="D306" s="51">
        <v>30092</v>
      </c>
    </row>
    <row r="307" spans="1:4" x14ac:dyDescent="0.2">
      <c r="A307" s="24">
        <v>42767</v>
      </c>
      <c r="B307" s="25" t="s">
        <v>122</v>
      </c>
      <c r="C307" s="25" t="s">
        <v>2</v>
      </c>
      <c r="D307" s="51">
        <v>1028738</v>
      </c>
    </row>
    <row r="308" spans="1:4" x14ac:dyDescent="0.2">
      <c r="A308" s="24">
        <v>42767</v>
      </c>
      <c r="B308" s="25" t="s">
        <v>123</v>
      </c>
      <c r="C308" s="25" t="s">
        <v>2</v>
      </c>
      <c r="D308" s="51">
        <v>2620981</v>
      </c>
    </row>
    <row r="309" spans="1:4" x14ac:dyDescent="0.2">
      <c r="A309" s="24">
        <v>42767</v>
      </c>
      <c r="B309" s="25" t="s">
        <v>129</v>
      </c>
      <c r="C309" s="25" t="s">
        <v>2</v>
      </c>
      <c r="D309" s="51">
        <v>288914</v>
      </c>
    </row>
    <row r="310" spans="1:4" x14ac:dyDescent="0.2">
      <c r="A310" s="24">
        <v>42767</v>
      </c>
      <c r="B310" s="25" t="s">
        <v>130</v>
      </c>
      <c r="C310" s="25" t="s">
        <v>2</v>
      </c>
      <c r="D310" s="51">
        <v>45771</v>
      </c>
    </row>
    <row r="311" spans="1:4" x14ac:dyDescent="0.2">
      <c r="A311" s="24">
        <v>42795</v>
      </c>
      <c r="B311" s="25" t="s">
        <v>117</v>
      </c>
      <c r="C311" s="25" t="s">
        <v>4</v>
      </c>
      <c r="D311" s="51">
        <v>15239178</v>
      </c>
    </row>
    <row r="312" spans="1:4" x14ac:dyDescent="0.2">
      <c r="A312" s="24">
        <v>42795</v>
      </c>
      <c r="B312" s="25" t="s">
        <v>131</v>
      </c>
      <c r="C312" s="25" t="s">
        <v>4</v>
      </c>
      <c r="D312" s="51">
        <v>177223</v>
      </c>
    </row>
    <row r="313" spans="1:4" x14ac:dyDescent="0.2">
      <c r="A313" s="24">
        <v>42795</v>
      </c>
      <c r="B313" s="25" t="s">
        <v>132</v>
      </c>
      <c r="C313" s="25" t="s">
        <v>4</v>
      </c>
      <c r="D313" s="51">
        <v>109926</v>
      </c>
    </row>
    <row r="314" spans="1:4" x14ac:dyDescent="0.2">
      <c r="A314" s="24">
        <v>42795</v>
      </c>
      <c r="B314" s="25" t="s">
        <v>133</v>
      </c>
      <c r="C314" s="25" t="s">
        <v>4</v>
      </c>
      <c r="D314" s="51">
        <v>42288</v>
      </c>
    </row>
    <row r="315" spans="1:4" x14ac:dyDescent="0.2">
      <c r="A315" s="24">
        <v>42795</v>
      </c>
      <c r="B315" s="25" t="s">
        <v>118</v>
      </c>
      <c r="C315" s="25" t="s">
        <v>4</v>
      </c>
      <c r="D315" s="51">
        <v>1229286</v>
      </c>
    </row>
    <row r="316" spans="1:4" x14ac:dyDescent="0.2">
      <c r="A316" s="24">
        <v>42795</v>
      </c>
      <c r="B316" s="25" t="s">
        <v>134</v>
      </c>
      <c r="C316" s="25" t="s">
        <v>4</v>
      </c>
      <c r="D316" s="51">
        <v>43347</v>
      </c>
    </row>
    <row r="317" spans="1:4" x14ac:dyDescent="0.2">
      <c r="A317" s="24">
        <v>42795</v>
      </c>
      <c r="B317" s="25" t="s">
        <v>135</v>
      </c>
      <c r="C317" s="25" t="s">
        <v>4</v>
      </c>
      <c r="D317" s="51">
        <v>26923</v>
      </c>
    </row>
    <row r="318" spans="1:4" x14ac:dyDescent="0.2">
      <c r="A318" s="24">
        <v>42795</v>
      </c>
      <c r="B318" s="25" t="s">
        <v>136</v>
      </c>
      <c r="C318" s="25" t="s">
        <v>4</v>
      </c>
      <c r="D318" s="51">
        <v>8514</v>
      </c>
    </row>
    <row r="319" spans="1:4" x14ac:dyDescent="0.2">
      <c r="A319" s="24">
        <v>42795</v>
      </c>
      <c r="B319" s="25" t="s">
        <v>119</v>
      </c>
      <c r="C319" s="25" t="s">
        <v>4</v>
      </c>
      <c r="D319" s="51">
        <v>2375998</v>
      </c>
    </row>
    <row r="320" spans="1:4" x14ac:dyDescent="0.2">
      <c r="A320" s="24">
        <v>42795</v>
      </c>
      <c r="B320" s="25" t="s">
        <v>120</v>
      </c>
      <c r="C320" s="25" t="s">
        <v>4</v>
      </c>
      <c r="D320" s="51">
        <v>78376</v>
      </c>
    </row>
    <row r="321" spans="1:4" x14ac:dyDescent="0.2">
      <c r="A321" s="24">
        <v>42795</v>
      </c>
      <c r="B321" s="25" t="s">
        <v>121</v>
      </c>
      <c r="C321" s="25" t="s">
        <v>4</v>
      </c>
      <c r="D321" s="51">
        <v>38557</v>
      </c>
    </row>
    <row r="322" spans="1:4" x14ac:dyDescent="0.2">
      <c r="A322" s="24">
        <v>42795</v>
      </c>
      <c r="B322" s="25" t="s">
        <v>122</v>
      </c>
      <c r="C322" s="25" t="s">
        <v>4</v>
      </c>
      <c r="D322" s="51">
        <v>3137115</v>
      </c>
    </row>
    <row r="323" spans="1:4" x14ac:dyDescent="0.2">
      <c r="A323" s="24">
        <v>42795</v>
      </c>
      <c r="B323" s="25" t="s">
        <v>123</v>
      </c>
      <c r="C323" s="25" t="s">
        <v>4</v>
      </c>
      <c r="D323" s="51">
        <v>4304384</v>
      </c>
    </row>
    <row r="324" spans="1:4" x14ac:dyDescent="0.2">
      <c r="A324" s="24">
        <v>42795</v>
      </c>
      <c r="B324" s="25" t="s">
        <v>117</v>
      </c>
      <c r="C324" s="25" t="s">
        <v>8</v>
      </c>
      <c r="D324" s="51">
        <v>882559</v>
      </c>
    </row>
    <row r="325" spans="1:4" x14ac:dyDescent="0.2">
      <c r="A325" s="24">
        <v>42795</v>
      </c>
      <c r="B325" s="25" t="s">
        <v>118</v>
      </c>
      <c r="C325" s="25" t="s">
        <v>8</v>
      </c>
      <c r="D325" s="51">
        <v>63608</v>
      </c>
    </row>
    <row r="326" spans="1:4" x14ac:dyDescent="0.2">
      <c r="A326" s="24">
        <v>42795</v>
      </c>
      <c r="B326" s="25" t="s">
        <v>119</v>
      </c>
      <c r="C326" s="25" t="s">
        <v>8</v>
      </c>
      <c r="D326" s="51">
        <v>29447</v>
      </c>
    </row>
    <row r="327" spans="1:4" x14ac:dyDescent="0.2">
      <c r="A327" s="24">
        <v>42795</v>
      </c>
      <c r="B327" s="25" t="s">
        <v>120</v>
      </c>
      <c r="C327" s="25" t="s">
        <v>8</v>
      </c>
      <c r="D327" s="51">
        <v>4894</v>
      </c>
    </row>
    <row r="328" spans="1:4" x14ac:dyDescent="0.2">
      <c r="A328" s="24">
        <v>42795</v>
      </c>
      <c r="B328" s="25" t="s">
        <v>121</v>
      </c>
      <c r="C328" s="25" t="s">
        <v>8</v>
      </c>
      <c r="D328" s="51">
        <v>1857</v>
      </c>
    </row>
    <row r="329" spans="1:4" x14ac:dyDescent="0.2">
      <c r="A329" s="24">
        <v>42795</v>
      </c>
      <c r="B329" s="25" t="s">
        <v>122</v>
      </c>
      <c r="C329" s="25" t="s">
        <v>8</v>
      </c>
      <c r="D329" s="51">
        <v>2069</v>
      </c>
    </row>
    <row r="330" spans="1:4" x14ac:dyDescent="0.2">
      <c r="A330" s="24">
        <v>42795</v>
      </c>
      <c r="B330" s="25" t="s">
        <v>123</v>
      </c>
      <c r="C330" s="25" t="s">
        <v>8</v>
      </c>
      <c r="D330" s="51">
        <v>169605</v>
      </c>
    </row>
    <row r="331" spans="1:4" x14ac:dyDescent="0.2">
      <c r="A331" s="24">
        <v>42795</v>
      </c>
      <c r="B331" s="25" t="s">
        <v>124</v>
      </c>
      <c r="C331" s="25" t="s">
        <v>8</v>
      </c>
      <c r="D331" s="51">
        <v>55429</v>
      </c>
    </row>
    <row r="332" spans="1:4" x14ac:dyDescent="0.2">
      <c r="A332" s="24">
        <v>42795</v>
      </c>
      <c r="B332" s="25" t="s">
        <v>125</v>
      </c>
      <c r="C332" s="25" t="s">
        <v>8</v>
      </c>
      <c r="D332" s="51">
        <v>6774</v>
      </c>
    </row>
    <row r="333" spans="1:4" x14ac:dyDescent="0.2">
      <c r="A333" s="24">
        <v>42795</v>
      </c>
      <c r="B333" s="25" t="s">
        <v>117</v>
      </c>
      <c r="C333" s="25" t="s">
        <v>26</v>
      </c>
      <c r="D333" s="51">
        <v>639505</v>
      </c>
    </row>
    <row r="334" spans="1:4" x14ac:dyDescent="0.2">
      <c r="A334" s="24">
        <v>42795</v>
      </c>
      <c r="B334" s="25" t="s">
        <v>118</v>
      </c>
      <c r="C334" s="25" t="s">
        <v>26</v>
      </c>
      <c r="D334" s="51">
        <v>35233</v>
      </c>
    </row>
    <row r="335" spans="1:4" x14ac:dyDescent="0.2">
      <c r="A335" s="24">
        <v>42795</v>
      </c>
      <c r="B335" s="25" t="s">
        <v>119</v>
      </c>
      <c r="C335" s="25" t="s">
        <v>26</v>
      </c>
      <c r="D335" s="51">
        <v>36897</v>
      </c>
    </row>
    <row r="336" spans="1:4" x14ac:dyDescent="0.2">
      <c r="A336" s="24">
        <v>42795</v>
      </c>
      <c r="B336" s="25" t="s">
        <v>121</v>
      </c>
      <c r="C336" s="25" t="s">
        <v>26</v>
      </c>
      <c r="D336" s="51">
        <v>906</v>
      </c>
    </row>
    <row r="337" spans="1:4" x14ac:dyDescent="0.2">
      <c r="A337" s="24">
        <v>42795</v>
      </c>
      <c r="B337" s="25" t="s">
        <v>122</v>
      </c>
      <c r="C337" s="25" t="s">
        <v>26</v>
      </c>
      <c r="D337" s="51">
        <v>7282</v>
      </c>
    </row>
    <row r="338" spans="1:4" x14ac:dyDescent="0.2">
      <c r="A338" s="24">
        <v>42795</v>
      </c>
      <c r="B338" s="25" t="s">
        <v>123</v>
      </c>
      <c r="C338" s="25" t="s">
        <v>26</v>
      </c>
      <c r="D338" s="51">
        <v>151966</v>
      </c>
    </row>
    <row r="339" spans="1:4" x14ac:dyDescent="0.2">
      <c r="A339" s="24">
        <v>42795</v>
      </c>
      <c r="B339" s="25" t="s">
        <v>127</v>
      </c>
      <c r="C339" s="25" t="s">
        <v>26</v>
      </c>
      <c r="D339" s="51">
        <v>2833</v>
      </c>
    </row>
    <row r="340" spans="1:4" x14ac:dyDescent="0.2">
      <c r="A340" s="24">
        <v>42795</v>
      </c>
      <c r="B340" s="25" t="s">
        <v>128</v>
      </c>
      <c r="C340" s="25" t="s">
        <v>26</v>
      </c>
      <c r="D340" s="51">
        <v>440</v>
      </c>
    </row>
    <row r="341" spans="1:4" x14ac:dyDescent="0.2">
      <c r="A341" s="24">
        <v>42795</v>
      </c>
      <c r="B341" s="25" t="s">
        <v>117</v>
      </c>
      <c r="C341" s="25" t="s">
        <v>2</v>
      </c>
      <c r="D341" s="51">
        <v>25670277</v>
      </c>
    </row>
    <row r="342" spans="1:4" x14ac:dyDescent="0.2">
      <c r="A342" s="24">
        <v>42795</v>
      </c>
      <c r="B342" s="25" t="s">
        <v>118</v>
      </c>
      <c r="C342" s="25" t="s">
        <v>2</v>
      </c>
      <c r="D342" s="51">
        <v>1061092</v>
      </c>
    </row>
    <row r="343" spans="1:4" x14ac:dyDescent="0.2">
      <c r="A343" s="24">
        <v>42795</v>
      </c>
      <c r="B343" s="25" t="s">
        <v>119</v>
      </c>
      <c r="C343" s="25" t="s">
        <v>2</v>
      </c>
      <c r="D343" s="51">
        <v>2874972</v>
      </c>
    </row>
    <row r="344" spans="1:4" x14ac:dyDescent="0.2">
      <c r="A344" s="24">
        <v>42795</v>
      </c>
      <c r="B344" s="25" t="s">
        <v>120</v>
      </c>
      <c r="C344" s="25" t="s">
        <v>2</v>
      </c>
      <c r="D344" s="51">
        <v>331728</v>
      </c>
    </row>
    <row r="345" spans="1:4" x14ac:dyDescent="0.2">
      <c r="A345" s="24">
        <v>42795</v>
      </c>
      <c r="B345" s="25" t="s">
        <v>121</v>
      </c>
      <c r="C345" s="25" t="s">
        <v>2</v>
      </c>
      <c r="D345" s="51">
        <v>34502</v>
      </c>
    </row>
    <row r="346" spans="1:4" x14ac:dyDescent="0.2">
      <c r="A346" s="24">
        <v>42795</v>
      </c>
      <c r="B346" s="25" t="s">
        <v>122</v>
      </c>
      <c r="C346" s="25" t="s">
        <v>2</v>
      </c>
      <c r="D346" s="51">
        <v>1236042</v>
      </c>
    </row>
    <row r="347" spans="1:4" x14ac:dyDescent="0.2">
      <c r="A347" s="24">
        <v>42795</v>
      </c>
      <c r="B347" s="25" t="s">
        <v>123</v>
      </c>
      <c r="C347" s="25" t="s">
        <v>2</v>
      </c>
      <c r="D347" s="51">
        <v>2983728</v>
      </c>
    </row>
    <row r="348" spans="1:4" x14ac:dyDescent="0.2">
      <c r="A348" s="24">
        <v>42795</v>
      </c>
      <c r="B348" s="25" t="s">
        <v>129</v>
      </c>
      <c r="C348" s="25" t="s">
        <v>2</v>
      </c>
      <c r="D348" s="51">
        <v>320440</v>
      </c>
    </row>
    <row r="349" spans="1:4" x14ac:dyDescent="0.2">
      <c r="A349" s="24">
        <v>42795</v>
      </c>
      <c r="B349" s="25" t="s">
        <v>130</v>
      </c>
      <c r="C349" s="25" t="s">
        <v>2</v>
      </c>
      <c r="D349" s="51">
        <v>53604</v>
      </c>
    </row>
    <row r="350" spans="1:4" x14ac:dyDescent="0.2">
      <c r="A350" s="24">
        <v>42826</v>
      </c>
      <c r="B350" s="25" t="s">
        <v>117</v>
      </c>
      <c r="C350" s="25" t="s">
        <v>4</v>
      </c>
      <c r="D350" s="51">
        <v>12477134</v>
      </c>
    </row>
    <row r="351" spans="1:4" x14ac:dyDescent="0.2">
      <c r="A351" s="24">
        <v>42826</v>
      </c>
      <c r="B351" s="25" t="s">
        <v>131</v>
      </c>
      <c r="C351" s="25" t="s">
        <v>4</v>
      </c>
      <c r="D351" s="51">
        <v>158538</v>
      </c>
    </row>
    <row r="352" spans="1:4" x14ac:dyDescent="0.2">
      <c r="A352" s="24">
        <v>42826</v>
      </c>
      <c r="B352" s="25" t="s">
        <v>132</v>
      </c>
      <c r="C352" s="25" t="s">
        <v>4</v>
      </c>
      <c r="D352" s="51">
        <v>98729</v>
      </c>
    </row>
    <row r="353" spans="1:4" x14ac:dyDescent="0.2">
      <c r="A353" s="24">
        <v>42826</v>
      </c>
      <c r="B353" s="25" t="s">
        <v>133</v>
      </c>
      <c r="C353" s="25" t="s">
        <v>4</v>
      </c>
      <c r="D353" s="51">
        <v>39330</v>
      </c>
    </row>
    <row r="354" spans="1:4" x14ac:dyDescent="0.2">
      <c r="A354" s="24">
        <v>42826</v>
      </c>
      <c r="B354" s="25" t="s">
        <v>118</v>
      </c>
      <c r="C354" s="25" t="s">
        <v>4</v>
      </c>
      <c r="D354" s="51">
        <v>1276586</v>
      </c>
    </row>
    <row r="355" spans="1:4" x14ac:dyDescent="0.2">
      <c r="A355" s="24">
        <v>42826</v>
      </c>
      <c r="B355" s="25" t="s">
        <v>134</v>
      </c>
      <c r="C355" s="25" t="s">
        <v>4</v>
      </c>
      <c r="D355" s="51">
        <v>54620</v>
      </c>
    </row>
    <row r="356" spans="1:4" x14ac:dyDescent="0.2">
      <c r="A356" s="24">
        <v>42826</v>
      </c>
      <c r="B356" s="25" t="s">
        <v>135</v>
      </c>
      <c r="C356" s="25" t="s">
        <v>4</v>
      </c>
      <c r="D356" s="51">
        <v>42726</v>
      </c>
    </row>
    <row r="357" spans="1:4" x14ac:dyDescent="0.2">
      <c r="A357" s="24">
        <v>42826</v>
      </c>
      <c r="B357" s="25" t="s">
        <v>136</v>
      </c>
      <c r="C357" s="25" t="s">
        <v>4</v>
      </c>
      <c r="D357" s="51">
        <v>12903</v>
      </c>
    </row>
    <row r="358" spans="1:4" x14ac:dyDescent="0.2">
      <c r="A358" s="24">
        <v>42826</v>
      </c>
      <c r="B358" s="25" t="s">
        <v>119</v>
      </c>
      <c r="C358" s="25" t="s">
        <v>4</v>
      </c>
      <c r="D358" s="51">
        <v>1647277</v>
      </c>
    </row>
    <row r="359" spans="1:4" x14ac:dyDescent="0.2">
      <c r="A359" s="24">
        <v>42826</v>
      </c>
      <c r="B359" s="25" t="s">
        <v>120</v>
      </c>
      <c r="C359" s="25" t="s">
        <v>4</v>
      </c>
      <c r="D359" s="51">
        <v>65750</v>
      </c>
    </row>
    <row r="360" spans="1:4" x14ac:dyDescent="0.2">
      <c r="A360" s="24">
        <v>42826</v>
      </c>
      <c r="B360" s="25" t="s">
        <v>121</v>
      </c>
      <c r="C360" s="25" t="s">
        <v>4</v>
      </c>
      <c r="D360" s="51">
        <v>33012</v>
      </c>
    </row>
    <row r="361" spans="1:4" x14ac:dyDescent="0.2">
      <c r="A361" s="24">
        <v>42826</v>
      </c>
      <c r="B361" s="25" t="s">
        <v>122</v>
      </c>
      <c r="C361" s="25" t="s">
        <v>4</v>
      </c>
      <c r="D361" s="51">
        <v>1062002</v>
      </c>
    </row>
    <row r="362" spans="1:4" x14ac:dyDescent="0.2">
      <c r="A362" s="24">
        <v>42826</v>
      </c>
      <c r="B362" s="25" t="s">
        <v>123</v>
      </c>
      <c r="C362" s="25" t="s">
        <v>4</v>
      </c>
      <c r="D362" s="51">
        <v>3754438</v>
      </c>
    </row>
    <row r="363" spans="1:4" x14ac:dyDescent="0.2">
      <c r="A363" s="24">
        <v>42826</v>
      </c>
      <c r="B363" s="25" t="s">
        <v>117</v>
      </c>
      <c r="C363" s="25" t="s">
        <v>8</v>
      </c>
      <c r="D363" s="51">
        <v>953347</v>
      </c>
    </row>
    <row r="364" spans="1:4" x14ac:dyDescent="0.2">
      <c r="A364" s="24">
        <v>42826</v>
      </c>
      <c r="B364" s="25" t="s">
        <v>118</v>
      </c>
      <c r="C364" s="25" t="s">
        <v>8</v>
      </c>
      <c r="D364" s="51">
        <v>149935</v>
      </c>
    </row>
    <row r="365" spans="1:4" x14ac:dyDescent="0.2">
      <c r="A365" s="24">
        <v>42826</v>
      </c>
      <c r="B365" s="25" t="s">
        <v>119</v>
      </c>
      <c r="C365" s="25" t="s">
        <v>8</v>
      </c>
      <c r="D365" s="51">
        <v>28963</v>
      </c>
    </row>
    <row r="366" spans="1:4" x14ac:dyDescent="0.2">
      <c r="A366" s="24">
        <v>42826</v>
      </c>
      <c r="B366" s="25" t="s">
        <v>120</v>
      </c>
      <c r="C366" s="25" t="s">
        <v>8</v>
      </c>
      <c r="D366" s="51">
        <v>5172</v>
      </c>
    </row>
    <row r="367" spans="1:4" x14ac:dyDescent="0.2">
      <c r="A367" s="24">
        <v>42826</v>
      </c>
      <c r="B367" s="25" t="s">
        <v>121</v>
      </c>
      <c r="C367" s="25" t="s">
        <v>8</v>
      </c>
      <c r="D367" s="51">
        <v>2199</v>
      </c>
    </row>
    <row r="368" spans="1:4" x14ac:dyDescent="0.2">
      <c r="A368" s="24">
        <v>42826</v>
      </c>
      <c r="B368" s="25" t="s">
        <v>122</v>
      </c>
      <c r="C368" s="25" t="s">
        <v>8</v>
      </c>
      <c r="D368" s="51">
        <v>839</v>
      </c>
    </row>
    <row r="369" spans="1:4" x14ac:dyDescent="0.2">
      <c r="A369" s="24">
        <v>42826</v>
      </c>
      <c r="B369" s="25" t="s">
        <v>123</v>
      </c>
      <c r="C369" s="25" t="s">
        <v>8</v>
      </c>
      <c r="D369" s="51">
        <v>193582</v>
      </c>
    </row>
    <row r="370" spans="1:4" x14ac:dyDescent="0.2">
      <c r="A370" s="24">
        <v>42826</v>
      </c>
      <c r="B370" s="25" t="s">
        <v>124</v>
      </c>
      <c r="C370" s="25" t="s">
        <v>8</v>
      </c>
      <c r="D370" s="51">
        <v>59293</v>
      </c>
    </row>
    <row r="371" spans="1:4" x14ac:dyDescent="0.2">
      <c r="A371" s="24">
        <v>42826</v>
      </c>
      <c r="B371" s="25" t="s">
        <v>125</v>
      </c>
      <c r="C371" s="25" t="s">
        <v>8</v>
      </c>
      <c r="D371" s="51">
        <v>15138</v>
      </c>
    </row>
    <row r="372" spans="1:4" x14ac:dyDescent="0.2">
      <c r="A372" s="24">
        <v>42826</v>
      </c>
      <c r="B372" s="25" t="s">
        <v>117</v>
      </c>
      <c r="C372" s="25" t="s">
        <v>26</v>
      </c>
      <c r="D372" s="51">
        <v>587812</v>
      </c>
    </row>
    <row r="373" spans="1:4" x14ac:dyDescent="0.2">
      <c r="A373" s="24">
        <v>42826</v>
      </c>
      <c r="B373" s="25" t="s">
        <v>118</v>
      </c>
      <c r="C373" s="25" t="s">
        <v>26</v>
      </c>
      <c r="D373" s="51">
        <v>48789</v>
      </c>
    </row>
    <row r="374" spans="1:4" x14ac:dyDescent="0.2">
      <c r="A374" s="24">
        <v>42826</v>
      </c>
      <c r="B374" s="25" t="s">
        <v>119</v>
      </c>
      <c r="C374" s="25" t="s">
        <v>26</v>
      </c>
      <c r="D374" s="51">
        <v>30959</v>
      </c>
    </row>
    <row r="375" spans="1:4" x14ac:dyDescent="0.2">
      <c r="A375" s="24">
        <v>42826</v>
      </c>
      <c r="B375" s="25" t="s">
        <v>121</v>
      </c>
      <c r="C375" s="25" t="s">
        <v>26</v>
      </c>
      <c r="D375" s="51">
        <v>905</v>
      </c>
    </row>
    <row r="376" spans="1:4" x14ac:dyDescent="0.2">
      <c r="A376" s="24">
        <v>42826</v>
      </c>
      <c r="B376" s="25" t="s">
        <v>122</v>
      </c>
      <c r="C376" s="25" t="s">
        <v>26</v>
      </c>
      <c r="D376" s="51">
        <v>2198</v>
      </c>
    </row>
    <row r="377" spans="1:4" x14ac:dyDescent="0.2">
      <c r="A377" s="24">
        <v>42826</v>
      </c>
      <c r="B377" s="25" t="s">
        <v>123</v>
      </c>
      <c r="C377" s="25" t="s">
        <v>26</v>
      </c>
      <c r="D377" s="51">
        <v>141087</v>
      </c>
    </row>
    <row r="378" spans="1:4" x14ac:dyDescent="0.2">
      <c r="A378" s="24">
        <v>42826</v>
      </c>
      <c r="B378" s="25" t="s">
        <v>127</v>
      </c>
      <c r="C378" s="25" t="s">
        <v>26</v>
      </c>
      <c r="D378" s="51">
        <v>2666</v>
      </c>
    </row>
    <row r="379" spans="1:4" x14ac:dyDescent="0.2">
      <c r="A379" s="24">
        <v>42826</v>
      </c>
      <c r="B379" s="25" t="s">
        <v>128</v>
      </c>
      <c r="C379" s="25" t="s">
        <v>26</v>
      </c>
      <c r="D379" s="51">
        <v>821</v>
      </c>
    </row>
    <row r="380" spans="1:4" x14ac:dyDescent="0.2">
      <c r="A380" s="24">
        <v>42826</v>
      </c>
      <c r="B380" s="25" t="s">
        <v>117</v>
      </c>
      <c r="C380" s="25" t="s">
        <v>2</v>
      </c>
      <c r="D380" s="51">
        <v>21558784</v>
      </c>
    </row>
    <row r="381" spans="1:4" x14ac:dyDescent="0.2">
      <c r="A381" s="24">
        <v>42826</v>
      </c>
      <c r="B381" s="25" t="s">
        <v>118</v>
      </c>
      <c r="C381" s="25" t="s">
        <v>2</v>
      </c>
      <c r="D381" s="51">
        <v>1333722</v>
      </c>
    </row>
    <row r="382" spans="1:4" x14ac:dyDescent="0.2">
      <c r="A382" s="24">
        <v>42826</v>
      </c>
      <c r="B382" s="25" t="s">
        <v>119</v>
      </c>
      <c r="C382" s="25" t="s">
        <v>2</v>
      </c>
      <c r="D382" s="51">
        <v>2080422</v>
      </c>
    </row>
    <row r="383" spans="1:4" x14ac:dyDescent="0.2">
      <c r="A383" s="24">
        <v>42826</v>
      </c>
      <c r="B383" s="25" t="s">
        <v>120</v>
      </c>
      <c r="C383" s="25" t="s">
        <v>2</v>
      </c>
      <c r="D383" s="51">
        <v>260847</v>
      </c>
    </row>
    <row r="384" spans="1:4" x14ac:dyDescent="0.2">
      <c r="A384" s="24">
        <v>42826</v>
      </c>
      <c r="B384" s="25" t="s">
        <v>121</v>
      </c>
      <c r="C384" s="25" t="s">
        <v>2</v>
      </c>
      <c r="D384" s="51">
        <v>29582</v>
      </c>
    </row>
    <row r="385" spans="1:4" x14ac:dyDescent="0.2">
      <c r="A385" s="24">
        <v>42826</v>
      </c>
      <c r="B385" s="25" t="s">
        <v>122</v>
      </c>
      <c r="C385" s="25" t="s">
        <v>2</v>
      </c>
      <c r="D385" s="51">
        <v>427515</v>
      </c>
    </row>
    <row r="386" spans="1:4" x14ac:dyDescent="0.2">
      <c r="A386" s="24">
        <v>42826</v>
      </c>
      <c r="B386" s="25" t="s">
        <v>123</v>
      </c>
      <c r="C386" s="25" t="s">
        <v>2</v>
      </c>
      <c r="D386" s="51">
        <v>2679990</v>
      </c>
    </row>
    <row r="387" spans="1:4" x14ac:dyDescent="0.2">
      <c r="A387" s="24">
        <v>42826</v>
      </c>
      <c r="B387" s="25" t="s">
        <v>129</v>
      </c>
      <c r="C387" s="25" t="s">
        <v>2</v>
      </c>
      <c r="D387" s="51">
        <v>298912</v>
      </c>
    </row>
    <row r="388" spans="1:4" x14ac:dyDescent="0.2">
      <c r="A388" s="24">
        <v>42826</v>
      </c>
      <c r="B388" s="25" t="s">
        <v>130</v>
      </c>
      <c r="C388" s="25" t="s">
        <v>2</v>
      </c>
      <c r="D388" s="51">
        <v>75955</v>
      </c>
    </row>
    <row r="389" spans="1:4" x14ac:dyDescent="0.2">
      <c r="A389" s="24">
        <v>42856</v>
      </c>
      <c r="B389" s="25" t="s">
        <v>117</v>
      </c>
      <c r="C389" s="25" t="s">
        <v>4</v>
      </c>
      <c r="D389" s="51">
        <v>14803185</v>
      </c>
    </row>
    <row r="390" spans="1:4" x14ac:dyDescent="0.2">
      <c r="A390" s="24">
        <v>42856</v>
      </c>
      <c r="B390" s="25" t="s">
        <v>131</v>
      </c>
      <c r="C390" s="25" t="s">
        <v>4</v>
      </c>
      <c r="D390" s="51">
        <v>168079</v>
      </c>
    </row>
    <row r="391" spans="1:4" x14ac:dyDescent="0.2">
      <c r="A391" s="24">
        <v>42856</v>
      </c>
      <c r="B391" s="25" t="s">
        <v>132</v>
      </c>
      <c r="C391" s="25" t="s">
        <v>4</v>
      </c>
      <c r="D391" s="51">
        <v>102429</v>
      </c>
    </row>
    <row r="392" spans="1:4" x14ac:dyDescent="0.2">
      <c r="A392" s="24">
        <v>42856</v>
      </c>
      <c r="B392" s="25" t="s">
        <v>133</v>
      </c>
      <c r="C392" s="25" t="s">
        <v>4</v>
      </c>
      <c r="D392" s="51">
        <v>39400</v>
      </c>
    </row>
    <row r="393" spans="1:4" x14ac:dyDescent="0.2">
      <c r="A393" s="24">
        <v>42856</v>
      </c>
      <c r="B393" s="25" t="s">
        <v>118</v>
      </c>
      <c r="C393" s="25" t="s">
        <v>4</v>
      </c>
      <c r="D393" s="51">
        <v>1122661</v>
      </c>
    </row>
    <row r="394" spans="1:4" x14ac:dyDescent="0.2">
      <c r="A394" s="24">
        <v>42856</v>
      </c>
      <c r="B394" s="25" t="s">
        <v>134</v>
      </c>
      <c r="C394" s="25" t="s">
        <v>4</v>
      </c>
      <c r="D394" s="51">
        <v>40946</v>
      </c>
    </row>
    <row r="395" spans="1:4" x14ac:dyDescent="0.2">
      <c r="A395" s="24">
        <v>42856</v>
      </c>
      <c r="B395" s="25" t="s">
        <v>135</v>
      </c>
      <c r="C395" s="25" t="s">
        <v>4</v>
      </c>
      <c r="D395" s="51">
        <v>25907</v>
      </c>
    </row>
    <row r="396" spans="1:4" x14ac:dyDescent="0.2">
      <c r="A396" s="24">
        <v>42856</v>
      </c>
      <c r="B396" s="25" t="s">
        <v>136</v>
      </c>
      <c r="C396" s="25" t="s">
        <v>4</v>
      </c>
      <c r="D396" s="51">
        <v>7355</v>
      </c>
    </row>
    <row r="397" spans="1:4" x14ac:dyDescent="0.2">
      <c r="A397" s="24">
        <v>42856</v>
      </c>
      <c r="B397" s="25" t="s">
        <v>119</v>
      </c>
      <c r="C397" s="25" t="s">
        <v>4</v>
      </c>
      <c r="D397" s="51">
        <v>2193095</v>
      </c>
    </row>
    <row r="398" spans="1:4" x14ac:dyDescent="0.2">
      <c r="A398" s="24">
        <v>42856</v>
      </c>
      <c r="B398" s="25" t="s">
        <v>120</v>
      </c>
      <c r="C398" s="25" t="s">
        <v>4</v>
      </c>
      <c r="D398" s="51">
        <v>77797</v>
      </c>
    </row>
    <row r="399" spans="1:4" x14ac:dyDescent="0.2">
      <c r="A399" s="24">
        <v>42856</v>
      </c>
      <c r="B399" s="25" t="s">
        <v>121</v>
      </c>
      <c r="C399" s="25" t="s">
        <v>4</v>
      </c>
      <c r="D399" s="51">
        <v>40054</v>
      </c>
    </row>
    <row r="400" spans="1:4" x14ac:dyDescent="0.2">
      <c r="A400" s="24">
        <v>42856</v>
      </c>
      <c r="B400" s="25" t="s">
        <v>122</v>
      </c>
      <c r="C400" s="25" t="s">
        <v>4</v>
      </c>
      <c r="D400" s="51">
        <v>3124770</v>
      </c>
    </row>
    <row r="401" spans="1:4" x14ac:dyDescent="0.2">
      <c r="A401" s="24">
        <v>42856</v>
      </c>
      <c r="B401" s="25" t="s">
        <v>123</v>
      </c>
      <c r="C401" s="25" t="s">
        <v>4</v>
      </c>
      <c r="D401" s="51">
        <v>4329706</v>
      </c>
    </row>
    <row r="402" spans="1:4" x14ac:dyDescent="0.2">
      <c r="A402" s="24">
        <v>42856</v>
      </c>
      <c r="B402" s="25" t="s">
        <v>117</v>
      </c>
      <c r="C402" s="25" t="s">
        <v>8</v>
      </c>
      <c r="D402" s="51">
        <v>812318</v>
      </c>
    </row>
    <row r="403" spans="1:4" x14ac:dyDescent="0.2">
      <c r="A403" s="24">
        <v>42856</v>
      </c>
      <c r="B403" s="25" t="s">
        <v>118</v>
      </c>
      <c r="C403" s="25" t="s">
        <v>8</v>
      </c>
      <c r="D403" s="51">
        <v>63543</v>
      </c>
    </row>
    <row r="404" spans="1:4" x14ac:dyDescent="0.2">
      <c r="A404" s="24">
        <v>42856</v>
      </c>
      <c r="B404" s="25" t="s">
        <v>119</v>
      </c>
      <c r="C404" s="25" t="s">
        <v>8</v>
      </c>
      <c r="D404" s="51">
        <v>28200</v>
      </c>
    </row>
    <row r="405" spans="1:4" x14ac:dyDescent="0.2">
      <c r="A405" s="24">
        <v>42856</v>
      </c>
      <c r="B405" s="25" t="s">
        <v>120</v>
      </c>
      <c r="C405" s="25" t="s">
        <v>8</v>
      </c>
      <c r="D405" s="51">
        <v>5428</v>
      </c>
    </row>
    <row r="406" spans="1:4" x14ac:dyDescent="0.2">
      <c r="A406" s="24">
        <v>42856</v>
      </c>
      <c r="B406" s="25" t="s">
        <v>121</v>
      </c>
      <c r="C406" s="25" t="s">
        <v>8</v>
      </c>
      <c r="D406" s="51">
        <v>2355</v>
      </c>
    </row>
    <row r="407" spans="1:4" x14ac:dyDescent="0.2">
      <c r="A407" s="24">
        <v>42856</v>
      </c>
      <c r="B407" s="25" t="s">
        <v>122</v>
      </c>
      <c r="C407" s="25" t="s">
        <v>8</v>
      </c>
      <c r="D407" s="51">
        <v>2435</v>
      </c>
    </row>
    <row r="408" spans="1:4" x14ac:dyDescent="0.2">
      <c r="A408" s="24">
        <v>42856</v>
      </c>
      <c r="B408" s="25" t="s">
        <v>123</v>
      </c>
      <c r="C408" s="25" t="s">
        <v>8</v>
      </c>
      <c r="D408" s="51">
        <v>189654</v>
      </c>
    </row>
    <row r="409" spans="1:4" x14ac:dyDescent="0.2">
      <c r="A409" s="24">
        <v>42856</v>
      </c>
      <c r="B409" s="25" t="s">
        <v>124</v>
      </c>
      <c r="C409" s="25" t="s">
        <v>8</v>
      </c>
      <c r="D409" s="51">
        <v>40290</v>
      </c>
    </row>
    <row r="410" spans="1:4" x14ac:dyDescent="0.2">
      <c r="A410" s="24">
        <v>42856</v>
      </c>
      <c r="B410" s="25" t="s">
        <v>125</v>
      </c>
      <c r="C410" s="25" t="s">
        <v>8</v>
      </c>
      <c r="D410" s="51">
        <v>5607</v>
      </c>
    </row>
    <row r="411" spans="1:4" x14ac:dyDescent="0.2">
      <c r="A411" s="24">
        <v>42856</v>
      </c>
      <c r="B411" s="25" t="s">
        <v>117</v>
      </c>
      <c r="C411" s="25" t="s">
        <v>26</v>
      </c>
      <c r="D411" s="51">
        <v>614636</v>
      </c>
    </row>
    <row r="412" spans="1:4" x14ac:dyDescent="0.2">
      <c r="A412" s="24">
        <v>42856</v>
      </c>
      <c r="B412" s="25" t="s">
        <v>118</v>
      </c>
      <c r="C412" s="25" t="s">
        <v>26</v>
      </c>
      <c r="D412" s="51">
        <v>31460</v>
      </c>
    </row>
    <row r="413" spans="1:4" x14ac:dyDescent="0.2">
      <c r="A413" s="24">
        <v>42856</v>
      </c>
      <c r="B413" s="25" t="s">
        <v>119</v>
      </c>
      <c r="C413" s="25" t="s">
        <v>26</v>
      </c>
      <c r="D413" s="51">
        <v>32391</v>
      </c>
    </row>
    <row r="414" spans="1:4" x14ac:dyDescent="0.2">
      <c r="A414" s="24">
        <v>42856</v>
      </c>
      <c r="B414" s="25" t="s">
        <v>121</v>
      </c>
      <c r="C414" s="25" t="s">
        <v>26</v>
      </c>
      <c r="D414" s="51">
        <v>936</v>
      </c>
    </row>
    <row r="415" spans="1:4" x14ac:dyDescent="0.2">
      <c r="A415" s="24">
        <v>42856</v>
      </c>
      <c r="B415" s="25" t="s">
        <v>122</v>
      </c>
      <c r="C415" s="25" t="s">
        <v>26</v>
      </c>
      <c r="D415" s="51">
        <v>6885</v>
      </c>
    </row>
    <row r="416" spans="1:4" x14ac:dyDescent="0.2">
      <c r="A416" s="24">
        <v>42856</v>
      </c>
      <c r="B416" s="25" t="s">
        <v>123</v>
      </c>
      <c r="C416" s="25" t="s">
        <v>26</v>
      </c>
      <c r="D416" s="51">
        <v>144208</v>
      </c>
    </row>
    <row r="417" spans="1:4" x14ac:dyDescent="0.2">
      <c r="A417" s="24">
        <v>42856</v>
      </c>
      <c r="B417" s="25" t="s">
        <v>127</v>
      </c>
      <c r="C417" s="25" t="s">
        <v>26</v>
      </c>
      <c r="D417" s="51">
        <v>2535</v>
      </c>
    </row>
    <row r="418" spans="1:4" x14ac:dyDescent="0.2">
      <c r="A418" s="24">
        <v>42856</v>
      </c>
      <c r="B418" s="25" t="s">
        <v>128</v>
      </c>
      <c r="C418" s="25" t="s">
        <v>26</v>
      </c>
      <c r="D418" s="51">
        <v>432</v>
      </c>
    </row>
    <row r="419" spans="1:4" x14ac:dyDescent="0.2">
      <c r="A419" s="24">
        <v>42856</v>
      </c>
      <c r="B419" s="25" t="s">
        <v>117</v>
      </c>
      <c r="C419" s="25" t="s">
        <v>2</v>
      </c>
      <c r="D419" s="51">
        <v>26157005</v>
      </c>
    </row>
    <row r="420" spans="1:4" x14ac:dyDescent="0.2">
      <c r="A420" s="24">
        <v>42856</v>
      </c>
      <c r="B420" s="25" t="s">
        <v>118</v>
      </c>
      <c r="C420" s="25" t="s">
        <v>2</v>
      </c>
      <c r="D420" s="51">
        <v>952898</v>
      </c>
    </row>
    <row r="421" spans="1:4" x14ac:dyDescent="0.2">
      <c r="A421" s="24">
        <v>42856</v>
      </c>
      <c r="B421" s="25" t="s">
        <v>119</v>
      </c>
      <c r="C421" s="25" t="s">
        <v>2</v>
      </c>
      <c r="D421" s="51">
        <v>2727746</v>
      </c>
    </row>
    <row r="422" spans="1:4" x14ac:dyDescent="0.2">
      <c r="A422" s="24">
        <v>42856</v>
      </c>
      <c r="B422" s="25" t="s">
        <v>120</v>
      </c>
      <c r="C422" s="25" t="s">
        <v>2</v>
      </c>
      <c r="D422" s="51">
        <v>332707</v>
      </c>
    </row>
    <row r="423" spans="1:4" x14ac:dyDescent="0.2">
      <c r="A423" s="24">
        <v>42856</v>
      </c>
      <c r="B423" s="25" t="s">
        <v>121</v>
      </c>
      <c r="C423" s="25" t="s">
        <v>2</v>
      </c>
      <c r="D423" s="51">
        <v>35442</v>
      </c>
    </row>
    <row r="424" spans="1:4" x14ac:dyDescent="0.2">
      <c r="A424" s="24">
        <v>42856</v>
      </c>
      <c r="B424" s="25" t="s">
        <v>122</v>
      </c>
      <c r="C424" s="25" t="s">
        <v>2</v>
      </c>
      <c r="D424" s="51">
        <v>1272946</v>
      </c>
    </row>
    <row r="425" spans="1:4" x14ac:dyDescent="0.2">
      <c r="A425" s="24">
        <v>42856</v>
      </c>
      <c r="B425" s="25" t="s">
        <v>123</v>
      </c>
      <c r="C425" s="25" t="s">
        <v>2</v>
      </c>
      <c r="D425" s="51">
        <v>3039985</v>
      </c>
    </row>
    <row r="426" spans="1:4" x14ac:dyDescent="0.2">
      <c r="A426" s="24">
        <v>42856</v>
      </c>
      <c r="B426" s="25" t="s">
        <v>129</v>
      </c>
      <c r="C426" s="25" t="s">
        <v>2</v>
      </c>
      <c r="D426" s="51">
        <v>293744</v>
      </c>
    </row>
    <row r="427" spans="1:4" x14ac:dyDescent="0.2">
      <c r="A427" s="24">
        <v>42856</v>
      </c>
      <c r="B427" s="25" t="s">
        <v>130</v>
      </c>
      <c r="C427" s="25" t="s">
        <v>2</v>
      </c>
      <c r="D427" s="51">
        <v>50537</v>
      </c>
    </row>
    <row r="428" spans="1:4" x14ac:dyDescent="0.2">
      <c r="A428" s="24">
        <v>42887</v>
      </c>
      <c r="B428" s="25" t="s">
        <v>117</v>
      </c>
      <c r="C428" s="25" t="s">
        <v>4</v>
      </c>
      <c r="D428" s="51">
        <v>13139949</v>
      </c>
    </row>
    <row r="429" spans="1:4" x14ac:dyDescent="0.2">
      <c r="A429" s="24">
        <v>42887</v>
      </c>
      <c r="B429" s="25" t="s">
        <v>131</v>
      </c>
      <c r="C429" s="25" t="s">
        <v>4</v>
      </c>
      <c r="D429" s="51">
        <v>149534</v>
      </c>
    </row>
    <row r="430" spans="1:4" x14ac:dyDescent="0.2">
      <c r="A430" s="24">
        <v>42887</v>
      </c>
      <c r="B430" s="25" t="s">
        <v>132</v>
      </c>
      <c r="C430" s="25" t="s">
        <v>4</v>
      </c>
      <c r="D430" s="51">
        <v>90172</v>
      </c>
    </row>
    <row r="431" spans="1:4" x14ac:dyDescent="0.2">
      <c r="A431" s="24">
        <v>42887</v>
      </c>
      <c r="B431" s="25" t="s">
        <v>133</v>
      </c>
      <c r="C431" s="25" t="s">
        <v>4</v>
      </c>
      <c r="D431" s="51">
        <v>35967</v>
      </c>
    </row>
    <row r="432" spans="1:4" x14ac:dyDescent="0.2">
      <c r="A432" s="24">
        <v>42887</v>
      </c>
      <c r="B432" s="25" t="s">
        <v>118</v>
      </c>
      <c r="C432" s="25" t="s">
        <v>4</v>
      </c>
      <c r="D432" s="51">
        <v>1066813</v>
      </c>
    </row>
    <row r="433" spans="1:4" x14ac:dyDescent="0.2">
      <c r="A433" s="24">
        <v>42887</v>
      </c>
      <c r="B433" s="25" t="s">
        <v>134</v>
      </c>
      <c r="C433" s="25" t="s">
        <v>4</v>
      </c>
      <c r="D433" s="51">
        <v>38891</v>
      </c>
    </row>
    <row r="434" spans="1:4" x14ac:dyDescent="0.2">
      <c r="A434" s="24">
        <v>42887</v>
      </c>
      <c r="B434" s="25" t="s">
        <v>135</v>
      </c>
      <c r="C434" s="25" t="s">
        <v>4</v>
      </c>
      <c r="D434" s="51">
        <v>25954</v>
      </c>
    </row>
    <row r="435" spans="1:4" x14ac:dyDescent="0.2">
      <c r="A435" s="24">
        <v>42887</v>
      </c>
      <c r="B435" s="25" t="s">
        <v>136</v>
      </c>
      <c r="C435" s="25" t="s">
        <v>4</v>
      </c>
      <c r="D435" s="51">
        <v>7945</v>
      </c>
    </row>
    <row r="436" spans="1:4" x14ac:dyDescent="0.2">
      <c r="A436" s="24">
        <v>42887</v>
      </c>
      <c r="B436" s="25" t="s">
        <v>119</v>
      </c>
      <c r="C436" s="25" t="s">
        <v>4</v>
      </c>
      <c r="D436" s="51">
        <v>1472712</v>
      </c>
    </row>
    <row r="437" spans="1:4" x14ac:dyDescent="0.2">
      <c r="A437" s="24">
        <v>42887</v>
      </c>
      <c r="B437" s="25" t="s">
        <v>120</v>
      </c>
      <c r="C437" s="25" t="s">
        <v>4</v>
      </c>
      <c r="D437" s="51">
        <v>69266</v>
      </c>
    </row>
    <row r="438" spans="1:4" x14ac:dyDescent="0.2">
      <c r="A438" s="24">
        <v>42887</v>
      </c>
      <c r="B438" s="25" t="s">
        <v>121</v>
      </c>
      <c r="C438" s="25" t="s">
        <v>4</v>
      </c>
      <c r="D438" s="51">
        <v>35256</v>
      </c>
    </row>
    <row r="439" spans="1:4" x14ac:dyDescent="0.2">
      <c r="A439" s="24">
        <v>42887</v>
      </c>
      <c r="B439" s="25" t="s">
        <v>122</v>
      </c>
      <c r="C439" s="25" t="s">
        <v>4</v>
      </c>
      <c r="D439" s="51">
        <v>2499684</v>
      </c>
    </row>
    <row r="440" spans="1:4" x14ac:dyDescent="0.2">
      <c r="A440" s="24">
        <v>42887</v>
      </c>
      <c r="B440" s="25" t="s">
        <v>123</v>
      </c>
      <c r="C440" s="25" t="s">
        <v>4</v>
      </c>
      <c r="D440" s="51">
        <v>3904931</v>
      </c>
    </row>
    <row r="441" spans="1:4" x14ac:dyDescent="0.2">
      <c r="A441" s="24">
        <v>42887</v>
      </c>
      <c r="B441" s="25" t="s">
        <v>117</v>
      </c>
      <c r="C441" s="25" t="s">
        <v>8</v>
      </c>
      <c r="D441" s="51">
        <v>791353</v>
      </c>
    </row>
    <row r="442" spans="1:4" x14ac:dyDescent="0.2">
      <c r="A442" s="24">
        <v>42887</v>
      </c>
      <c r="B442" s="25" t="s">
        <v>118</v>
      </c>
      <c r="C442" s="25" t="s">
        <v>8</v>
      </c>
      <c r="D442" s="51">
        <v>94767</v>
      </c>
    </row>
    <row r="443" spans="1:4" x14ac:dyDescent="0.2">
      <c r="A443" s="24">
        <v>42887</v>
      </c>
      <c r="B443" s="25" t="s">
        <v>119</v>
      </c>
      <c r="C443" s="25" t="s">
        <v>8</v>
      </c>
      <c r="D443" s="51">
        <v>26673</v>
      </c>
    </row>
    <row r="444" spans="1:4" x14ac:dyDescent="0.2">
      <c r="A444" s="24">
        <v>42887</v>
      </c>
      <c r="B444" s="25" t="s">
        <v>120</v>
      </c>
      <c r="C444" s="25" t="s">
        <v>8</v>
      </c>
      <c r="D444" s="51">
        <v>5164</v>
      </c>
    </row>
    <row r="445" spans="1:4" x14ac:dyDescent="0.2">
      <c r="A445" s="24">
        <v>42887</v>
      </c>
      <c r="B445" s="25" t="s">
        <v>121</v>
      </c>
      <c r="C445" s="25" t="s">
        <v>8</v>
      </c>
      <c r="D445" s="51">
        <v>2211</v>
      </c>
    </row>
    <row r="446" spans="1:4" x14ac:dyDescent="0.2">
      <c r="A446" s="24">
        <v>42887</v>
      </c>
      <c r="B446" s="25" t="s">
        <v>122</v>
      </c>
      <c r="C446" s="25" t="s">
        <v>8</v>
      </c>
      <c r="D446" s="51">
        <v>1764</v>
      </c>
    </row>
    <row r="447" spans="1:4" x14ac:dyDescent="0.2">
      <c r="A447" s="24">
        <v>42887</v>
      </c>
      <c r="B447" s="25" t="s">
        <v>123</v>
      </c>
      <c r="C447" s="25" t="s">
        <v>8</v>
      </c>
      <c r="D447" s="51">
        <v>180835</v>
      </c>
    </row>
    <row r="448" spans="1:4" x14ac:dyDescent="0.2">
      <c r="A448" s="24">
        <v>42887</v>
      </c>
      <c r="B448" s="25" t="s">
        <v>124</v>
      </c>
      <c r="C448" s="25" t="s">
        <v>8</v>
      </c>
      <c r="D448" s="51">
        <v>42949</v>
      </c>
    </row>
    <row r="449" spans="1:4" x14ac:dyDescent="0.2">
      <c r="A449" s="24">
        <v>42887</v>
      </c>
      <c r="B449" s="25" t="s">
        <v>125</v>
      </c>
      <c r="C449" s="25" t="s">
        <v>8</v>
      </c>
      <c r="D449" s="51">
        <v>10431</v>
      </c>
    </row>
    <row r="450" spans="1:4" x14ac:dyDescent="0.2">
      <c r="A450" s="24">
        <v>42887</v>
      </c>
      <c r="B450" s="25" t="s">
        <v>117</v>
      </c>
      <c r="C450" s="25" t="s">
        <v>26</v>
      </c>
      <c r="D450" s="51">
        <v>615981</v>
      </c>
    </row>
    <row r="451" spans="1:4" x14ac:dyDescent="0.2">
      <c r="A451" s="24">
        <v>42887</v>
      </c>
      <c r="B451" s="25" t="s">
        <v>118</v>
      </c>
      <c r="C451" s="25" t="s">
        <v>26</v>
      </c>
      <c r="D451" s="51">
        <v>39888</v>
      </c>
    </row>
    <row r="452" spans="1:4" x14ac:dyDescent="0.2">
      <c r="A452" s="24">
        <v>42887</v>
      </c>
      <c r="B452" s="25" t="s">
        <v>119</v>
      </c>
      <c r="C452" s="25" t="s">
        <v>26</v>
      </c>
      <c r="D452" s="51">
        <v>33781</v>
      </c>
    </row>
    <row r="453" spans="1:4" x14ac:dyDescent="0.2">
      <c r="A453" s="24">
        <v>42887</v>
      </c>
      <c r="B453" s="25" t="s">
        <v>120</v>
      </c>
      <c r="C453" s="25" t="s">
        <v>26</v>
      </c>
      <c r="D453" s="51">
        <v>1</v>
      </c>
    </row>
    <row r="454" spans="1:4" x14ac:dyDescent="0.2">
      <c r="A454" s="24">
        <v>42887</v>
      </c>
      <c r="B454" s="25" t="s">
        <v>121</v>
      </c>
      <c r="C454" s="25" t="s">
        <v>26</v>
      </c>
      <c r="D454" s="51">
        <v>956</v>
      </c>
    </row>
    <row r="455" spans="1:4" x14ac:dyDescent="0.2">
      <c r="A455" s="24">
        <v>42887</v>
      </c>
      <c r="B455" s="25" t="s">
        <v>122</v>
      </c>
      <c r="C455" s="25" t="s">
        <v>26</v>
      </c>
      <c r="D455" s="51">
        <v>4961</v>
      </c>
    </row>
    <row r="456" spans="1:4" x14ac:dyDescent="0.2">
      <c r="A456" s="24">
        <v>42887</v>
      </c>
      <c r="B456" s="25" t="s">
        <v>123</v>
      </c>
      <c r="C456" s="25" t="s">
        <v>26</v>
      </c>
      <c r="D456" s="51">
        <v>148978</v>
      </c>
    </row>
    <row r="457" spans="1:4" x14ac:dyDescent="0.2">
      <c r="A457" s="24">
        <v>42887</v>
      </c>
      <c r="B457" s="25" t="s">
        <v>127</v>
      </c>
      <c r="C457" s="25" t="s">
        <v>26</v>
      </c>
      <c r="D457" s="51">
        <v>2837</v>
      </c>
    </row>
    <row r="458" spans="1:4" x14ac:dyDescent="0.2">
      <c r="A458" s="24">
        <v>42887</v>
      </c>
      <c r="B458" s="25" t="s">
        <v>128</v>
      </c>
      <c r="C458" s="25" t="s">
        <v>26</v>
      </c>
      <c r="D458" s="51">
        <v>623</v>
      </c>
    </row>
    <row r="459" spans="1:4" x14ac:dyDescent="0.2">
      <c r="A459" s="24">
        <v>42887</v>
      </c>
      <c r="B459" s="25" t="s">
        <v>117</v>
      </c>
      <c r="C459" s="25" t="s">
        <v>2</v>
      </c>
      <c r="D459" s="51">
        <v>24096554</v>
      </c>
    </row>
    <row r="460" spans="1:4" x14ac:dyDescent="0.2">
      <c r="A460" s="24">
        <v>42887</v>
      </c>
      <c r="B460" s="25" t="s">
        <v>118</v>
      </c>
      <c r="C460" s="25" t="s">
        <v>2</v>
      </c>
      <c r="D460" s="51">
        <v>1076221</v>
      </c>
    </row>
    <row r="461" spans="1:4" x14ac:dyDescent="0.2">
      <c r="A461" s="24">
        <v>42887</v>
      </c>
      <c r="B461" s="25" t="s">
        <v>119</v>
      </c>
      <c r="C461" s="25" t="s">
        <v>2</v>
      </c>
      <c r="D461" s="51">
        <v>1944290</v>
      </c>
    </row>
    <row r="462" spans="1:4" x14ac:dyDescent="0.2">
      <c r="A462" s="24">
        <v>42887</v>
      </c>
      <c r="B462" s="25" t="s">
        <v>120</v>
      </c>
      <c r="C462" s="25" t="s">
        <v>2</v>
      </c>
      <c r="D462" s="51">
        <v>308301</v>
      </c>
    </row>
    <row r="463" spans="1:4" x14ac:dyDescent="0.2">
      <c r="A463" s="24">
        <v>42887</v>
      </c>
      <c r="B463" s="25" t="s">
        <v>121</v>
      </c>
      <c r="C463" s="25" t="s">
        <v>2</v>
      </c>
      <c r="D463" s="51">
        <v>31954</v>
      </c>
    </row>
    <row r="464" spans="1:4" x14ac:dyDescent="0.2">
      <c r="A464" s="24">
        <v>42887</v>
      </c>
      <c r="B464" s="25" t="s">
        <v>122</v>
      </c>
      <c r="C464" s="25" t="s">
        <v>2</v>
      </c>
      <c r="D464" s="51">
        <v>1054982</v>
      </c>
    </row>
    <row r="465" spans="1:4" x14ac:dyDescent="0.2">
      <c r="A465" s="24">
        <v>42887</v>
      </c>
      <c r="B465" s="25" t="s">
        <v>123</v>
      </c>
      <c r="C465" s="25" t="s">
        <v>2</v>
      </c>
      <c r="D465" s="51">
        <v>2840831</v>
      </c>
    </row>
    <row r="466" spans="1:4" x14ac:dyDescent="0.2">
      <c r="A466" s="24">
        <v>42887</v>
      </c>
      <c r="B466" s="25" t="s">
        <v>129</v>
      </c>
      <c r="C466" s="25" t="s">
        <v>2</v>
      </c>
      <c r="D466" s="51">
        <v>293213</v>
      </c>
    </row>
    <row r="467" spans="1:4" x14ac:dyDescent="0.2">
      <c r="A467" s="24">
        <v>42887</v>
      </c>
      <c r="B467" s="25" t="s">
        <v>130</v>
      </c>
      <c r="C467" s="25" t="s">
        <v>2</v>
      </c>
      <c r="D467" s="51">
        <v>60524</v>
      </c>
    </row>
    <row r="468" spans="1:4" x14ac:dyDescent="0.2">
      <c r="A468" s="24">
        <v>42917</v>
      </c>
      <c r="B468" s="25" t="s">
        <v>117</v>
      </c>
      <c r="C468" s="25" t="s">
        <v>4</v>
      </c>
      <c r="D468" s="51">
        <v>13625495</v>
      </c>
    </row>
    <row r="469" spans="1:4" x14ac:dyDescent="0.2">
      <c r="A469" s="24">
        <v>42917</v>
      </c>
      <c r="B469" s="25" t="s">
        <v>131</v>
      </c>
      <c r="C469" s="25" t="s">
        <v>4</v>
      </c>
      <c r="D469" s="51">
        <v>159698</v>
      </c>
    </row>
    <row r="470" spans="1:4" x14ac:dyDescent="0.2">
      <c r="A470" s="24">
        <v>42917</v>
      </c>
      <c r="B470" s="25" t="s">
        <v>132</v>
      </c>
      <c r="C470" s="25" t="s">
        <v>4</v>
      </c>
      <c r="D470" s="51">
        <v>96674</v>
      </c>
    </row>
    <row r="471" spans="1:4" x14ac:dyDescent="0.2">
      <c r="A471" s="24">
        <v>42917</v>
      </c>
      <c r="B471" s="25" t="s">
        <v>133</v>
      </c>
      <c r="C471" s="25" t="s">
        <v>4</v>
      </c>
      <c r="D471" s="51">
        <v>36141</v>
      </c>
    </row>
    <row r="472" spans="1:4" x14ac:dyDescent="0.2">
      <c r="A472" s="24">
        <v>42917</v>
      </c>
      <c r="B472" s="25" t="s">
        <v>118</v>
      </c>
      <c r="C472" s="25" t="s">
        <v>4</v>
      </c>
      <c r="D472" s="51">
        <v>1386168</v>
      </c>
    </row>
    <row r="473" spans="1:4" x14ac:dyDescent="0.2">
      <c r="A473" s="24">
        <v>42917</v>
      </c>
      <c r="B473" s="25" t="s">
        <v>134</v>
      </c>
      <c r="C473" s="25" t="s">
        <v>4</v>
      </c>
      <c r="D473" s="51">
        <v>55170</v>
      </c>
    </row>
    <row r="474" spans="1:4" x14ac:dyDescent="0.2">
      <c r="A474" s="24">
        <v>42917</v>
      </c>
      <c r="B474" s="25" t="s">
        <v>135</v>
      </c>
      <c r="C474" s="25" t="s">
        <v>4</v>
      </c>
      <c r="D474" s="51">
        <v>42041</v>
      </c>
    </row>
    <row r="475" spans="1:4" x14ac:dyDescent="0.2">
      <c r="A475" s="24">
        <v>42917</v>
      </c>
      <c r="B475" s="25" t="s">
        <v>136</v>
      </c>
      <c r="C475" s="25" t="s">
        <v>4</v>
      </c>
      <c r="D475" s="51">
        <v>12555</v>
      </c>
    </row>
    <row r="476" spans="1:4" x14ac:dyDescent="0.2">
      <c r="A476" s="24">
        <v>42917</v>
      </c>
      <c r="B476" s="25" t="s">
        <v>119</v>
      </c>
      <c r="C476" s="25" t="s">
        <v>4</v>
      </c>
      <c r="D476" s="51">
        <v>1361714</v>
      </c>
    </row>
    <row r="477" spans="1:4" x14ac:dyDescent="0.2">
      <c r="A477" s="24">
        <v>42917</v>
      </c>
      <c r="B477" s="25" t="s">
        <v>120</v>
      </c>
      <c r="C477" s="25" t="s">
        <v>4</v>
      </c>
      <c r="D477" s="51">
        <v>71153</v>
      </c>
    </row>
    <row r="478" spans="1:4" x14ac:dyDescent="0.2">
      <c r="A478" s="24">
        <v>42917</v>
      </c>
      <c r="B478" s="25" t="s">
        <v>121</v>
      </c>
      <c r="C478" s="25" t="s">
        <v>4</v>
      </c>
      <c r="D478" s="51">
        <v>36248</v>
      </c>
    </row>
    <row r="479" spans="1:4" x14ac:dyDescent="0.2">
      <c r="A479" s="24">
        <v>42917</v>
      </c>
      <c r="B479" s="25" t="s">
        <v>122</v>
      </c>
      <c r="C479" s="25" t="s">
        <v>4</v>
      </c>
      <c r="D479" s="51">
        <v>1298172</v>
      </c>
    </row>
    <row r="480" spans="1:4" x14ac:dyDescent="0.2">
      <c r="A480" s="24">
        <v>42917</v>
      </c>
      <c r="B480" s="25" t="s">
        <v>123</v>
      </c>
      <c r="C480" s="25" t="s">
        <v>4</v>
      </c>
      <c r="D480" s="51">
        <v>4020743</v>
      </c>
    </row>
    <row r="481" spans="1:4" x14ac:dyDescent="0.2">
      <c r="A481" s="24">
        <v>42917</v>
      </c>
      <c r="B481" s="25" t="s">
        <v>117</v>
      </c>
      <c r="C481" s="25" t="s">
        <v>8</v>
      </c>
      <c r="D481" s="51">
        <v>858171</v>
      </c>
    </row>
    <row r="482" spans="1:4" x14ac:dyDescent="0.2">
      <c r="A482" s="24">
        <v>42917</v>
      </c>
      <c r="B482" s="25" t="s">
        <v>137</v>
      </c>
      <c r="C482" s="25" t="s">
        <v>8</v>
      </c>
      <c r="D482" s="51">
        <v>2138</v>
      </c>
    </row>
    <row r="483" spans="1:4" x14ac:dyDescent="0.2">
      <c r="A483" s="24">
        <v>42917</v>
      </c>
      <c r="B483" s="25" t="s">
        <v>118</v>
      </c>
      <c r="C483" s="25" t="s">
        <v>8</v>
      </c>
      <c r="D483" s="51">
        <v>157889</v>
      </c>
    </row>
    <row r="484" spans="1:4" x14ac:dyDescent="0.2">
      <c r="A484" s="24">
        <v>42917</v>
      </c>
      <c r="B484" s="25" t="s">
        <v>119</v>
      </c>
      <c r="C484" s="25" t="s">
        <v>8</v>
      </c>
      <c r="D484" s="51">
        <v>26169</v>
      </c>
    </row>
    <row r="485" spans="1:4" x14ac:dyDescent="0.2">
      <c r="A485" s="24">
        <v>42917</v>
      </c>
      <c r="B485" s="25" t="s">
        <v>120</v>
      </c>
      <c r="C485" s="25" t="s">
        <v>8</v>
      </c>
      <c r="D485" s="51">
        <v>4730</v>
      </c>
    </row>
    <row r="486" spans="1:4" x14ac:dyDescent="0.2">
      <c r="A486" s="24">
        <v>42917</v>
      </c>
      <c r="B486" s="25" t="s">
        <v>121</v>
      </c>
      <c r="C486" s="25" t="s">
        <v>8</v>
      </c>
      <c r="D486" s="51">
        <v>2328</v>
      </c>
    </row>
    <row r="487" spans="1:4" x14ac:dyDescent="0.2">
      <c r="A487" s="24">
        <v>42917</v>
      </c>
      <c r="B487" s="25" t="s">
        <v>122</v>
      </c>
      <c r="C487" s="25" t="s">
        <v>8</v>
      </c>
      <c r="D487" s="51">
        <v>1043</v>
      </c>
    </row>
    <row r="488" spans="1:4" x14ac:dyDescent="0.2">
      <c r="A488" s="24">
        <v>42917</v>
      </c>
      <c r="B488" s="25" t="s">
        <v>123</v>
      </c>
      <c r="C488" s="25" t="s">
        <v>8</v>
      </c>
      <c r="D488" s="51">
        <v>180265</v>
      </c>
    </row>
    <row r="489" spans="1:4" x14ac:dyDescent="0.2">
      <c r="A489" s="24">
        <v>42917</v>
      </c>
      <c r="B489" s="25" t="s">
        <v>124</v>
      </c>
      <c r="C489" s="25" t="s">
        <v>8</v>
      </c>
      <c r="D489" s="51">
        <v>55823</v>
      </c>
    </row>
    <row r="490" spans="1:4" x14ac:dyDescent="0.2">
      <c r="A490" s="24">
        <v>42917</v>
      </c>
      <c r="B490" s="25" t="s">
        <v>125</v>
      </c>
      <c r="C490" s="25" t="s">
        <v>8</v>
      </c>
      <c r="D490" s="51">
        <v>20097</v>
      </c>
    </row>
    <row r="491" spans="1:4" x14ac:dyDescent="0.2">
      <c r="A491" s="24">
        <v>42917</v>
      </c>
      <c r="B491" s="25" t="s">
        <v>117</v>
      </c>
      <c r="C491" s="25" t="s">
        <v>26</v>
      </c>
      <c r="D491" s="51">
        <v>607262</v>
      </c>
    </row>
    <row r="492" spans="1:4" x14ac:dyDescent="0.2">
      <c r="A492" s="24">
        <v>42917</v>
      </c>
      <c r="B492" s="25" t="s">
        <v>118</v>
      </c>
      <c r="C492" s="25" t="s">
        <v>26</v>
      </c>
      <c r="D492" s="51">
        <v>51615</v>
      </c>
    </row>
    <row r="493" spans="1:4" x14ac:dyDescent="0.2">
      <c r="A493" s="24">
        <v>42917</v>
      </c>
      <c r="B493" s="25" t="s">
        <v>119</v>
      </c>
      <c r="C493" s="25" t="s">
        <v>26</v>
      </c>
      <c r="D493" s="51">
        <v>30979</v>
      </c>
    </row>
    <row r="494" spans="1:4" x14ac:dyDescent="0.2">
      <c r="A494" s="24">
        <v>42917</v>
      </c>
      <c r="B494" s="25" t="s">
        <v>120</v>
      </c>
      <c r="C494" s="25" t="s">
        <v>26</v>
      </c>
      <c r="D494" s="51">
        <v>1</v>
      </c>
    </row>
    <row r="495" spans="1:4" x14ac:dyDescent="0.2">
      <c r="A495" s="24">
        <v>42917</v>
      </c>
      <c r="B495" s="25" t="s">
        <v>121</v>
      </c>
      <c r="C495" s="25" t="s">
        <v>26</v>
      </c>
      <c r="D495" s="51">
        <v>665</v>
      </c>
    </row>
    <row r="496" spans="1:4" x14ac:dyDescent="0.2">
      <c r="A496" s="24">
        <v>42917</v>
      </c>
      <c r="B496" s="25" t="s">
        <v>122</v>
      </c>
      <c r="C496" s="25" t="s">
        <v>26</v>
      </c>
      <c r="D496" s="51">
        <v>2976</v>
      </c>
    </row>
    <row r="497" spans="1:4" x14ac:dyDescent="0.2">
      <c r="A497" s="24">
        <v>42917</v>
      </c>
      <c r="B497" s="25" t="s">
        <v>123</v>
      </c>
      <c r="C497" s="25" t="s">
        <v>26</v>
      </c>
      <c r="D497" s="51">
        <v>135655</v>
      </c>
    </row>
    <row r="498" spans="1:4" x14ac:dyDescent="0.2">
      <c r="A498" s="24">
        <v>42917</v>
      </c>
      <c r="B498" s="25" t="s">
        <v>127</v>
      </c>
      <c r="C498" s="25" t="s">
        <v>26</v>
      </c>
      <c r="D498" s="51">
        <v>4507</v>
      </c>
    </row>
    <row r="499" spans="1:4" x14ac:dyDescent="0.2">
      <c r="A499" s="24">
        <v>42917</v>
      </c>
      <c r="B499" s="25" t="s">
        <v>128</v>
      </c>
      <c r="C499" s="25" t="s">
        <v>26</v>
      </c>
      <c r="D499" s="51">
        <v>1486</v>
      </c>
    </row>
    <row r="500" spans="1:4" x14ac:dyDescent="0.2">
      <c r="A500" s="24">
        <v>42917</v>
      </c>
      <c r="B500" s="25" t="s">
        <v>117</v>
      </c>
      <c r="C500" s="25" t="s">
        <v>2</v>
      </c>
      <c r="D500" s="51">
        <v>23827242</v>
      </c>
    </row>
    <row r="501" spans="1:4" x14ac:dyDescent="0.2">
      <c r="A501" s="24">
        <v>42917</v>
      </c>
      <c r="B501" s="25" t="s">
        <v>118</v>
      </c>
      <c r="C501" s="25" t="s">
        <v>2</v>
      </c>
      <c r="D501" s="51">
        <v>1407616</v>
      </c>
    </row>
    <row r="502" spans="1:4" x14ac:dyDescent="0.2">
      <c r="A502" s="24">
        <v>42917</v>
      </c>
      <c r="B502" s="25" t="s">
        <v>119</v>
      </c>
      <c r="C502" s="25" t="s">
        <v>2</v>
      </c>
      <c r="D502" s="51">
        <v>1719629</v>
      </c>
    </row>
    <row r="503" spans="1:4" x14ac:dyDescent="0.2">
      <c r="A503" s="24">
        <v>42917</v>
      </c>
      <c r="B503" s="25" t="s">
        <v>120</v>
      </c>
      <c r="C503" s="25" t="s">
        <v>2</v>
      </c>
      <c r="D503" s="51">
        <v>294034</v>
      </c>
    </row>
    <row r="504" spans="1:4" x14ac:dyDescent="0.2">
      <c r="A504" s="24">
        <v>42917</v>
      </c>
      <c r="B504" s="25" t="s">
        <v>121</v>
      </c>
      <c r="C504" s="25" t="s">
        <v>2</v>
      </c>
      <c r="D504" s="51">
        <v>32228</v>
      </c>
    </row>
    <row r="505" spans="1:4" x14ac:dyDescent="0.2">
      <c r="A505" s="24">
        <v>42917</v>
      </c>
      <c r="B505" s="25" t="s">
        <v>122</v>
      </c>
      <c r="C505" s="25" t="s">
        <v>2</v>
      </c>
      <c r="D505" s="51">
        <v>562500</v>
      </c>
    </row>
    <row r="506" spans="1:4" x14ac:dyDescent="0.2">
      <c r="A506" s="24">
        <v>42917</v>
      </c>
      <c r="B506" s="25" t="s">
        <v>123</v>
      </c>
      <c r="C506" s="25" t="s">
        <v>2</v>
      </c>
      <c r="D506" s="51">
        <v>2804836</v>
      </c>
    </row>
    <row r="507" spans="1:4" x14ac:dyDescent="0.2">
      <c r="A507" s="24">
        <v>42917</v>
      </c>
      <c r="B507" s="25" t="s">
        <v>129</v>
      </c>
      <c r="C507" s="25" t="s">
        <v>2</v>
      </c>
      <c r="D507" s="51">
        <v>330262</v>
      </c>
    </row>
    <row r="508" spans="1:4" x14ac:dyDescent="0.2">
      <c r="A508" s="24">
        <v>42917</v>
      </c>
      <c r="B508" s="25" t="s">
        <v>130</v>
      </c>
      <c r="C508" s="25" t="s">
        <v>2</v>
      </c>
      <c r="D508" s="51">
        <v>92187</v>
      </c>
    </row>
    <row r="509" spans="1:4" x14ac:dyDescent="0.2">
      <c r="A509" s="24">
        <v>42948</v>
      </c>
      <c r="B509" s="25" t="s">
        <v>117</v>
      </c>
      <c r="C509" s="25" t="s">
        <v>4</v>
      </c>
      <c r="D509" s="51">
        <v>14614966</v>
      </c>
    </row>
    <row r="510" spans="1:4" x14ac:dyDescent="0.2">
      <c r="A510" s="24">
        <v>42948</v>
      </c>
      <c r="B510" s="25" t="s">
        <v>131</v>
      </c>
      <c r="C510" s="25" t="s">
        <v>4</v>
      </c>
      <c r="D510" s="51">
        <v>152050</v>
      </c>
    </row>
    <row r="511" spans="1:4" x14ac:dyDescent="0.2">
      <c r="A511" s="24">
        <v>42948</v>
      </c>
      <c r="B511" s="25" t="s">
        <v>132</v>
      </c>
      <c r="C511" s="25" t="s">
        <v>4</v>
      </c>
      <c r="D511" s="51">
        <v>88604</v>
      </c>
    </row>
    <row r="512" spans="1:4" x14ac:dyDescent="0.2">
      <c r="A512" s="24">
        <v>42948</v>
      </c>
      <c r="B512" s="25" t="s">
        <v>133</v>
      </c>
      <c r="C512" s="25" t="s">
        <v>4</v>
      </c>
      <c r="D512" s="51">
        <v>33402</v>
      </c>
    </row>
    <row r="513" spans="1:4" x14ac:dyDescent="0.2">
      <c r="A513" s="24">
        <v>42948</v>
      </c>
      <c r="B513" s="25" t="s">
        <v>118</v>
      </c>
      <c r="C513" s="25" t="s">
        <v>4</v>
      </c>
      <c r="D513" s="51">
        <v>1129569</v>
      </c>
    </row>
    <row r="514" spans="1:4" x14ac:dyDescent="0.2">
      <c r="A514" s="24">
        <v>42948</v>
      </c>
      <c r="B514" s="25" t="s">
        <v>134</v>
      </c>
      <c r="C514" s="25" t="s">
        <v>4</v>
      </c>
      <c r="D514" s="51">
        <v>37346</v>
      </c>
    </row>
    <row r="515" spans="1:4" x14ac:dyDescent="0.2">
      <c r="A515" s="24">
        <v>42948</v>
      </c>
      <c r="B515" s="25" t="s">
        <v>135</v>
      </c>
      <c r="C515" s="25" t="s">
        <v>4</v>
      </c>
      <c r="D515" s="51">
        <v>24122</v>
      </c>
    </row>
    <row r="516" spans="1:4" x14ac:dyDescent="0.2">
      <c r="A516" s="24">
        <v>42948</v>
      </c>
      <c r="B516" s="25" t="s">
        <v>136</v>
      </c>
      <c r="C516" s="25" t="s">
        <v>4</v>
      </c>
      <c r="D516" s="51">
        <v>6683</v>
      </c>
    </row>
    <row r="517" spans="1:4" x14ac:dyDescent="0.2">
      <c r="A517" s="24">
        <v>42948</v>
      </c>
      <c r="B517" s="25" t="s">
        <v>119</v>
      </c>
      <c r="C517" s="25" t="s">
        <v>4</v>
      </c>
      <c r="D517" s="51">
        <v>2287083</v>
      </c>
    </row>
    <row r="518" spans="1:4" x14ac:dyDescent="0.2">
      <c r="A518" s="24">
        <v>42948</v>
      </c>
      <c r="B518" s="25" t="s">
        <v>138</v>
      </c>
      <c r="C518" s="25" t="s">
        <v>4</v>
      </c>
      <c r="D518" s="51">
        <v>7</v>
      </c>
    </row>
    <row r="519" spans="1:4" x14ac:dyDescent="0.2">
      <c r="A519" s="24">
        <v>42948</v>
      </c>
      <c r="B519" s="25" t="s">
        <v>139</v>
      </c>
      <c r="C519" s="25" t="s">
        <v>4</v>
      </c>
      <c r="D519" s="51">
        <v>15</v>
      </c>
    </row>
    <row r="520" spans="1:4" x14ac:dyDescent="0.2">
      <c r="A520" s="24">
        <v>42948</v>
      </c>
      <c r="B520" s="25" t="s">
        <v>120</v>
      </c>
      <c r="C520" s="25" t="s">
        <v>4</v>
      </c>
      <c r="D520" s="51">
        <v>75220</v>
      </c>
    </row>
    <row r="521" spans="1:4" x14ac:dyDescent="0.2">
      <c r="A521" s="24">
        <v>42948</v>
      </c>
      <c r="B521" s="25" t="s">
        <v>121</v>
      </c>
      <c r="C521" s="25" t="s">
        <v>4</v>
      </c>
      <c r="D521" s="51">
        <v>39408</v>
      </c>
    </row>
    <row r="522" spans="1:4" x14ac:dyDescent="0.2">
      <c r="A522" s="24">
        <v>42948</v>
      </c>
      <c r="B522" s="25" t="s">
        <v>122</v>
      </c>
      <c r="C522" s="25" t="s">
        <v>4</v>
      </c>
      <c r="D522" s="51">
        <v>2871680</v>
      </c>
    </row>
    <row r="523" spans="1:4" x14ac:dyDescent="0.2">
      <c r="A523" s="24">
        <v>42948</v>
      </c>
      <c r="B523" s="25" t="s">
        <v>123</v>
      </c>
      <c r="C523" s="25" t="s">
        <v>4</v>
      </c>
      <c r="D523" s="51">
        <v>4196065</v>
      </c>
    </row>
    <row r="524" spans="1:4" x14ac:dyDescent="0.2">
      <c r="A524" s="24">
        <v>42948</v>
      </c>
      <c r="B524" s="25" t="s">
        <v>117</v>
      </c>
      <c r="C524" s="25" t="s">
        <v>8</v>
      </c>
      <c r="D524" s="51">
        <v>759500</v>
      </c>
    </row>
    <row r="525" spans="1:4" x14ac:dyDescent="0.2">
      <c r="A525" s="24">
        <v>42948</v>
      </c>
      <c r="B525" s="25" t="s">
        <v>137</v>
      </c>
      <c r="C525" s="25" t="s">
        <v>8</v>
      </c>
      <c r="D525" s="51">
        <v>1976</v>
      </c>
    </row>
    <row r="526" spans="1:4" x14ac:dyDescent="0.2">
      <c r="A526" s="24">
        <v>42948</v>
      </c>
      <c r="B526" s="25" t="s">
        <v>118</v>
      </c>
      <c r="C526" s="25" t="s">
        <v>8</v>
      </c>
      <c r="D526" s="51">
        <v>79252</v>
      </c>
    </row>
    <row r="527" spans="1:4" x14ac:dyDescent="0.2">
      <c r="A527" s="24">
        <v>42948</v>
      </c>
      <c r="B527" s="25" t="s">
        <v>119</v>
      </c>
      <c r="C527" s="25" t="s">
        <v>8</v>
      </c>
      <c r="D527" s="51">
        <v>27276</v>
      </c>
    </row>
    <row r="528" spans="1:4" x14ac:dyDescent="0.2">
      <c r="A528" s="24">
        <v>42948</v>
      </c>
      <c r="B528" s="25" t="s">
        <v>138</v>
      </c>
      <c r="C528" s="25" t="s">
        <v>8</v>
      </c>
      <c r="D528" s="51">
        <v>3</v>
      </c>
    </row>
    <row r="529" spans="1:4" x14ac:dyDescent="0.2">
      <c r="A529" s="24">
        <v>42948</v>
      </c>
      <c r="B529" s="25" t="s">
        <v>139</v>
      </c>
      <c r="C529" s="25" t="s">
        <v>8</v>
      </c>
      <c r="D529" s="51">
        <v>5</v>
      </c>
    </row>
    <row r="530" spans="1:4" x14ac:dyDescent="0.2">
      <c r="A530" s="24">
        <v>42948</v>
      </c>
      <c r="B530" s="25" t="s">
        <v>120</v>
      </c>
      <c r="C530" s="25" t="s">
        <v>8</v>
      </c>
      <c r="D530" s="51">
        <v>4423</v>
      </c>
    </row>
    <row r="531" spans="1:4" x14ac:dyDescent="0.2">
      <c r="A531" s="24">
        <v>42948</v>
      </c>
      <c r="B531" s="25" t="s">
        <v>121</v>
      </c>
      <c r="C531" s="25" t="s">
        <v>8</v>
      </c>
      <c r="D531" s="51">
        <v>2045</v>
      </c>
    </row>
    <row r="532" spans="1:4" x14ac:dyDescent="0.2">
      <c r="A532" s="24">
        <v>42948</v>
      </c>
      <c r="B532" s="25" t="s">
        <v>122</v>
      </c>
      <c r="C532" s="25" t="s">
        <v>8</v>
      </c>
      <c r="D532" s="51">
        <v>2206</v>
      </c>
    </row>
    <row r="533" spans="1:4" x14ac:dyDescent="0.2">
      <c r="A533" s="24">
        <v>42948</v>
      </c>
      <c r="B533" s="25" t="s">
        <v>123</v>
      </c>
      <c r="C533" s="25" t="s">
        <v>8</v>
      </c>
      <c r="D533" s="51">
        <v>164130</v>
      </c>
    </row>
    <row r="534" spans="1:4" x14ac:dyDescent="0.2">
      <c r="A534" s="24">
        <v>42948</v>
      </c>
      <c r="B534" s="25" t="s">
        <v>124</v>
      </c>
      <c r="C534" s="25" t="s">
        <v>8</v>
      </c>
      <c r="D534" s="51">
        <v>47631</v>
      </c>
    </row>
    <row r="535" spans="1:4" x14ac:dyDescent="0.2">
      <c r="A535" s="24">
        <v>42948</v>
      </c>
      <c r="B535" s="25" t="s">
        <v>125</v>
      </c>
      <c r="C535" s="25" t="s">
        <v>8</v>
      </c>
      <c r="D535" s="51">
        <v>11008</v>
      </c>
    </row>
    <row r="536" spans="1:4" x14ac:dyDescent="0.2">
      <c r="A536" s="24">
        <v>42948</v>
      </c>
      <c r="B536" s="25" t="s">
        <v>117</v>
      </c>
      <c r="C536" s="25" t="s">
        <v>26</v>
      </c>
      <c r="D536" s="51">
        <v>575024</v>
      </c>
    </row>
    <row r="537" spans="1:4" x14ac:dyDescent="0.2">
      <c r="A537" s="24">
        <v>42948</v>
      </c>
      <c r="B537" s="25" t="s">
        <v>118</v>
      </c>
      <c r="C537" s="25" t="s">
        <v>26</v>
      </c>
      <c r="D537" s="51">
        <v>33221</v>
      </c>
    </row>
    <row r="538" spans="1:4" x14ac:dyDescent="0.2">
      <c r="A538" s="24">
        <v>42948</v>
      </c>
      <c r="B538" s="25" t="s">
        <v>119</v>
      </c>
      <c r="C538" s="25" t="s">
        <v>26</v>
      </c>
      <c r="D538" s="51">
        <v>33944</v>
      </c>
    </row>
    <row r="539" spans="1:4" x14ac:dyDescent="0.2">
      <c r="A539" s="24">
        <v>42948</v>
      </c>
      <c r="B539" s="25" t="s">
        <v>138</v>
      </c>
      <c r="C539" s="25" t="s">
        <v>26</v>
      </c>
      <c r="D539" s="51">
        <v>3</v>
      </c>
    </row>
    <row r="540" spans="1:4" x14ac:dyDescent="0.2">
      <c r="A540" s="24">
        <v>42948</v>
      </c>
      <c r="B540" s="25" t="s">
        <v>139</v>
      </c>
      <c r="C540" s="25" t="s">
        <v>26</v>
      </c>
      <c r="D540" s="51">
        <v>2</v>
      </c>
    </row>
    <row r="541" spans="1:4" x14ac:dyDescent="0.2">
      <c r="A541" s="24">
        <v>42948</v>
      </c>
      <c r="B541" s="25" t="s">
        <v>121</v>
      </c>
      <c r="C541" s="25" t="s">
        <v>26</v>
      </c>
      <c r="D541" s="51">
        <v>840</v>
      </c>
    </row>
    <row r="542" spans="1:4" x14ac:dyDescent="0.2">
      <c r="A542" s="24">
        <v>42948</v>
      </c>
      <c r="B542" s="25" t="s">
        <v>122</v>
      </c>
      <c r="C542" s="25" t="s">
        <v>26</v>
      </c>
      <c r="D542" s="51">
        <v>7008</v>
      </c>
    </row>
    <row r="543" spans="1:4" x14ac:dyDescent="0.2">
      <c r="A543" s="24">
        <v>42948</v>
      </c>
      <c r="B543" s="25" t="s">
        <v>123</v>
      </c>
      <c r="C543" s="25" t="s">
        <v>26</v>
      </c>
      <c r="D543" s="51">
        <v>125345</v>
      </c>
    </row>
    <row r="544" spans="1:4" x14ac:dyDescent="0.2">
      <c r="A544" s="24">
        <v>42948</v>
      </c>
      <c r="B544" s="25" t="s">
        <v>127</v>
      </c>
      <c r="C544" s="25" t="s">
        <v>26</v>
      </c>
      <c r="D544" s="51">
        <v>4398</v>
      </c>
    </row>
    <row r="545" spans="1:4" x14ac:dyDescent="0.2">
      <c r="A545" s="24">
        <v>42948</v>
      </c>
      <c r="B545" s="25" t="s">
        <v>128</v>
      </c>
      <c r="C545" s="25" t="s">
        <v>26</v>
      </c>
      <c r="D545" s="51">
        <v>905</v>
      </c>
    </row>
    <row r="546" spans="1:4" x14ac:dyDescent="0.2">
      <c r="A546" s="24">
        <v>42948</v>
      </c>
      <c r="B546" s="25" t="s">
        <v>117</v>
      </c>
      <c r="C546" s="25" t="s">
        <v>2</v>
      </c>
      <c r="D546" s="51">
        <v>25596844</v>
      </c>
    </row>
    <row r="547" spans="1:4" x14ac:dyDescent="0.2">
      <c r="A547" s="24">
        <v>42948</v>
      </c>
      <c r="B547" s="25" t="s">
        <v>118</v>
      </c>
      <c r="C547" s="25" t="s">
        <v>2</v>
      </c>
      <c r="D547" s="51">
        <v>983919</v>
      </c>
    </row>
    <row r="548" spans="1:4" x14ac:dyDescent="0.2">
      <c r="A548" s="24">
        <v>42948</v>
      </c>
      <c r="B548" s="25" t="s">
        <v>119</v>
      </c>
      <c r="C548" s="25" t="s">
        <v>2</v>
      </c>
      <c r="D548" s="51">
        <v>2822581</v>
      </c>
    </row>
    <row r="549" spans="1:4" x14ac:dyDescent="0.2">
      <c r="A549" s="24">
        <v>42948</v>
      </c>
      <c r="B549" s="25" t="s">
        <v>138</v>
      </c>
      <c r="C549" s="25" t="s">
        <v>2</v>
      </c>
      <c r="D549" s="51">
        <v>9</v>
      </c>
    </row>
    <row r="550" spans="1:4" x14ac:dyDescent="0.2">
      <c r="A550" s="24">
        <v>42948</v>
      </c>
      <c r="B550" s="25" t="s">
        <v>139</v>
      </c>
      <c r="C550" s="25" t="s">
        <v>2</v>
      </c>
      <c r="D550" s="51">
        <v>18</v>
      </c>
    </row>
    <row r="551" spans="1:4" x14ac:dyDescent="0.2">
      <c r="A551" s="24">
        <v>42948</v>
      </c>
      <c r="B551" s="25" t="s">
        <v>120</v>
      </c>
      <c r="C551" s="25" t="s">
        <v>2</v>
      </c>
      <c r="D551" s="51">
        <v>316870</v>
      </c>
    </row>
    <row r="552" spans="1:4" x14ac:dyDescent="0.2">
      <c r="A552" s="24">
        <v>42948</v>
      </c>
      <c r="B552" s="25" t="s">
        <v>121</v>
      </c>
      <c r="C552" s="25" t="s">
        <v>2</v>
      </c>
      <c r="D552" s="51">
        <v>34768</v>
      </c>
    </row>
    <row r="553" spans="1:4" x14ac:dyDescent="0.2">
      <c r="A553" s="24">
        <v>42948</v>
      </c>
      <c r="B553" s="25" t="s">
        <v>122</v>
      </c>
      <c r="C553" s="25" t="s">
        <v>2</v>
      </c>
      <c r="D553" s="51">
        <v>1234164</v>
      </c>
    </row>
    <row r="554" spans="1:4" x14ac:dyDescent="0.2">
      <c r="A554" s="24">
        <v>42948</v>
      </c>
      <c r="B554" s="25" t="s">
        <v>123</v>
      </c>
      <c r="C554" s="25" t="s">
        <v>2</v>
      </c>
      <c r="D554" s="51">
        <v>2902953</v>
      </c>
    </row>
    <row r="555" spans="1:4" x14ac:dyDescent="0.2">
      <c r="A555" s="24">
        <v>42948</v>
      </c>
      <c r="B555" s="25" t="s">
        <v>129</v>
      </c>
      <c r="C555" s="25" t="s">
        <v>2</v>
      </c>
      <c r="D555" s="51">
        <v>329921</v>
      </c>
    </row>
    <row r="556" spans="1:4" x14ac:dyDescent="0.2">
      <c r="A556" s="24">
        <v>42948</v>
      </c>
      <c r="B556" s="25" t="s">
        <v>130</v>
      </c>
      <c r="C556" s="25" t="s">
        <v>2</v>
      </c>
      <c r="D556" s="51">
        <v>63560</v>
      </c>
    </row>
    <row r="557" spans="1:4" x14ac:dyDescent="0.2">
      <c r="A557" s="24">
        <v>42979</v>
      </c>
      <c r="B557" s="25" t="s">
        <v>117</v>
      </c>
      <c r="C557" s="25" t="s">
        <v>4</v>
      </c>
      <c r="D557" s="51">
        <v>13735459</v>
      </c>
    </row>
    <row r="558" spans="1:4" x14ac:dyDescent="0.2">
      <c r="A558" s="24">
        <v>42979</v>
      </c>
      <c r="B558" s="25" t="s">
        <v>131</v>
      </c>
      <c r="C558" s="25" t="s">
        <v>4</v>
      </c>
      <c r="D558" s="51">
        <v>150254</v>
      </c>
    </row>
    <row r="559" spans="1:4" x14ac:dyDescent="0.2">
      <c r="A559" s="24">
        <v>42979</v>
      </c>
      <c r="B559" s="25" t="s">
        <v>132</v>
      </c>
      <c r="C559" s="25" t="s">
        <v>4</v>
      </c>
      <c r="D559" s="51">
        <v>85965</v>
      </c>
    </row>
    <row r="560" spans="1:4" x14ac:dyDescent="0.2">
      <c r="A560" s="24">
        <v>42979</v>
      </c>
      <c r="B560" s="25" t="s">
        <v>133</v>
      </c>
      <c r="C560" s="25" t="s">
        <v>4</v>
      </c>
      <c r="D560" s="51">
        <v>32005</v>
      </c>
    </row>
    <row r="561" spans="1:4" x14ac:dyDescent="0.2">
      <c r="A561" s="24">
        <v>42979</v>
      </c>
      <c r="B561" s="25" t="s">
        <v>118</v>
      </c>
      <c r="C561" s="25" t="s">
        <v>4</v>
      </c>
      <c r="D561" s="51">
        <v>1264103</v>
      </c>
    </row>
    <row r="562" spans="1:4" x14ac:dyDescent="0.2">
      <c r="A562" s="24">
        <v>42979</v>
      </c>
      <c r="B562" s="25" t="s">
        <v>134</v>
      </c>
      <c r="C562" s="25" t="s">
        <v>4</v>
      </c>
      <c r="D562" s="51">
        <v>45357</v>
      </c>
    </row>
    <row r="563" spans="1:4" x14ac:dyDescent="0.2">
      <c r="A563" s="24">
        <v>42979</v>
      </c>
      <c r="B563" s="25" t="s">
        <v>135</v>
      </c>
      <c r="C563" s="25" t="s">
        <v>4</v>
      </c>
      <c r="D563" s="51">
        <v>34037</v>
      </c>
    </row>
    <row r="564" spans="1:4" x14ac:dyDescent="0.2">
      <c r="A564" s="24">
        <v>42979</v>
      </c>
      <c r="B564" s="25" t="s">
        <v>136</v>
      </c>
      <c r="C564" s="25" t="s">
        <v>4</v>
      </c>
      <c r="D564" s="51">
        <v>9811</v>
      </c>
    </row>
    <row r="565" spans="1:4" x14ac:dyDescent="0.2">
      <c r="A565" s="24">
        <v>42979</v>
      </c>
      <c r="B565" s="25" t="s">
        <v>119</v>
      </c>
      <c r="C565" s="25" t="s">
        <v>4</v>
      </c>
      <c r="D565" s="51">
        <v>1774365</v>
      </c>
    </row>
    <row r="566" spans="1:4" x14ac:dyDescent="0.2">
      <c r="A566" s="24">
        <v>42979</v>
      </c>
      <c r="B566" s="25" t="s">
        <v>138</v>
      </c>
      <c r="C566" s="25" t="s">
        <v>4</v>
      </c>
      <c r="D566" s="51">
        <v>31</v>
      </c>
    </row>
    <row r="567" spans="1:4" x14ac:dyDescent="0.2">
      <c r="A567" s="24">
        <v>42979</v>
      </c>
      <c r="B567" s="25" t="s">
        <v>139</v>
      </c>
      <c r="C567" s="25" t="s">
        <v>4</v>
      </c>
      <c r="D567" s="51">
        <v>152</v>
      </c>
    </row>
    <row r="568" spans="1:4" x14ac:dyDescent="0.2">
      <c r="A568" s="24">
        <v>42979</v>
      </c>
      <c r="B568" s="25" t="s">
        <v>120</v>
      </c>
      <c r="C568" s="25" t="s">
        <v>4</v>
      </c>
      <c r="D568" s="51">
        <v>70403</v>
      </c>
    </row>
    <row r="569" spans="1:4" x14ac:dyDescent="0.2">
      <c r="A569" s="24">
        <v>42979</v>
      </c>
      <c r="B569" s="25" t="s">
        <v>121</v>
      </c>
      <c r="C569" s="25" t="s">
        <v>4</v>
      </c>
      <c r="D569" s="51">
        <v>37030</v>
      </c>
    </row>
    <row r="570" spans="1:4" x14ac:dyDescent="0.2">
      <c r="A570" s="24">
        <v>42979</v>
      </c>
      <c r="B570" s="25" t="s">
        <v>122</v>
      </c>
      <c r="C570" s="25" t="s">
        <v>4</v>
      </c>
      <c r="D570" s="51">
        <v>1932171</v>
      </c>
    </row>
    <row r="571" spans="1:4" x14ac:dyDescent="0.2">
      <c r="A571" s="24">
        <v>42979</v>
      </c>
      <c r="B571" s="25" t="s">
        <v>123</v>
      </c>
      <c r="C571" s="25" t="s">
        <v>4</v>
      </c>
      <c r="D571" s="51">
        <v>3987618</v>
      </c>
    </row>
    <row r="572" spans="1:4" x14ac:dyDescent="0.2">
      <c r="A572" s="24">
        <v>42979</v>
      </c>
      <c r="B572" s="25" t="s">
        <v>117</v>
      </c>
      <c r="C572" s="25" t="s">
        <v>8</v>
      </c>
      <c r="D572" s="51">
        <v>810739</v>
      </c>
    </row>
    <row r="573" spans="1:4" x14ac:dyDescent="0.2">
      <c r="A573" s="24">
        <v>42979</v>
      </c>
      <c r="B573" s="25" t="s">
        <v>137</v>
      </c>
      <c r="C573" s="25" t="s">
        <v>8</v>
      </c>
      <c r="D573" s="51">
        <v>2049</v>
      </c>
    </row>
    <row r="574" spans="1:4" x14ac:dyDescent="0.2">
      <c r="A574" s="24">
        <v>42979</v>
      </c>
      <c r="B574" s="25" t="s">
        <v>118</v>
      </c>
      <c r="C574" s="25" t="s">
        <v>8</v>
      </c>
      <c r="D574" s="51">
        <v>113007</v>
      </c>
    </row>
    <row r="575" spans="1:4" x14ac:dyDescent="0.2">
      <c r="A575" s="24">
        <v>42979</v>
      </c>
      <c r="B575" s="25" t="s">
        <v>119</v>
      </c>
      <c r="C575" s="25" t="s">
        <v>8</v>
      </c>
      <c r="D575" s="51">
        <v>27929</v>
      </c>
    </row>
    <row r="576" spans="1:4" x14ac:dyDescent="0.2">
      <c r="A576" s="24">
        <v>42979</v>
      </c>
      <c r="B576" s="25" t="s">
        <v>139</v>
      </c>
      <c r="C576" s="25" t="s">
        <v>8</v>
      </c>
      <c r="D576" s="51">
        <v>1</v>
      </c>
    </row>
    <row r="577" spans="1:4" x14ac:dyDescent="0.2">
      <c r="A577" s="24">
        <v>42979</v>
      </c>
      <c r="B577" s="25" t="s">
        <v>120</v>
      </c>
      <c r="C577" s="25" t="s">
        <v>8</v>
      </c>
      <c r="D577" s="51">
        <v>4735</v>
      </c>
    </row>
    <row r="578" spans="1:4" x14ac:dyDescent="0.2">
      <c r="A578" s="24">
        <v>42979</v>
      </c>
      <c r="B578" s="25" t="s">
        <v>121</v>
      </c>
      <c r="C578" s="25" t="s">
        <v>8</v>
      </c>
      <c r="D578" s="51">
        <v>2164</v>
      </c>
    </row>
    <row r="579" spans="1:4" x14ac:dyDescent="0.2">
      <c r="A579" s="24">
        <v>42979</v>
      </c>
      <c r="B579" s="25" t="s">
        <v>122</v>
      </c>
      <c r="C579" s="25" t="s">
        <v>8</v>
      </c>
      <c r="D579" s="51">
        <v>1626</v>
      </c>
    </row>
    <row r="580" spans="1:4" x14ac:dyDescent="0.2">
      <c r="A580" s="24">
        <v>42979</v>
      </c>
      <c r="B580" s="25" t="s">
        <v>123</v>
      </c>
      <c r="C580" s="25" t="s">
        <v>8</v>
      </c>
      <c r="D580" s="51">
        <v>172131</v>
      </c>
    </row>
    <row r="581" spans="1:4" x14ac:dyDescent="0.2">
      <c r="A581" s="24">
        <v>42979</v>
      </c>
      <c r="B581" s="25" t="s">
        <v>124</v>
      </c>
      <c r="C581" s="25" t="s">
        <v>8</v>
      </c>
      <c r="D581" s="51">
        <v>51151</v>
      </c>
    </row>
    <row r="582" spans="1:4" x14ac:dyDescent="0.2">
      <c r="A582" s="24">
        <v>42979</v>
      </c>
      <c r="B582" s="25" t="s">
        <v>125</v>
      </c>
      <c r="C582" s="25" t="s">
        <v>8</v>
      </c>
      <c r="D582" s="51">
        <v>12129</v>
      </c>
    </row>
    <row r="583" spans="1:4" x14ac:dyDescent="0.2">
      <c r="A583" s="24">
        <v>42979</v>
      </c>
      <c r="B583" s="25" t="s">
        <v>117</v>
      </c>
      <c r="C583" s="25" t="s">
        <v>26</v>
      </c>
      <c r="D583" s="51">
        <v>557826</v>
      </c>
    </row>
    <row r="584" spans="1:4" x14ac:dyDescent="0.2">
      <c r="A584" s="24">
        <v>42979</v>
      </c>
      <c r="B584" s="25" t="s">
        <v>118</v>
      </c>
      <c r="C584" s="25" t="s">
        <v>26</v>
      </c>
      <c r="D584" s="51">
        <v>36029</v>
      </c>
    </row>
    <row r="585" spans="1:4" x14ac:dyDescent="0.2">
      <c r="A585" s="24">
        <v>42979</v>
      </c>
      <c r="B585" s="25" t="s">
        <v>119</v>
      </c>
      <c r="C585" s="25" t="s">
        <v>26</v>
      </c>
      <c r="D585" s="51">
        <v>29661</v>
      </c>
    </row>
    <row r="586" spans="1:4" x14ac:dyDescent="0.2">
      <c r="A586" s="24">
        <v>42979</v>
      </c>
      <c r="B586" s="25" t="s">
        <v>121</v>
      </c>
      <c r="C586" s="25" t="s">
        <v>26</v>
      </c>
      <c r="D586" s="51">
        <v>789</v>
      </c>
    </row>
    <row r="587" spans="1:4" x14ac:dyDescent="0.2">
      <c r="A587" s="24">
        <v>42979</v>
      </c>
      <c r="B587" s="25" t="s">
        <v>122</v>
      </c>
      <c r="C587" s="25" t="s">
        <v>26</v>
      </c>
      <c r="D587" s="51">
        <v>4709</v>
      </c>
    </row>
    <row r="588" spans="1:4" x14ac:dyDescent="0.2">
      <c r="A588" s="24">
        <v>42979</v>
      </c>
      <c r="B588" s="25" t="s">
        <v>123</v>
      </c>
      <c r="C588" s="25" t="s">
        <v>26</v>
      </c>
      <c r="D588" s="51">
        <v>130108</v>
      </c>
    </row>
    <row r="589" spans="1:4" x14ac:dyDescent="0.2">
      <c r="A589" s="24">
        <v>42979</v>
      </c>
      <c r="B589" s="25" t="s">
        <v>127</v>
      </c>
      <c r="C589" s="25" t="s">
        <v>26</v>
      </c>
      <c r="D589" s="51">
        <v>4194</v>
      </c>
    </row>
    <row r="590" spans="1:4" x14ac:dyDescent="0.2">
      <c r="A590" s="24">
        <v>42979</v>
      </c>
      <c r="B590" s="25" t="s">
        <v>128</v>
      </c>
      <c r="C590" s="25" t="s">
        <v>26</v>
      </c>
      <c r="D590" s="51">
        <v>899</v>
      </c>
    </row>
    <row r="591" spans="1:4" x14ac:dyDescent="0.2">
      <c r="A591" s="24">
        <v>42979</v>
      </c>
      <c r="B591" s="25" t="s">
        <v>117</v>
      </c>
      <c r="C591" s="25" t="s">
        <v>2</v>
      </c>
      <c r="D591" s="51">
        <v>24295203</v>
      </c>
    </row>
    <row r="592" spans="1:4" x14ac:dyDescent="0.2">
      <c r="A592" s="24">
        <v>42979</v>
      </c>
      <c r="B592" s="25" t="s">
        <v>118</v>
      </c>
      <c r="C592" s="25" t="s">
        <v>2</v>
      </c>
      <c r="D592" s="51">
        <v>1219264</v>
      </c>
    </row>
    <row r="593" spans="1:4" x14ac:dyDescent="0.2">
      <c r="A593" s="24">
        <v>42979</v>
      </c>
      <c r="B593" s="25" t="s">
        <v>119</v>
      </c>
      <c r="C593" s="25" t="s">
        <v>2</v>
      </c>
      <c r="D593" s="51">
        <v>2208678</v>
      </c>
    </row>
    <row r="594" spans="1:4" x14ac:dyDescent="0.2">
      <c r="A594" s="24">
        <v>42979</v>
      </c>
      <c r="B594" s="25" t="s">
        <v>138</v>
      </c>
      <c r="C594" s="25" t="s">
        <v>2</v>
      </c>
      <c r="D594" s="51">
        <v>28</v>
      </c>
    </row>
    <row r="595" spans="1:4" x14ac:dyDescent="0.2">
      <c r="A595" s="24">
        <v>42979</v>
      </c>
      <c r="B595" s="25" t="s">
        <v>139</v>
      </c>
      <c r="C595" s="25" t="s">
        <v>2</v>
      </c>
      <c r="D595" s="51">
        <v>174</v>
      </c>
    </row>
    <row r="596" spans="1:4" x14ac:dyDescent="0.2">
      <c r="A596" s="24">
        <v>42979</v>
      </c>
      <c r="B596" s="25" t="s">
        <v>120</v>
      </c>
      <c r="C596" s="25" t="s">
        <v>2</v>
      </c>
      <c r="D596" s="51">
        <v>284062</v>
      </c>
    </row>
    <row r="597" spans="1:4" x14ac:dyDescent="0.2">
      <c r="A597" s="24">
        <v>42979</v>
      </c>
      <c r="B597" s="25" t="s">
        <v>121</v>
      </c>
      <c r="C597" s="25" t="s">
        <v>2</v>
      </c>
      <c r="D597" s="51">
        <v>30029</v>
      </c>
    </row>
    <row r="598" spans="1:4" x14ac:dyDescent="0.2">
      <c r="A598" s="24">
        <v>42979</v>
      </c>
      <c r="B598" s="25" t="s">
        <v>122</v>
      </c>
      <c r="C598" s="25" t="s">
        <v>2</v>
      </c>
      <c r="D598" s="51">
        <v>819372</v>
      </c>
    </row>
    <row r="599" spans="1:4" x14ac:dyDescent="0.2">
      <c r="A599" s="24">
        <v>42979</v>
      </c>
      <c r="B599" s="25" t="s">
        <v>123</v>
      </c>
      <c r="C599" s="25" t="s">
        <v>2</v>
      </c>
      <c r="D599" s="51">
        <v>2805731</v>
      </c>
    </row>
    <row r="600" spans="1:4" x14ac:dyDescent="0.2">
      <c r="A600" s="24">
        <v>42979</v>
      </c>
      <c r="B600" s="25" t="s">
        <v>129</v>
      </c>
      <c r="C600" s="25" t="s">
        <v>2</v>
      </c>
      <c r="D600" s="51">
        <v>330192</v>
      </c>
    </row>
    <row r="601" spans="1:4" x14ac:dyDescent="0.2">
      <c r="A601" s="24">
        <v>42979</v>
      </c>
      <c r="B601" s="25" t="s">
        <v>130</v>
      </c>
      <c r="C601" s="25" t="s">
        <v>2</v>
      </c>
      <c r="D601" s="51">
        <v>74585</v>
      </c>
    </row>
    <row r="602" spans="1:4" x14ac:dyDescent="0.2">
      <c r="A602" s="24">
        <v>43009</v>
      </c>
      <c r="B602" s="25" t="s">
        <v>117</v>
      </c>
      <c r="C602" s="25" t="s">
        <v>4</v>
      </c>
      <c r="D602" s="51">
        <v>14493838</v>
      </c>
    </row>
    <row r="603" spans="1:4" x14ac:dyDescent="0.2">
      <c r="A603" s="24">
        <v>43009</v>
      </c>
      <c r="B603" s="25" t="s">
        <v>131</v>
      </c>
      <c r="C603" s="25" t="s">
        <v>4</v>
      </c>
      <c r="D603" s="51">
        <v>154191</v>
      </c>
    </row>
    <row r="604" spans="1:4" x14ac:dyDescent="0.2">
      <c r="A604" s="24">
        <v>43009</v>
      </c>
      <c r="B604" s="25" t="s">
        <v>132</v>
      </c>
      <c r="C604" s="25" t="s">
        <v>4</v>
      </c>
      <c r="D604" s="51">
        <v>88281</v>
      </c>
    </row>
    <row r="605" spans="1:4" x14ac:dyDescent="0.2">
      <c r="A605" s="24">
        <v>43009</v>
      </c>
      <c r="B605" s="25" t="s">
        <v>133</v>
      </c>
      <c r="C605" s="25" t="s">
        <v>4</v>
      </c>
      <c r="D605" s="51">
        <v>32576</v>
      </c>
    </row>
    <row r="606" spans="1:4" x14ac:dyDescent="0.2">
      <c r="A606" s="24">
        <v>43009</v>
      </c>
      <c r="B606" s="25" t="s">
        <v>118</v>
      </c>
      <c r="C606" s="25" t="s">
        <v>4</v>
      </c>
      <c r="D606" s="51">
        <v>1262367</v>
      </c>
    </row>
    <row r="607" spans="1:4" x14ac:dyDescent="0.2">
      <c r="A607" s="24">
        <v>43009</v>
      </c>
      <c r="B607" s="25" t="s">
        <v>134</v>
      </c>
      <c r="C607" s="25" t="s">
        <v>4</v>
      </c>
      <c r="D607" s="51">
        <v>42773</v>
      </c>
    </row>
    <row r="608" spans="1:4" x14ac:dyDescent="0.2">
      <c r="A608" s="24">
        <v>43009</v>
      </c>
      <c r="B608" s="25" t="s">
        <v>135</v>
      </c>
      <c r="C608" s="25" t="s">
        <v>4</v>
      </c>
      <c r="D608" s="51">
        <v>31260</v>
      </c>
    </row>
    <row r="609" spans="1:4" x14ac:dyDescent="0.2">
      <c r="A609" s="24">
        <v>43009</v>
      </c>
      <c r="B609" s="25" t="s">
        <v>136</v>
      </c>
      <c r="C609" s="25" t="s">
        <v>4</v>
      </c>
      <c r="D609" s="51">
        <v>8908</v>
      </c>
    </row>
    <row r="610" spans="1:4" x14ac:dyDescent="0.2">
      <c r="A610" s="24">
        <v>43009</v>
      </c>
      <c r="B610" s="25" t="s">
        <v>119</v>
      </c>
      <c r="C610" s="25" t="s">
        <v>4</v>
      </c>
      <c r="D610" s="51">
        <v>1841943</v>
      </c>
    </row>
    <row r="611" spans="1:4" x14ac:dyDescent="0.2">
      <c r="A611" s="24">
        <v>43009</v>
      </c>
      <c r="B611" s="25" t="s">
        <v>138</v>
      </c>
      <c r="C611" s="25" t="s">
        <v>4</v>
      </c>
      <c r="D611" s="51">
        <v>20</v>
      </c>
    </row>
    <row r="612" spans="1:4" x14ac:dyDescent="0.2">
      <c r="A612" s="24">
        <v>43009</v>
      </c>
      <c r="B612" s="25" t="s">
        <v>139</v>
      </c>
      <c r="C612" s="25" t="s">
        <v>4</v>
      </c>
      <c r="D612" s="51">
        <v>76</v>
      </c>
    </row>
    <row r="613" spans="1:4" x14ac:dyDescent="0.2">
      <c r="A613" s="24">
        <v>43009</v>
      </c>
      <c r="B613" s="25" t="s">
        <v>120</v>
      </c>
      <c r="C613" s="25" t="s">
        <v>4</v>
      </c>
      <c r="D613" s="51">
        <v>71545</v>
      </c>
    </row>
    <row r="614" spans="1:4" x14ac:dyDescent="0.2">
      <c r="A614" s="24">
        <v>43009</v>
      </c>
      <c r="B614" s="25" t="s">
        <v>121</v>
      </c>
      <c r="C614" s="25" t="s">
        <v>4</v>
      </c>
      <c r="D614" s="51">
        <v>39006</v>
      </c>
    </row>
    <row r="615" spans="1:4" x14ac:dyDescent="0.2">
      <c r="A615" s="24">
        <v>43009</v>
      </c>
      <c r="B615" s="25" t="s">
        <v>122</v>
      </c>
      <c r="C615" s="25" t="s">
        <v>4</v>
      </c>
      <c r="D615" s="51">
        <v>2060482</v>
      </c>
    </row>
    <row r="616" spans="1:4" x14ac:dyDescent="0.2">
      <c r="A616" s="24">
        <v>43009</v>
      </c>
      <c r="B616" s="25" t="s">
        <v>123</v>
      </c>
      <c r="C616" s="25" t="s">
        <v>4</v>
      </c>
      <c r="D616" s="51">
        <v>4107245</v>
      </c>
    </row>
    <row r="617" spans="1:4" x14ac:dyDescent="0.2">
      <c r="A617" s="24">
        <v>43009</v>
      </c>
      <c r="B617" s="25" t="s">
        <v>117</v>
      </c>
      <c r="C617" s="25" t="s">
        <v>8</v>
      </c>
      <c r="D617" s="51">
        <v>897449</v>
      </c>
    </row>
    <row r="618" spans="1:4" x14ac:dyDescent="0.2">
      <c r="A618" s="24">
        <v>43009</v>
      </c>
      <c r="B618" s="25" t="s">
        <v>137</v>
      </c>
      <c r="C618" s="25" t="s">
        <v>8</v>
      </c>
      <c r="D618" s="51">
        <v>2459</v>
      </c>
    </row>
    <row r="619" spans="1:4" x14ac:dyDescent="0.2">
      <c r="A619" s="24">
        <v>43009</v>
      </c>
      <c r="B619" s="25" t="s">
        <v>118</v>
      </c>
      <c r="C619" s="25" t="s">
        <v>8</v>
      </c>
      <c r="D619" s="51">
        <v>115643</v>
      </c>
    </row>
    <row r="620" spans="1:4" x14ac:dyDescent="0.2">
      <c r="A620" s="24">
        <v>43009</v>
      </c>
      <c r="B620" s="25" t="s">
        <v>119</v>
      </c>
      <c r="C620" s="25" t="s">
        <v>8</v>
      </c>
      <c r="D620" s="51">
        <v>25454</v>
      </c>
    </row>
    <row r="621" spans="1:4" x14ac:dyDescent="0.2">
      <c r="A621" s="24">
        <v>43009</v>
      </c>
      <c r="B621" s="25" t="s">
        <v>139</v>
      </c>
      <c r="C621" s="25" t="s">
        <v>8</v>
      </c>
      <c r="D621" s="51">
        <v>1</v>
      </c>
    </row>
    <row r="622" spans="1:4" x14ac:dyDescent="0.2">
      <c r="A622" s="24">
        <v>43009</v>
      </c>
      <c r="B622" s="25" t="s">
        <v>120</v>
      </c>
      <c r="C622" s="25" t="s">
        <v>8</v>
      </c>
      <c r="D622" s="51">
        <v>5098</v>
      </c>
    </row>
    <row r="623" spans="1:4" x14ac:dyDescent="0.2">
      <c r="A623" s="24">
        <v>43009</v>
      </c>
      <c r="B623" s="25" t="s">
        <v>121</v>
      </c>
      <c r="C623" s="25" t="s">
        <v>8</v>
      </c>
      <c r="D623" s="51">
        <v>2145</v>
      </c>
    </row>
    <row r="624" spans="1:4" x14ac:dyDescent="0.2">
      <c r="A624" s="24">
        <v>43009</v>
      </c>
      <c r="B624" s="25" t="s">
        <v>122</v>
      </c>
      <c r="C624" s="25" t="s">
        <v>8</v>
      </c>
      <c r="D624" s="51">
        <v>1718</v>
      </c>
    </row>
    <row r="625" spans="1:4" x14ac:dyDescent="0.2">
      <c r="A625" s="24">
        <v>43009</v>
      </c>
      <c r="B625" s="25" t="s">
        <v>123</v>
      </c>
      <c r="C625" s="25" t="s">
        <v>8</v>
      </c>
      <c r="D625" s="51">
        <v>183390</v>
      </c>
    </row>
    <row r="626" spans="1:4" x14ac:dyDescent="0.2">
      <c r="A626" s="24">
        <v>43009</v>
      </c>
      <c r="B626" s="25" t="s">
        <v>124</v>
      </c>
      <c r="C626" s="25" t="s">
        <v>8</v>
      </c>
      <c r="D626" s="51">
        <v>58384</v>
      </c>
    </row>
    <row r="627" spans="1:4" x14ac:dyDescent="0.2">
      <c r="A627" s="24">
        <v>43009</v>
      </c>
      <c r="B627" s="25" t="s">
        <v>125</v>
      </c>
      <c r="C627" s="25" t="s">
        <v>8</v>
      </c>
      <c r="D627" s="51">
        <v>11756</v>
      </c>
    </row>
    <row r="628" spans="1:4" x14ac:dyDescent="0.2">
      <c r="A628" s="24">
        <v>43009</v>
      </c>
      <c r="B628" s="25" t="s">
        <v>117</v>
      </c>
      <c r="C628" s="25" t="s">
        <v>26</v>
      </c>
      <c r="D628" s="51">
        <v>628033</v>
      </c>
    </row>
    <row r="629" spans="1:4" x14ac:dyDescent="0.2">
      <c r="A629" s="24">
        <v>43009</v>
      </c>
      <c r="B629" s="25" t="s">
        <v>118</v>
      </c>
      <c r="C629" s="25" t="s">
        <v>26</v>
      </c>
      <c r="D629" s="51">
        <v>38062</v>
      </c>
    </row>
    <row r="630" spans="1:4" x14ac:dyDescent="0.2">
      <c r="A630" s="24">
        <v>43009</v>
      </c>
      <c r="B630" s="25" t="s">
        <v>119</v>
      </c>
      <c r="C630" s="25" t="s">
        <v>26</v>
      </c>
      <c r="D630" s="51">
        <v>30368</v>
      </c>
    </row>
    <row r="631" spans="1:4" x14ac:dyDescent="0.2">
      <c r="A631" s="24">
        <v>43009</v>
      </c>
      <c r="B631" s="25" t="s">
        <v>121</v>
      </c>
      <c r="C631" s="25" t="s">
        <v>26</v>
      </c>
      <c r="D631" s="51">
        <v>946</v>
      </c>
    </row>
    <row r="632" spans="1:4" x14ac:dyDescent="0.2">
      <c r="A632" s="24">
        <v>43009</v>
      </c>
      <c r="B632" s="25" t="s">
        <v>122</v>
      </c>
      <c r="C632" s="25" t="s">
        <v>26</v>
      </c>
      <c r="D632" s="51">
        <v>4544</v>
      </c>
    </row>
    <row r="633" spans="1:4" x14ac:dyDescent="0.2">
      <c r="A633" s="24">
        <v>43009</v>
      </c>
      <c r="B633" s="25" t="s">
        <v>123</v>
      </c>
      <c r="C633" s="25" t="s">
        <v>26</v>
      </c>
      <c r="D633" s="51">
        <v>144853</v>
      </c>
    </row>
    <row r="634" spans="1:4" x14ac:dyDescent="0.2">
      <c r="A634" s="24">
        <v>43009</v>
      </c>
      <c r="B634" s="25" t="s">
        <v>127</v>
      </c>
      <c r="C634" s="25" t="s">
        <v>26</v>
      </c>
      <c r="D634" s="51">
        <v>4756</v>
      </c>
    </row>
    <row r="635" spans="1:4" x14ac:dyDescent="0.2">
      <c r="A635" s="24">
        <v>43009</v>
      </c>
      <c r="B635" s="25" t="s">
        <v>128</v>
      </c>
      <c r="C635" s="25" t="s">
        <v>26</v>
      </c>
      <c r="D635" s="51">
        <v>899</v>
      </c>
    </row>
    <row r="636" spans="1:4" x14ac:dyDescent="0.2">
      <c r="A636" s="24">
        <v>43009</v>
      </c>
      <c r="B636" s="25" t="s">
        <v>117</v>
      </c>
      <c r="C636" s="25" t="s">
        <v>2</v>
      </c>
      <c r="D636" s="51">
        <v>25069317</v>
      </c>
    </row>
    <row r="637" spans="1:4" x14ac:dyDescent="0.2">
      <c r="A637" s="24">
        <v>43009</v>
      </c>
      <c r="B637" s="25" t="s">
        <v>118</v>
      </c>
      <c r="C637" s="25" t="s">
        <v>2</v>
      </c>
      <c r="D637" s="51">
        <v>1167816</v>
      </c>
    </row>
    <row r="638" spans="1:4" x14ac:dyDescent="0.2">
      <c r="A638" s="24">
        <v>43009</v>
      </c>
      <c r="B638" s="25" t="s">
        <v>119</v>
      </c>
      <c r="C638" s="25" t="s">
        <v>2</v>
      </c>
      <c r="D638" s="51">
        <v>2229618</v>
      </c>
    </row>
    <row r="639" spans="1:4" x14ac:dyDescent="0.2">
      <c r="A639" s="24">
        <v>43009</v>
      </c>
      <c r="B639" s="25" t="s">
        <v>138</v>
      </c>
      <c r="C639" s="25" t="s">
        <v>2</v>
      </c>
      <c r="D639" s="51">
        <v>7</v>
      </c>
    </row>
    <row r="640" spans="1:4" x14ac:dyDescent="0.2">
      <c r="A640" s="24">
        <v>43009</v>
      </c>
      <c r="B640" s="25" t="s">
        <v>139</v>
      </c>
      <c r="C640" s="25" t="s">
        <v>2</v>
      </c>
      <c r="D640" s="51">
        <v>73</v>
      </c>
    </row>
    <row r="641" spans="1:4" x14ac:dyDescent="0.2">
      <c r="A641" s="24">
        <v>43009</v>
      </c>
      <c r="B641" s="25" t="s">
        <v>120</v>
      </c>
      <c r="C641" s="25" t="s">
        <v>2</v>
      </c>
      <c r="D641" s="51">
        <v>285686</v>
      </c>
    </row>
    <row r="642" spans="1:4" x14ac:dyDescent="0.2">
      <c r="A642" s="24">
        <v>43009</v>
      </c>
      <c r="B642" s="25" t="s">
        <v>121</v>
      </c>
      <c r="C642" s="25" t="s">
        <v>2</v>
      </c>
      <c r="D642" s="51">
        <v>30517</v>
      </c>
    </row>
    <row r="643" spans="1:4" x14ac:dyDescent="0.2">
      <c r="A643" s="24">
        <v>43009</v>
      </c>
      <c r="B643" s="25" t="s">
        <v>122</v>
      </c>
      <c r="C643" s="25" t="s">
        <v>2</v>
      </c>
      <c r="D643" s="51">
        <v>824499</v>
      </c>
    </row>
    <row r="644" spans="1:4" x14ac:dyDescent="0.2">
      <c r="A644" s="24">
        <v>43009</v>
      </c>
      <c r="B644" s="25" t="s">
        <v>123</v>
      </c>
      <c r="C644" s="25" t="s">
        <v>2</v>
      </c>
      <c r="D644" s="51">
        <v>2880156</v>
      </c>
    </row>
    <row r="645" spans="1:4" x14ac:dyDescent="0.2">
      <c r="A645" s="24">
        <v>43009</v>
      </c>
      <c r="B645" s="25" t="s">
        <v>129</v>
      </c>
      <c r="C645" s="25" t="s">
        <v>2</v>
      </c>
      <c r="D645" s="51">
        <v>351369</v>
      </c>
    </row>
    <row r="646" spans="1:4" x14ac:dyDescent="0.2">
      <c r="A646" s="24">
        <v>43009</v>
      </c>
      <c r="B646" s="25" t="s">
        <v>130</v>
      </c>
      <c r="C646" s="25" t="s">
        <v>2</v>
      </c>
      <c r="D646" s="51">
        <v>71176</v>
      </c>
    </row>
    <row r="647" spans="1:4" x14ac:dyDescent="0.2">
      <c r="A647" s="24">
        <v>43040</v>
      </c>
      <c r="B647" s="25" t="s">
        <v>117</v>
      </c>
      <c r="C647" s="25" t="s">
        <v>4</v>
      </c>
      <c r="D647" s="51">
        <v>14927209</v>
      </c>
    </row>
    <row r="648" spans="1:4" x14ac:dyDescent="0.2">
      <c r="A648" s="24">
        <v>43040</v>
      </c>
      <c r="B648" s="25" t="s">
        <v>131</v>
      </c>
      <c r="C648" s="25" t="s">
        <v>4</v>
      </c>
      <c r="D648" s="51">
        <v>152433</v>
      </c>
    </row>
    <row r="649" spans="1:4" x14ac:dyDescent="0.2">
      <c r="A649" s="24">
        <v>43040</v>
      </c>
      <c r="B649" s="25" t="s">
        <v>132</v>
      </c>
      <c r="C649" s="25" t="s">
        <v>4</v>
      </c>
      <c r="D649" s="51">
        <v>86713</v>
      </c>
    </row>
    <row r="650" spans="1:4" x14ac:dyDescent="0.2">
      <c r="A650" s="24">
        <v>43040</v>
      </c>
      <c r="B650" s="25" t="s">
        <v>133</v>
      </c>
      <c r="C650" s="25" t="s">
        <v>4</v>
      </c>
      <c r="D650" s="51">
        <v>31905</v>
      </c>
    </row>
    <row r="651" spans="1:4" x14ac:dyDescent="0.2">
      <c r="A651" s="24">
        <v>43040</v>
      </c>
      <c r="B651" s="25" t="s">
        <v>118</v>
      </c>
      <c r="C651" s="25" t="s">
        <v>4</v>
      </c>
      <c r="D651" s="51">
        <v>1175200</v>
      </c>
    </row>
    <row r="652" spans="1:4" x14ac:dyDescent="0.2">
      <c r="A652" s="24">
        <v>43040</v>
      </c>
      <c r="B652" s="25" t="s">
        <v>134</v>
      </c>
      <c r="C652" s="25" t="s">
        <v>4</v>
      </c>
      <c r="D652" s="51">
        <v>36062</v>
      </c>
    </row>
    <row r="653" spans="1:4" x14ac:dyDescent="0.2">
      <c r="A653" s="24">
        <v>43040</v>
      </c>
      <c r="B653" s="25" t="s">
        <v>135</v>
      </c>
      <c r="C653" s="25" t="s">
        <v>4</v>
      </c>
      <c r="D653" s="51">
        <v>23996</v>
      </c>
    </row>
    <row r="654" spans="1:4" x14ac:dyDescent="0.2">
      <c r="A654" s="24">
        <v>43040</v>
      </c>
      <c r="B654" s="25" t="s">
        <v>136</v>
      </c>
      <c r="C654" s="25" t="s">
        <v>4</v>
      </c>
      <c r="D654" s="51">
        <v>6816</v>
      </c>
    </row>
    <row r="655" spans="1:4" x14ac:dyDescent="0.2">
      <c r="A655" s="24">
        <v>43040</v>
      </c>
      <c r="B655" s="25" t="s">
        <v>119</v>
      </c>
      <c r="C655" s="25" t="s">
        <v>4</v>
      </c>
      <c r="D655" s="51">
        <v>1473370</v>
      </c>
    </row>
    <row r="656" spans="1:4" x14ac:dyDescent="0.2">
      <c r="A656" s="24">
        <v>43040</v>
      </c>
      <c r="B656" s="25" t="s">
        <v>139</v>
      </c>
      <c r="C656" s="25" t="s">
        <v>4</v>
      </c>
      <c r="D656" s="51">
        <v>1</v>
      </c>
    </row>
    <row r="657" spans="1:4" x14ac:dyDescent="0.2">
      <c r="A657" s="24">
        <v>43040</v>
      </c>
      <c r="B657" s="25" t="s">
        <v>120</v>
      </c>
      <c r="C657" s="25" t="s">
        <v>4</v>
      </c>
      <c r="D657" s="51">
        <v>74772</v>
      </c>
    </row>
    <row r="658" spans="1:4" x14ac:dyDescent="0.2">
      <c r="A658" s="24">
        <v>43040</v>
      </c>
      <c r="B658" s="25" t="s">
        <v>121</v>
      </c>
      <c r="C658" s="25" t="s">
        <v>4</v>
      </c>
      <c r="D658" s="51">
        <v>39917</v>
      </c>
    </row>
    <row r="659" spans="1:4" x14ac:dyDescent="0.2">
      <c r="A659" s="24">
        <v>43040</v>
      </c>
      <c r="B659" s="25" t="s">
        <v>122</v>
      </c>
      <c r="C659" s="25" t="s">
        <v>4</v>
      </c>
      <c r="D659" s="51">
        <v>2589339</v>
      </c>
    </row>
    <row r="660" spans="1:4" x14ac:dyDescent="0.2">
      <c r="A660" s="24">
        <v>43040</v>
      </c>
      <c r="B660" s="25" t="s">
        <v>123</v>
      </c>
      <c r="C660" s="25" t="s">
        <v>4</v>
      </c>
      <c r="D660" s="51">
        <v>4269152</v>
      </c>
    </row>
    <row r="661" spans="1:4" x14ac:dyDescent="0.2">
      <c r="A661" s="24">
        <v>43040</v>
      </c>
      <c r="B661" s="25" t="s">
        <v>117</v>
      </c>
      <c r="C661" s="25" t="s">
        <v>8</v>
      </c>
      <c r="D661" s="51">
        <v>901775</v>
      </c>
    </row>
    <row r="662" spans="1:4" x14ac:dyDescent="0.2">
      <c r="A662" s="24">
        <v>43040</v>
      </c>
      <c r="B662" s="25" t="s">
        <v>137</v>
      </c>
      <c r="C662" s="25" t="s">
        <v>8</v>
      </c>
      <c r="D662" s="51">
        <v>2019</v>
      </c>
    </row>
    <row r="663" spans="1:4" x14ac:dyDescent="0.2">
      <c r="A663" s="24">
        <v>43040</v>
      </c>
      <c r="B663" s="25" t="s">
        <v>118</v>
      </c>
      <c r="C663" s="25" t="s">
        <v>8</v>
      </c>
      <c r="D663" s="51">
        <v>75010</v>
      </c>
    </row>
    <row r="664" spans="1:4" x14ac:dyDescent="0.2">
      <c r="A664" s="24">
        <v>43040</v>
      </c>
      <c r="B664" s="25" t="s">
        <v>119</v>
      </c>
      <c r="C664" s="25" t="s">
        <v>8</v>
      </c>
      <c r="D664" s="51">
        <v>24358</v>
      </c>
    </row>
    <row r="665" spans="1:4" x14ac:dyDescent="0.2">
      <c r="A665" s="24">
        <v>43040</v>
      </c>
      <c r="B665" s="25" t="s">
        <v>120</v>
      </c>
      <c r="C665" s="25" t="s">
        <v>8</v>
      </c>
      <c r="D665" s="51">
        <v>5435</v>
      </c>
    </row>
    <row r="666" spans="1:4" x14ac:dyDescent="0.2">
      <c r="A666" s="24">
        <v>43040</v>
      </c>
      <c r="B666" s="25" t="s">
        <v>121</v>
      </c>
      <c r="C666" s="25" t="s">
        <v>8</v>
      </c>
      <c r="D666" s="51">
        <v>2330</v>
      </c>
    </row>
    <row r="667" spans="1:4" x14ac:dyDescent="0.2">
      <c r="A667" s="24">
        <v>43040</v>
      </c>
      <c r="B667" s="25" t="s">
        <v>122</v>
      </c>
      <c r="C667" s="25" t="s">
        <v>8</v>
      </c>
      <c r="D667" s="51">
        <v>2444</v>
      </c>
    </row>
    <row r="668" spans="1:4" x14ac:dyDescent="0.2">
      <c r="A668" s="24">
        <v>43040</v>
      </c>
      <c r="B668" s="25" t="s">
        <v>123</v>
      </c>
      <c r="C668" s="25" t="s">
        <v>8</v>
      </c>
      <c r="D668" s="51">
        <v>183905</v>
      </c>
    </row>
    <row r="669" spans="1:4" x14ac:dyDescent="0.2">
      <c r="A669" s="24">
        <v>43040</v>
      </c>
      <c r="B669" s="25" t="s">
        <v>124</v>
      </c>
      <c r="C669" s="25" t="s">
        <v>8</v>
      </c>
      <c r="D669" s="51">
        <v>63149</v>
      </c>
    </row>
    <row r="670" spans="1:4" x14ac:dyDescent="0.2">
      <c r="A670" s="24">
        <v>43040</v>
      </c>
      <c r="B670" s="25" t="s">
        <v>125</v>
      </c>
      <c r="C670" s="25" t="s">
        <v>8</v>
      </c>
      <c r="D670" s="51">
        <v>7171</v>
      </c>
    </row>
    <row r="671" spans="1:4" x14ac:dyDescent="0.2">
      <c r="A671" s="24">
        <v>43040</v>
      </c>
      <c r="B671" s="25" t="s">
        <v>117</v>
      </c>
      <c r="C671" s="25" t="s">
        <v>26</v>
      </c>
      <c r="D671" s="51">
        <v>649009</v>
      </c>
    </row>
    <row r="672" spans="1:4" x14ac:dyDescent="0.2">
      <c r="A672" s="24">
        <v>43040</v>
      </c>
      <c r="B672" s="25" t="s">
        <v>118</v>
      </c>
      <c r="C672" s="25" t="s">
        <v>26</v>
      </c>
      <c r="D672" s="51">
        <v>35504</v>
      </c>
    </row>
    <row r="673" spans="1:4" x14ac:dyDescent="0.2">
      <c r="A673" s="24">
        <v>43040</v>
      </c>
      <c r="B673" s="25" t="s">
        <v>119</v>
      </c>
      <c r="C673" s="25" t="s">
        <v>26</v>
      </c>
      <c r="D673" s="51">
        <v>31344</v>
      </c>
    </row>
    <row r="674" spans="1:4" x14ac:dyDescent="0.2">
      <c r="A674" s="24">
        <v>43040</v>
      </c>
      <c r="B674" s="25" t="s">
        <v>120</v>
      </c>
      <c r="C674" s="25" t="s">
        <v>26</v>
      </c>
      <c r="D674" s="51">
        <v>2</v>
      </c>
    </row>
    <row r="675" spans="1:4" x14ac:dyDescent="0.2">
      <c r="A675" s="24">
        <v>43040</v>
      </c>
      <c r="B675" s="25" t="s">
        <v>121</v>
      </c>
      <c r="C675" s="25" t="s">
        <v>26</v>
      </c>
      <c r="D675" s="51">
        <v>937</v>
      </c>
    </row>
    <row r="676" spans="1:4" x14ac:dyDescent="0.2">
      <c r="A676" s="24">
        <v>43040</v>
      </c>
      <c r="B676" s="25" t="s">
        <v>122</v>
      </c>
      <c r="C676" s="25" t="s">
        <v>26</v>
      </c>
      <c r="D676" s="51">
        <v>5671</v>
      </c>
    </row>
    <row r="677" spans="1:4" x14ac:dyDescent="0.2">
      <c r="A677" s="24">
        <v>43040</v>
      </c>
      <c r="B677" s="25" t="s">
        <v>123</v>
      </c>
      <c r="C677" s="25" t="s">
        <v>26</v>
      </c>
      <c r="D677" s="51">
        <v>146513</v>
      </c>
    </row>
    <row r="678" spans="1:4" x14ac:dyDescent="0.2">
      <c r="A678" s="24">
        <v>43040</v>
      </c>
      <c r="B678" s="25" t="s">
        <v>127</v>
      </c>
      <c r="C678" s="25" t="s">
        <v>26</v>
      </c>
      <c r="D678" s="51">
        <v>5215</v>
      </c>
    </row>
    <row r="679" spans="1:4" x14ac:dyDescent="0.2">
      <c r="A679" s="24">
        <v>43040</v>
      </c>
      <c r="B679" s="25" t="s">
        <v>128</v>
      </c>
      <c r="C679" s="25" t="s">
        <v>26</v>
      </c>
      <c r="D679" s="51">
        <v>791</v>
      </c>
    </row>
    <row r="680" spans="1:4" x14ac:dyDescent="0.2">
      <c r="A680" s="24">
        <v>43040</v>
      </c>
      <c r="B680" s="25" t="s">
        <v>117</v>
      </c>
      <c r="C680" s="25" t="s">
        <v>2</v>
      </c>
      <c r="D680" s="51">
        <v>25763265</v>
      </c>
    </row>
    <row r="681" spans="1:4" x14ac:dyDescent="0.2">
      <c r="A681" s="24">
        <v>43040</v>
      </c>
      <c r="B681" s="25" t="s">
        <v>118</v>
      </c>
      <c r="C681" s="25" t="s">
        <v>2</v>
      </c>
      <c r="D681" s="51">
        <v>1062144</v>
      </c>
    </row>
    <row r="682" spans="1:4" x14ac:dyDescent="0.2">
      <c r="A682" s="24">
        <v>43040</v>
      </c>
      <c r="B682" s="25" t="s">
        <v>119</v>
      </c>
      <c r="C682" s="25" t="s">
        <v>2</v>
      </c>
      <c r="D682" s="51">
        <v>1827754</v>
      </c>
    </row>
    <row r="683" spans="1:4" x14ac:dyDescent="0.2">
      <c r="A683" s="24">
        <v>43040</v>
      </c>
      <c r="B683" s="25" t="s">
        <v>139</v>
      </c>
      <c r="C683" s="25" t="s">
        <v>2</v>
      </c>
      <c r="D683" s="51">
        <v>2</v>
      </c>
    </row>
    <row r="684" spans="1:4" x14ac:dyDescent="0.2">
      <c r="A684" s="24">
        <v>43040</v>
      </c>
      <c r="B684" s="25" t="s">
        <v>120</v>
      </c>
      <c r="C684" s="25" t="s">
        <v>2</v>
      </c>
      <c r="D684" s="51">
        <v>300528</v>
      </c>
    </row>
    <row r="685" spans="1:4" x14ac:dyDescent="0.2">
      <c r="A685" s="24">
        <v>43040</v>
      </c>
      <c r="B685" s="25" t="s">
        <v>121</v>
      </c>
      <c r="C685" s="25" t="s">
        <v>2</v>
      </c>
      <c r="D685" s="51">
        <v>32193</v>
      </c>
    </row>
    <row r="686" spans="1:4" x14ac:dyDescent="0.2">
      <c r="A686" s="24">
        <v>43040</v>
      </c>
      <c r="B686" s="25" t="s">
        <v>122</v>
      </c>
      <c r="C686" s="25" t="s">
        <v>2</v>
      </c>
      <c r="D686" s="51">
        <v>1065221</v>
      </c>
    </row>
    <row r="687" spans="1:4" x14ac:dyDescent="0.2">
      <c r="A687" s="24">
        <v>43040</v>
      </c>
      <c r="B687" s="25" t="s">
        <v>123</v>
      </c>
      <c r="C687" s="25" t="s">
        <v>2</v>
      </c>
      <c r="D687" s="51">
        <v>2979774</v>
      </c>
    </row>
    <row r="688" spans="1:4" x14ac:dyDescent="0.2">
      <c r="A688" s="24">
        <v>43040</v>
      </c>
      <c r="B688" s="25" t="s">
        <v>129</v>
      </c>
      <c r="C688" s="25" t="s">
        <v>2</v>
      </c>
      <c r="D688" s="51">
        <v>366190</v>
      </c>
    </row>
    <row r="689" spans="1:4" x14ac:dyDescent="0.2">
      <c r="A689" s="24">
        <v>43040</v>
      </c>
      <c r="B689" s="25" t="s">
        <v>130</v>
      </c>
      <c r="C689" s="25" t="s">
        <v>2</v>
      </c>
      <c r="D689" s="51">
        <v>60053</v>
      </c>
    </row>
    <row r="690" spans="1:4" x14ac:dyDescent="0.2">
      <c r="A690" s="24">
        <v>43070</v>
      </c>
      <c r="B690" s="25" t="s">
        <v>117</v>
      </c>
      <c r="C690" s="25" t="s">
        <v>4</v>
      </c>
      <c r="D690" s="51">
        <v>13321082</v>
      </c>
    </row>
    <row r="691" spans="1:4" x14ac:dyDescent="0.2">
      <c r="A691" s="24">
        <v>43070</v>
      </c>
      <c r="B691" s="25" t="s">
        <v>131</v>
      </c>
      <c r="C691" s="25" t="s">
        <v>4</v>
      </c>
      <c r="D691" s="51">
        <v>158523</v>
      </c>
    </row>
    <row r="692" spans="1:4" x14ac:dyDescent="0.2">
      <c r="A692" s="24">
        <v>43070</v>
      </c>
      <c r="B692" s="25" t="s">
        <v>132</v>
      </c>
      <c r="C692" s="25" t="s">
        <v>4</v>
      </c>
      <c r="D692" s="51">
        <v>91020</v>
      </c>
    </row>
    <row r="693" spans="1:4" x14ac:dyDescent="0.2">
      <c r="A693" s="24">
        <v>43070</v>
      </c>
      <c r="B693" s="25" t="s">
        <v>133</v>
      </c>
      <c r="C693" s="25" t="s">
        <v>4</v>
      </c>
      <c r="D693" s="51">
        <v>33611</v>
      </c>
    </row>
    <row r="694" spans="1:4" x14ac:dyDescent="0.2">
      <c r="A694" s="24">
        <v>43070</v>
      </c>
      <c r="B694" s="25" t="s">
        <v>118</v>
      </c>
      <c r="C694" s="25" t="s">
        <v>4</v>
      </c>
      <c r="D694" s="51">
        <v>1412859</v>
      </c>
    </row>
    <row r="695" spans="1:4" x14ac:dyDescent="0.2">
      <c r="A695" s="24">
        <v>43070</v>
      </c>
      <c r="B695" s="25" t="s">
        <v>134</v>
      </c>
      <c r="C695" s="25" t="s">
        <v>4</v>
      </c>
      <c r="D695" s="51">
        <v>48701</v>
      </c>
    </row>
    <row r="696" spans="1:4" x14ac:dyDescent="0.2">
      <c r="A696" s="24">
        <v>43070</v>
      </c>
      <c r="B696" s="25" t="s">
        <v>135</v>
      </c>
      <c r="C696" s="25" t="s">
        <v>4</v>
      </c>
      <c r="D696" s="51">
        <v>38599</v>
      </c>
    </row>
    <row r="697" spans="1:4" x14ac:dyDescent="0.2">
      <c r="A697" s="24">
        <v>43070</v>
      </c>
      <c r="B697" s="25" t="s">
        <v>136</v>
      </c>
      <c r="C697" s="25" t="s">
        <v>4</v>
      </c>
      <c r="D697" s="51">
        <v>11737</v>
      </c>
    </row>
    <row r="698" spans="1:4" x14ac:dyDescent="0.2">
      <c r="A698" s="24">
        <v>43070</v>
      </c>
      <c r="B698" s="25" t="s">
        <v>119</v>
      </c>
      <c r="C698" s="25" t="s">
        <v>4</v>
      </c>
      <c r="D698" s="51">
        <v>1066654</v>
      </c>
    </row>
    <row r="699" spans="1:4" x14ac:dyDescent="0.2">
      <c r="A699" s="24">
        <v>43070</v>
      </c>
      <c r="B699" s="25" t="s">
        <v>138</v>
      </c>
      <c r="C699" s="25" t="s">
        <v>4</v>
      </c>
      <c r="D699" s="51">
        <v>2</v>
      </c>
    </row>
    <row r="700" spans="1:4" x14ac:dyDescent="0.2">
      <c r="A700" s="24">
        <v>43070</v>
      </c>
      <c r="B700" s="25" t="s">
        <v>120</v>
      </c>
      <c r="C700" s="25" t="s">
        <v>4</v>
      </c>
      <c r="D700" s="51">
        <v>69644</v>
      </c>
    </row>
    <row r="701" spans="1:4" x14ac:dyDescent="0.2">
      <c r="A701" s="24">
        <v>43070</v>
      </c>
      <c r="B701" s="25" t="s">
        <v>121</v>
      </c>
      <c r="C701" s="25" t="s">
        <v>4</v>
      </c>
      <c r="D701" s="51">
        <v>35334</v>
      </c>
    </row>
    <row r="702" spans="1:4" x14ac:dyDescent="0.2">
      <c r="A702" s="24">
        <v>43070</v>
      </c>
      <c r="B702" s="25" t="s">
        <v>122</v>
      </c>
      <c r="C702" s="25" t="s">
        <v>4</v>
      </c>
      <c r="D702" s="51">
        <v>926795</v>
      </c>
    </row>
    <row r="703" spans="1:4" x14ac:dyDescent="0.2">
      <c r="A703" s="24">
        <v>43070</v>
      </c>
      <c r="B703" s="25" t="s">
        <v>123</v>
      </c>
      <c r="C703" s="25" t="s">
        <v>4</v>
      </c>
      <c r="D703" s="51">
        <v>3927879</v>
      </c>
    </row>
    <row r="704" spans="1:4" x14ac:dyDescent="0.2">
      <c r="A704" s="24">
        <v>43070</v>
      </c>
      <c r="B704" s="25" t="s">
        <v>117</v>
      </c>
      <c r="C704" s="25" t="s">
        <v>8</v>
      </c>
      <c r="D704" s="51">
        <v>1046211</v>
      </c>
    </row>
    <row r="705" spans="1:4" x14ac:dyDescent="0.2">
      <c r="A705" s="24">
        <v>43070</v>
      </c>
      <c r="B705" s="25" t="s">
        <v>137</v>
      </c>
      <c r="C705" s="25" t="s">
        <v>8</v>
      </c>
      <c r="D705" s="51">
        <v>2307</v>
      </c>
    </row>
    <row r="706" spans="1:4" x14ac:dyDescent="0.2">
      <c r="A706" s="24">
        <v>43070</v>
      </c>
      <c r="B706" s="25" t="s">
        <v>118</v>
      </c>
      <c r="C706" s="25" t="s">
        <v>8</v>
      </c>
      <c r="D706" s="51">
        <v>146402</v>
      </c>
    </row>
    <row r="707" spans="1:4" x14ac:dyDescent="0.2">
      <c r="A707" s="24">
        <v>43070</v>
      </c>
      <c r="B707" s="25" t="s">
        <v>119</v>
      </c>
      <c r="C707" s="25" t="s">
        <v>8</v>
      </c>
      <c r="D707" s="51">
        <v>28201</v>
      </c>
    </row>
    <row r="708" spans="1:4" x14ac:dyDescent="0.2">
      <c r="A708" s="24">
        <v>43070</v>
      </c>
      <c r="B708" s="25" t="s">
        <v>120</v>
      </c>
      <c r="C708" s="25" t="s">
        <v>8</v>
      </c>
      <c r="D708" s="51">
        <v>5165</v>
      </c>
    </row>
    <row r="709" spans="1:4" x14ac:dyDescent="0.2">
      <c r="A709" s="24">
        <v>43070</v>
      </c>
      <c r="B709" s="25" t="s">
        <v>121</v>
      </c>
      <c r="C709" s="25" t="s">
        <v>8</v>
      </c>
      <c r="D709" s="51">
        <v>2099</v>
      </c>
    </row>
    <row r="710" spans="1:4" x14ac:dyDescent="0.2">
      <c r="A710" s="24">
        <v>43070</v>
      </c>
      <c r="B710" s="25" t="s">
        <v>122</v>
      </c>
      <c r="C710" s="25" t="s">
        <v>8</v>
      </c>
      <c r="D710" s="51">
        <v>988</v>
      </c>
    </row>
    <row r="711" spans="1:4" x14ac:dyDescent="0.2">
      <c r="A711" s="24">
        <v>43070</v>
      </c>
      <c r="B711" s="25" t="s">
        <v>123</v>
      </c>
      <c r="C711" s="25" t="s">
        <v>8</v>
      </c>
      <c r="D711" s="51">
        <v>185440</v>
      </c>
    </row>
    <row r="712" spans="1:4" x14ac:dyDescent="0.2">
      <c r="A712" s="24">
        <v>43070</v>
      </c>
      <c r="B712" s="25" t="s">
        <v>124</v>
      </c>
      <c r="C712" s="25" t="s">
        <v>8</v>
      </c>
      <c r="D712" s="51">
        <v>75067</v>
      </c>
    </row>
    <row r="713" spans="1:4" x14ac:dyDescent="0.2">
      <c r="A713" s="24">
        <v>43070</v>
      </c>
      <c r="B713" s="25" t="s">
        <v>125</v>
      </c>
      <c r="C713" s="25" t="s">
        <v>8</v>
      </c>
      <c r="D713" s="51">
        <v>18807</v>
      </c>
    </row>
    <row r="714" spans="1:4" x14ac:dyDescent="0.2">
      <c r="A714" s="24">
        <v>43070</v>
      </c>
      <c r="B714" s="25" t="s">
        <v>117</v>
      </c>
      <c r="C714" s="25" t="s">
        <v>26</v>
      </c>
      <c r="D714" s="51">
        <v>643916</v>
      </c>
    </row>
    <row r="715" spans="1:4" x14ac:dyDescent="0.2">
      <c r="A715" s="24">
        <v>43070</v>
      </c>
      <c r="B715" s="25" t="s">
        <v>118</v>
      </c>
      <c r="C715" s="25" t="s">
        <v>26</v>
      </c>
      <c r="D715" s="51">
        <v>49043</v>
      </c>
    </row>
    <row r="716" spans="1:4" x14ac:dyDescent="0.2">
      <c r="A716" s="24">
        <v>43070</v>
      </c>
      <c r="B716" s="25" t="s">
        <v>119</v>
      </c>
      <c r="C716" s="25" t="s">
        <v>26</v>
      </c>
      <c r="D716" s="51">
        <v>28319</v>
      </c>
    </row>
    <row r="717" spans="1:4" x14ac:dyDescent="0.2">
      <c r="A717" s="24">
        <v>43070</v>
      </c>
      <c r="B717" s="25" t="s">
        <v>120</v>
      </c>
      <c r="C717" s="25" t="s">
        <v>26</v>
      </c>
      <c r="D717" s="51">
        <v>1</v>
      </c>
    </row>
    <row r="718" spans="1:4" x14ac:dyDescent="0.2">
      <c r="A718" s="24">
        <v>43070</v>
      </c>
      <c r="B718" s="25" t="s">
        <v>121</v>
      </c>
      <c r="C718" s="25" t="s">
        <v>26</v>
      </c>
      <c r="D718" s="51">
        <v>852</v>
      </c>
    </row>
    <row r="719" spans="1:4" x14ac:dyDescent="0.2">
      <c r="A719" s="24">
        <v>43070</v>
      </c>
      <c r="B719" s="25" t="s">
        <v>122</v>
      </c>
      <c r="C719" s="25" t="s">
        <v>26</v>
      </c>
      <c r="D719" s="51">
        <v>1860</v>
      </c>
    </row>
    <row r="720" spans="1:4" x14ac:dyDescent="0.2">
      <c r="A720" s="24">
        <v>43070</v>
      </c>
      <c r="B720" s="25" t="s">
        <v>123</v>
      </c>
      <c r="C720" s="25" t="s">
        <v>26</v>
      </c>
      <c r="D720" s="51">
        <v>148175</v>
      </c>
    </row>
    <row r="721" spans="1:4" x14ac:dyDescent="0.2">
      <c r="A721" s="24">
        <v>43070</v>
      </c>
      <c r="B721" s="25" t="s">
        <v>127</v>
      </c>
      <c r="C721" s="25" t="s">
        <v>26</v>
      </c>
      <c r="D721" s="51">
        <v>5741</v>
      </c>
    </row>
    <row r="722" spans="1:4" x14ac:dyDescent="0.2">
      <c r="A722" s="24">
        <v>43070</v>
      </c>
      <c r="B722" s="25" t="s">
        <v>128</v>
      </c>
      <c r="C722" s="25" t="s">
        <v>26</v>
      </c>
      <c r="D722" s="51">
        <v>1399</v>
      </c>
    </row>
    <row r="723" spans="1:4" x14ac:dyDescent="0.2">
      <c r="A723" s="24">
        <v>43070</v>
      </c>
      <c r="B723" s="25" t="s">
        <v>117</v>
      </c>
      <c r="C723" s="25" t="s">
        <v>2</v>
      </c>
      <c r="D723" s="51">
        <v>22729922</v>
      </c>
    </row>
    <row r="724" spans="1:4" x14ac:dyDescent="0.2">
      <c r="A724" s="24">
        <v>43070</v>
      </c>
      <c r="B724" s="25" t="s">
        <v>118</v>
      </c>
      <c r="C724" s="25" t="s">
        <v>2</v>
      </c>
      <c r="D724" s="51">
        <v>1423432</v>
      </c>
    </row>
    <row r="725" spans="1:4" x14ac:dyDescent="0.2">
      <c r="A725" s="24">
        <v>43070</v>
      </c>
      <c r="B725" s="25" t="s">
        <v>119</v>
      </c>
      <c r="C725" s="25" t="s">
        <v>2</v>
      </c>
      <c r="D725" s="51">
        <v>1406927</v>
      </c>
    </row>
    <row r="726" spans="1:4" x14ac:dyDescent="0.2">
      <c r="A726" s="24">
        <v>43070</v>
      </c>
      <c r="B726" s="25" t="s">
        <v>120</v>
      </c>
      <c r="C726" s="25" t="s">
        <v>2</v>
      </c>
      <c r="D726" s="51">
        <v>254579</v>
      </c>
    </row>
    <row r="727" spans="1:4" x14ac:dyDescent="0.2">
      <c r="A727" s="24">
        <v>43070</v>
      </c>
      <c r="B727" s="25" t="s">
        <v>121</v>
      </c>
      <c r="C727" s="25" t="s">
        <v>2</v>
      </c>
      <c r="D727" s="51">
        <v>26829</v>
      </c>
    </row>
    <row r="728" spans="1:4" x14ac:dyDescent="0.2">
      <c r="A728" s="24">
        <v>43070</v>
      </c>
      <c r="B728" s="25" t="s">
        <v>122</v>
      </c>
      <c r="C728" s="25" t="s">
        <v>2</v>
      </c>
      <c r="D728" s="51">
        <v>385688</v>
      </c>
    </row>
    <row r="729" spans="1:4" x14ac:dyDescent="0.2">
      <c r="A729" s="24">
        <v>43070</v>
      </c>
      <c r="B729" s="25" t="s">
        <v>123</v>
      </c>
      <c r="C729" s="25" t="s">
        <v>2</v>
      </c>
      <c r="D729" s="51">
        <v>2749627</v>
      </c>
    </row>
    <row r="730" spans="1:4" x14ac:dyDescent="0.2">
      <c r="A730" s="24">
        <v>43070</v>
      </c>
      <c r="B730" s="25" t="s">
        <v>129</v>
      </c>
      <c r="C730" s="25" t="s">
        <v>2</v>
      </c>
      <c r="D730" s="51">
        <v>396404</v>
      </c>
    </row>
    <row r="731" spans="1:4" x14ac:dyDescent="0.2">
      <c r="A731" s="24">
        <v>43070</v>
      </c>
      <c r="B731" s="25" t="s">
        <v>130</v>
      </c>
      <c r="C731" s="25" t="s">
        <v>2</v>
      </c>
      <c r="D731" s="51">
        <v>94481</v>
      </c>
    </row>
    <row r="732" spans="1:4" x14ac:dyDescent="0.2">
      <c r="A732" s="24">
        <v>43101</v>
      </c>
      <c r="B732" s="25" t="s">
        <v>117</v>
      </c>
      <c r="C732" s="25" t="s">
        <v>4</v>
      </c>
      <c r="D732" s="51">
        <v>13665898</v>
      </c>
    </row>
    <row r="733" spans="1:4" x14ac:dyDescent="0.2">
      <c r="A733" s="24">
        <v>43101</v>
      </c>
      <c r="B733" s="25" t="s">
        <v>131</v>
      </c>
      <c r="C733" s="25" t="s">
        <v>4</v>
      </c>
      <c r="D733" s="51">
        <v>144931</v>
      </c>
    </row>
    <row r="734" spans="1:4" x14ac:dyDescent="0.2">
      <c r="A734" s="24">
        <v>43101</v>
      </c>
      <c r="B734" s="25" t="s">
        <v>132</v>
      </c>
      <c r="C734" s="25" t="s">
        <v>4</v>
      </c>
      <c r="D734" s="51">
        <v>80665</v>
      </c>
    </row>
    <row r="735" spans="1:4" x14ac:dyDescent="0.2">
      <c r="A735" s="24">
        <v>43101</v>
      </c>
      <c r="B735" s="25" t="s">
        <v>133</v>
      </c>
      <c r="C735" s="25" t="s">
        <v>4</v>
      </c>
      <c r="D735" s="51">
        <v>29410</v>
      </c>
    </row>
    <row r="736" spans="1:4" x14ac:dyDescent="0.2">
      <c r="A736" s="24">
        <v>43101</v>
      </c>
      <c r="B736" s="25" t="s">
        <v>118</v>
      </c>
      <c r="C736" s="25" t="s">
        <v>4</v>
      </c>
      <c r="D736" s="51">
        <v>1559929</v>
      </c>
    </row>
    <row r="737" spans="1:4" x14ac:dyDescent="0.2">
      <c r="A737" s="24">
        <v>43101</v>
      </c>
      <c r="B737" s="25" t="s">
        <v>134</v>
      </c>
      <c r="C737" s="25" t="s">
        <v>4</v>
      </c>
      <c r="D737" s="51">
        <v>49176</v>
      </c>
    </row>
    <row r="738" spans="1:4" x14ac:dyDescent="0.2">
      <c r="A738" s="24">
        <v>43101</v>
      </c>
      <c r="B738" s="25" t="s">
        <v>135</v>
      </c>
      <c r="C738" s="25" t="s">
        <v>4</v>
      </c>
      <c r="D738" s="51">
        <v>40857</v>
      </c>
    </row>
    <row r="739" spans="1:4" x14ac:dyDescent="0.2">
      <c r="A739" s="24">
        <v>43101</v>
      </c>
      <c r="B739" s="25" t="s">
        <v>136</v>
      </c>
      <c r="C739" s="25" t="s">
        <v>4</v>
      </c>
      <c r="D739" s="51">
        <v>12535</v>
      </c>
    </row>
    <row r="740" spans="1:4" x14ac:dyDescent="0.2">
      <c r="A740" s="24">
        <v>43101</v>
      </c>
      <c r="B740" s="25" t="s">
        <v>119</v>
      </c>
      <c r="C740" s="25" t="s">
        <v>4</v>
      </c>
      <c r="D740" s="51">
        <v>1022052</v>
      </c>
    </row>
    <row r="741" spans="1:4" x14ac:dyDescent="0.2">
      <c r="A741" s="24">
        <v>43101</v>
      </c>
      <c r="B741" s="25" t="s">
        <v>120</v>
      </c>
      <c r="C741" s="25" t="s">
        <v>4</v>
      </c>
      <c r="D741" s="51">
        <v>67410</v>
      </c>
    </row>
    <row r="742" spans="1:4" x14ac:dyDescent="0.2">
      <c r="A742" s="24">
        <v>43101</v>
      </c>
      <c r="B742" s="25" t="s">
        <v>121</v>
      </c>
      <c r="C742" s="25" t="s">
        <v>4</v>
      </c>
      <c r="D742" s="51">
        <v>34628</v>
      </c>
    </row>
    <row r="743" spans="1:4" x14ac:dyDescent="0.2">
      <c r="A743" s="24">
        <v>43101</v>
      </c>
      <c r="B743" s="25" t="s">
        <v>140</v>
      </c>
      <c r="C743" s="25" t="s">
        <v>4</v>
      </c>
      <c r="D743" s="51">
        <v>232</v>
      </c>
    </row>
    <row r="744" spans="1:4" x14ac:dyDescent="0.2">
      <c r="A744" s="24">
        <v>43101</v>
      </c>
      <c r="B744" s="25" t="s">
        <v>141</v>
      </c>
      <c r="C744" s="25" t="s">
        <v>4</v>
      </c>
      <c r="D744" s="51">
        <v>24389</v>
      </c>
    </row>
    <row r="745" spans="1:4" x14ac:dyDescent="0.2">
      <c r="A745" s="24">
        <v>43101</v>
      </c>
      <c r="B745" s="25" t="s">
        <v>122</v>
      </c>
      <c r="C745" s="25" t="s">
        <v>4</v>
      </c>
      <c r="D745" s="51">
        <v>186979</v>
      </c>
    </row>
    <row r="746" spans="1:4" x14ac:dyDescent="0.2">
      <c r="A746" s="24">
        <v>43101</v>
      </c>
      <c r="B746" s="25" t="s">
        <v>123</v>
      </c>
      <c r="C746" s="25" t="s">
        <v>4</v>
      </c>
      <c r="D746" s="51">
        <v>3857789</v>
      </c>
    </row>
    <row r="747" spans="1:4" x14ac:dyDescent="0.2">
      <c r="A747" s="24">
        <v>43101</v>
      </c>
      <c r="B747" s="25" t="s">
        <v>117</v>
      </c>
      <c r="C747" s="25" t="s">
        <v>8</v>
      </c>
      <c r="D747" s="51">
        <v>1112314</v>
      </c>
    </row>
    <row r="748" spans="1:4" x14ac:dyDescent="0.2">
      <c r="A748" s="24">
        <v>43101</v>
      </c>
      <c r="B748" s="25" t="s">
        <v>137</v>
      </c>
      <c r="C748" s="25" t="s">
        <v>8</v>
      </c>
      <c r="D748" s="51">
        <v>2466</v>
      </c>
    </row>
    <row r="749" spans="1:4" x14ac:dyDescent="0.2">
      <c r="A749" s="24">
        <v>43101</v>
      </c>
      <c r="B749" s="25" t="s">
        <v>118</v>
      </c>
      <c r="C749" s="25" t="s">
        <v>8</v>
      </c>
      <c r="D749" s="51">
        <v>199548</v>
      </c>
    </row>
    <row r="750" spans="1:4" x14ac:dyDescent="0.2">
      <c r="A750" s="24">
        <v>43101</v>
      </c>
      <c r="B750" s="25" t="s">
        <v>119</v>
      </c>
      <c r="C750" s="25" t="s">
        <v>8</v>
      </c>
      <c r="D750" s="51">
        <v>29192</v>
      </c>
    </row>
    <row r="751" spans="1:4" x14ac:dyDescent="0.2">
      <c r="A751" s="24">
        <v>43101</v>
      </c>
      <c r="B751" s="25" t="s">
        <v>120</v>
      </c>
      <c r="C751" s="25" t="s">
        <v>8</v>
      </c>
      <c r="D751" s="51">
        <v>6262</v>
      </c>
    </row>
    <row r="752" spans="1:4" x14ac:dyDescent="0.2">
      <c r="A752" s="24">
        <v>43101</v>
      </c>
      <c r="B752" s="25" t="s">
        <v>121</v>
      </c>
      <c r="C752" s="25" t="s">
        <v>8</v>
      </c>
      <c r="D752" s="51">
        <v>2417</v>
      </c>
    </row>
    <row r="753" spans="1:4" x14ac:dyDescent="0.2">
      <c r="A753" s="24">
        <v>43101</v>
      </c>
      <c r="B753" s="25" t="s">
        <v>122</v>
      </c>
      <c r="C753" s="25" t="s">
        <v>8</v>
      </c>
      <c r="D753" s="51">
        <v>252</v>
      </c>
    </row>
    <row r="754" spans="1:4" x14ac:dyDescent="0.2">
      <c r="A754" s="24">
        <v>43101</v>
      </c>
      <c r="B754" s="25" t="s">
        <v>123</v>
      </c>
      <c r="C754" s="25" t="s">
        <v>8</v>
      </c>
      <c r="D754" s="51">
        <v>220589</v>
      </c>
    </row>
    <row r="755" spans="1:4" x14ac:dyDescent="0.2">
      <c r="A755" s="24">
        <v>43101</v>
      </c>
      <c r="B755" s="25" t="s">
        <v>124</v>
      </c>
      <c r="C755" s="25" t="s">
        <v>8</v>
      </c>
      <c r="D755" s="51">
        <v>79580</v>
      </c>
    </row>
    <row r="756" spans="1:4" x14ac:dyDescent="0.2">
      <c r="A756" s="24">
        <v>43101</v>
      </c>
      <c r="B756" s="25" t="s">
        <v>125</v>
      </c>
      <c r="C756" s="25" t="s">
        <v>8</v>
      </c>
      <c r="D756" s="51">
        <v>23423</v>
      </c>
    </row>
    <row r="757" spans="1:4" x14ac:dyDescent="0.2">
      <c r="A757" s="24">
        <v>43101</v>
      </c>
      <c r="B757" s="25" t="s">
        <v>117</v>
      </c>
      <c r="C757" s="25" t="s">
        <v>26</v>
      </c>
      <c r="D757" s="51">
        <v>142036</v>
      </c>
    </row>
    <row r="758" spans="1:4" x14ac:dyDescent="0.2">
      <c r="A758" s="24">
        <v>43101</v>
      </c>
      <c r="B758" s="25" t="s">
        <v>118</v>
      </c>
      <c r="C758" s="25" t="s">
        <v>26</v>
      </c>
      <c r="D758" s="51">
        <v>14275</v>
      </c>
    </row>
    <row r="759" spans="1:4" x14ac:dyDescent="0.2">
      <c r="A759" s="24">
        <v>43101</v>
      </c>
      <c r="B759" s="25" t="s">
        <v>119</v>
      </c>
      <c r="C759" s="25" t="s">
        <v>26</v>
      </c>
      <c r="D759" s="51">
        <v>6681</v>
      </c>
    </row>
    <row r="760" spans="1:4" x14ac:dyDescent="0.2">
      <c r="A760" s="24">
        <v>43101</v>
      </c>
      <c r="B760" s="25" t="s">
        <v>121</v>
      </c>
      <c r="C760" s="25" t="s">
        <v>26</v>
      </c>
      <c r="D760" s="51">
        <v>194</v>
      </c>
    </row>
    <row r="761" spans="1:4" x14ac:dyDescent="0.2">
      <c r="A761" s="24">
        <v>43101</v>
      </c>
      <c r="B761" s="25" t="s">
        <v>122</v>
      </c>
      <c r="C761" s="25" t="s">
        <v>26</v>
      </c>
      <c r="D761" s="51">
        <v>441</v>
      </c>
    </row>
    <row r="762" spans="1:4" x14ac:dyDescent="0.2">
      <c r="A762" s="24">
        <v>43101</v>
      </c>
      <c r="B762" s="25" t="s">
        <v>123</v>
      </c>
      <c r="C762" s="25" t="s">
        <v>26</v>
      </c>
      <c r="D762" s="51">
        <v>28435</v>
      </c>
    </row>
    <row r="763" spans="1:4" x14ac:dyDescent="0.2">
      <c r="A763" s="24">
        <v>43101</v>
      </c>
      <c r="B763" s="25" t="s">
        <v>127</v>
      </c>
      <c r="C763" s="25" t="s">
        <v>26</v>
      </c>
      <c r="D763" s="51">
        <v>1211</v>
      </c>
    </row>
    <row r="764" spans="1:4" x14ac:dyDescent="0.2">
      <c r="A764" s="24">
        <v>43101</v>
      </c>
      <c r="B764" s="25" t="s">
        <v>128</v>
      </c>
      <c r="C764" s="25" t="s">
        <v>26</v>
      </c>
      <c r="D764" s="51">
        <v>447</v>
      </c>
    </row>
    <row r="765" spans="1:4" x14ac:dyDescent="0.2">
      <c r="A765" s="24">
        <v>43101</v>
      </c>
      <c r="B765" s="25" t="s">
        <v>117</v>
      </c>
      <c r="C765" s="25" t="s">
        <v>2</v>
      </c>
      <c r="D765" s="51">
        <v>22118391</v>
      </c>
    </row>
    <row r="766" spans="1:4" x14ac:dyDescent="0.2">
      <c r="A766" s="24">
        <v>43101</v>
      </c>
      <c r="B766" s="25" t="s">
        <v>118</v>
      </c>
      <c r="C766" s="25" t="s">
        <v>2</v>
      </c>
      <c r="D766" s="51">
        <v>1491713</v>
      </c>
    </row>
    <row r="767" spans="1:4" x14ac:dyDescent="0.2">
      <c r="A767" s="24">
        <v>43101</v>
      </c>
      <c r="B767" s="25" t="s">
        <v>119</v>
      </c>
      <c r="C767" s="25" t="s">
        <v>2</v>
      </c>
      <c r="D767" s="51">
        <v>1278438</v>
      </c>
    </row>
    <row r="768" spans="1:4" x14ac:dyDescent="0.2">
      <c r="A768" s="24">
        <v>43101</v>
      </c>
      <c r="B768" s="25" t="s">
        <v>139</v>
      </c>
      <c r="C768" s="25" t="s">
        <v>2</v>
      </c>
      <c r="D768" s="51">
        <v>1</v>
      </c>
    </row>
    <row r="769" spans="1:4" x14ac:dyDescent="0.2">
      <c r="A769" s="24">
        <v>43101</v>
      </c>
      <c r="B769" s="25" t="s">
        <v>120</v>
      </c>
      <c r="C769" s="25" t="s">
        <v>2</v>
      </c>
      <c r="D769" s="51">
        <v>237035</v>
      </c>
    </row>
    <row r="770" spans="1:4" x14ac:dyDescent="0.2">
      <c r="A770" s="24">
        <v>43101</v>
      </c>
      <c r="B770" s="25" t="s">
        <v>121</v>
      </c>
      <c r="C770" s="25" t="s">
        <v>2</v>
      </c>
      <c r="D770" s="51">
        <v>24340</v>
      </c>
    </row>
    <row r="771" spans="1:4" x14ac:dyDescent="0.2">
      <c r="A771" s="24">
        <v>43101</v>
      </c>
      <c r="B771" s="25" t="s">
        <v>122</v>
      </c>
      <c r="C771" s="25" t="s">
        <v>2</v>
      </c>
      <c r="D771" s="51">
        <v>80493</v>
      </c>
    </row>
    <row r="772" spans="1:4" x14ac:dyDescent="0.2">
      <c r="A772" s="24">
        <v>43101</v>
      </c>
      <c r="B772" s="25" t="s">
        <v>123</v>
      </c>
      <c r="C772" s="25" t="s">
        <v>2</v>
      </c>
      <c r="D772" s="51">
        <v>2550328</v>
      </c>
    </row>
    <row r="773" spans="1:4" x14ac:dyDescent="0.2">
      <c r="A773" s="24">
        <v>43101</v>
      </c>
      <c r="B773" s="25" t="s">
        <v>129</v>
      </c>
      <c r="C773" s="25" t="s">
        <v>2</v>
      </c>
      <c r="D773" s="51">
        <v>317462</v>
      </c>
    </row>
    <row r="774" spans="1:4" x14ac:dyDescent="0.2">
      <c r="A774" s="24">
        <v>43101</v>
      </c>
      <c r="B774" s="25" t="s">
        <v>130</v>
      </c>
      <c r="C774" s="25" t="s">
        <v>2</v>
      </c>
      <c r="D774" s="51">
        <v>88665</v>
      </c>
    </row>
    <row r="775" spans="1:4" x14ac:dyDescent="0.2">
      <c r="A775" s="24">
        <v>43132</v>
      </c>
      <c r="B775" s="25" t="s">
        <v>117</v>
      </c>
      <c r="C775" s="25" t="s">
        <v>4</v>
      </c>
      <c r="D775" s="51">
        <v>14158256</v>
      </c>
    </row>
    <row r="776" spans="1:4" x14ac:dyDescent="0.2">
      <c r="A776" s="24">
        <v>43132</v>
      </c>
      <c r="B776" s="25" t="s">
        <v>131</v>
      </c>
      <c r="C776" s="25" t="s">
        <v>4</v>
      </c>
      <c r="D776" s="51">
        <v>135021</v>
      </c>
    </row>
    <row r="777" spans="1:4" x14ac:dyDescent="0.2">
      <c r="A777" s="24">
        <v>43132</v>
      </c>
      <c r="B777" s="25" t="s">
        <v>132</v>
      </c>
      <c r="C777" s="25" t="s">
        <v>4</v>
      </c>
      <c r="D777" s="51">
        <v>72765</v>
      </c>
    </row>
    <row r="778" spans="1:4" x14ac:dyDescent="0.2">
      <c r="A778" s="24">
        <v>43132</v>
      </c>
      <c r="B778" s="25" t="s">
        <v>133</v>
      </c>
      <c r="C778" s="25" t="s">
        <v>4</v>
      </c>
      <c r="D778" s="51">
        <v>25901</v>
      </c>
    </row>
    <row r="779" spans="1:4" x14ac:dyDescent="0.2">
      <c r="A779" s="24">
        <v>43132</v>
      </c>
      <c r="B779" s="25" t="s">
        <v>118</v>
      </c>
      <c r="C779" s="25" t="s">
        <v>4</v>
      </c>
      <c r="D779" s="51">
        <v>1271723</v>
      </c>
    </row>
    <row r="780" spans="1:4" x14ac:dyDescent="0.2">
      <c r="A780" s="24">
        <v>43132</v>
      </c>
      <c r="B780" s="25" t="s">
        <v>134</v>
      </c>
      <c r="C780" s="25" t="s">
        <v>4</v>
      </c>
      <c r="D780" s="51">
        <v>28631</v>
      </c>
    </row>
    <row r="781" spans="1:4" x14ac:dyDescent="0.2">
      <c r="A781" s="24">
        <v>43132</v>
      </c>
      <c r="B781" s="25" t="s">
        <v>135</v>
      </c>
      <c r="C781" s="25" t="s">
        <v>4</v>
      </c>
      <c r="D781" s="51">
        <v>19424</v>
      </c>
    </row>
    <row r="782" spans="1:4" x14ac:dyDescent="0.2">
      <c r="A782" s="24">
        <v>43132</v>
      </c>
      <c r="B782" s="25" t="s">
        <v>136</v>
      </c>
      <c r="C782" s="25" t="s">
        <v>4</v>
      </c>
      <c r="D782" s="51">
        <v>5413</v>
      </c>
    </row>
    <row r="783" spans="1:4" x14ac:dyDescent="0.2">
      <c r="A783" s="24">
        <v>43132</v>
      </c>
      <c r="B783" s="25" t="s">
        <v>119</v>
      </c>
      <c r="C783" s="25" t="s">
        <v>4</v>
      </c>
      <c r="D783" s="51">
        <v>1275676</v>
      </c>
    </row>
    <row r="784" spans="1:4" x14ac:dyDescent="0.2">
      <c r="A784" s="24">
        <v>43132</v>
      </c>
      <c r="B784" s="25" t="s">
        <v>120</v>
      </c>
      <c r="C784" s="25" t="s">
        <v>4</v>
      </c>
      <c r="D784" s="51">
        <v>71212</v>
      </c>
    </row>
    <row r="785" spans="1:4" x14ac:dyDescent="0.2">
      <c r="A785" s="24">
        <v>43132</v>
      </c>
      <c r="B785" s="25" t="s">
        <v>121</v>
      </c>
      <c r="C785" s="25" t="s">
        <v>4</v>
      </c>
      <c r="D785" s="51">
        <v>36666</v>
      </c>
    </row>
    <row r="786" spans="1:4" x14ac:dyDescent="0.2">
      <c r="A786" s="24">
        <v>43132</v>
      </c>
      <c r="B786" s="25" t="s">
        <v>140</v>
      </c>
      <c r="C786" s="25" t="s">
        <v>4</v>
      </c>
      <c r="D786" s="51">
        <v>672</v>
      </c>
    </row>
    <row r="787" spans="1:4" x14ac:dyDescent="0.2">
      <c r="A787" s="24">
        <v>43132</v>
      </c>
      <c r="B787" s="25" t="s">
        <v>141</v>
      </c>
      <c r="C787" s="25" t="s">
        <v>4</v>
      </c>
      <c r="D787" s="51">
        <v>55421</v>
      </c>
    </row>
    <row r="788" spans="1:4" x14ac:dyDescent="0.2">
      <c r="A788" s="24">
        <v>43132</v>
      </c>
      <c r="B788" s="25" t="s">
        <v>122</v>
      </c>
      <c r="C788" s="25" t="s">
        <v>4</v>
      </c>
      <c r="D788" s="51">
        <v>2701483</v>
      </c>
    </row>
    <row r="789" spans="1:4" x14ac:dyDescent="0.2">
      <c r="A789" s="24">
        <v>43132</v>
      </c>
      <c r="B789" s="25" t="s">
        <v>123</v>
      </c>
      <c r="C789" s="25" t="s">
        <v>4</v>
      </c>
      <c r="D789" s="51">
        <v>3956457</v>
      </c>
    </row>
    <row r="790" spans="1:4" x14ac:dyDescent="0.2">
      <c r="A790" s="24">
        <v>43132</v>
      </c>
      <c r="B790" s="25" t="s">
        <v>117</v>
      </c>
      <c r="C790" s="25" t="s">
        <v>8</v>
      </c>
      <c r="D790" s="51">
        <v>902195</v>
      </c>
    </row>
    <row r="791" spans="1:4" x14ac:dyDescent="0.2">
      <c r="A791" s="24">
        <v>43132</v>
      </c>
      <c r="B791" s="25" t="s">
        <v>137</v>
      </c>
      <c r="C791" s="25" t="s">
        <v>8</v>
      </c>
      <c r="D791" s="51">
        <v>2069</v>
      </c>
    </row>
    <row r="792" spans="1:4" x14ac:dyDescent="0.2">
      <c r="A792" s="24">
        <v>43132</v>
      </c>
      <c r="B792" s="25" t="s">
        <v>118</v>
      </c>
      <c r="C792" s="25" t="s">
        <v>8</v>
      </c>
      <c r="D792" s="51">
        <v>65080</v>
      </c>
    </row>
    <row r="793" spans="1:4" x14ac:dyDescent="0.2">
      <c r="A793" s="24">
        <v>43132</v>
      </c>
      <c r="B793" s="25" t="s">
        <v>119</v>
      </c>
      <c r="C793" s="25" t="s">
        <v>8</v>
      </c>
      <c r="D793" s="51">
        <v>24733</v>
      </c>
    </row>
    <row r="794" spans="1:4" x14ac:dyDescent="0.2">
      <c r="A794" s="24">
        <v>43132</v>
      </c>
      <c r="B794" s="25" t="s">
        <v>120</v>
      </c>
      <c r="C794" s="25" t="s">
        <v>8</v>
      </c>
      <c r="D794" s="51">
        <v>4994</v>
      </c>
    </row>
    <row r="795" spans="1:4" x14ac:dyDescent="0.2">
      <c r="A795" s="24">
        <v>43132</v>
      </c>
      <c r="B795" s="25" t="s">
        <v>121</v>
      </c>
      <c r="C795" s="25" t="s">
        <v>8</v>
      </c>
      <c r="D795" s="51">
        <v>2129</v>
      </c>
    </row>
    <row r="796" spans="1:4" x14ac:dyDescent="0.2">
      <c r="A796" s="24">
        <v>43132</v>
      </c>
      <c r="B796" s="25" t="s">
        <v>122</v>
      </c>
      <c r="C796" s="25" t="s">
        <v>8</v>
      </c>
      <c r="D796" s="51">
        <v>2904</v>
      </c>
    </row>
    <row r="797" spans="1:4" x14ac:dyDescent="0.2">
      <c r="A797" s="24">
        <v>43132</v>
      </c>
      <c r="B797" s="25" t="s">
        <v>123</v>
      </c>
      <c r="C797" s="25" t="s">
        <v>8</v>
      </c>
      <c r="D797" s="51">
        <v>184482</v>
      </c>
    </row>
    <row r="798" spans="1:4" x14ac:dyDescent="0.2">
      <c r="A798" s="24">
        <v>43132</v>
      </c>
      <c r="B798" s="25" t="s">
        <v>124</v>
      </c>
      <c r="C798" s="25" t="s">
        <v>8</v>
      </c>
      <c r="D798" s="51">
        <v>63773</v>
      </c>
    </row>
    <row r="799" spans="1:4" x14ac:dyDescent="0.2">
      <c r="A799" s="24">
        <v>43132</v>
      </c>
      <c r="B799" s="25" t="s">
        <v>125</v>
      </c>
      <c r="C799" s="25" t="s">
        <v>8</v>
      </c>
      <c r="D799" s="51">
        <v>8079</v>
      </c>
    </row>
    <row r="800" spans="1:4" x14ac:dyDescent="0.2">
      <c r="A800" s="24">
        <v>43132</v>
      </c>
      <c r="B800" s="25" t="s">
        <v>117</v>
      </c>
      <c r="C800" s="25" t="s">
        <v>26</v>
      </c>
      <c r="D800" s="51">
        <v>550240</v>
      </c>
    </row>
    <row r="801" spans="1:4" x14ac:dyDescent="0.2">
      <c r="A801" s="24">
        <v>43132</v>
      </c>
      <c r="B801" s="25" t="s">
        <v>118</v>
      </c>
      <c r="C801" s="25" t="s">
        <v>26</v>
      </c>
      <c r="D801" s="51">
        <v>35485</v>
      </c>
    </row>
    <row r="802" spans="1:4" x14ac:dyDescent="0.2">
      <c r="A802" s="24">
        <v>43132</v>
      </c>
      <c r="B802" s="25" t="s">
        <v>119</v>
      </c>
      <c r="C802" s="25" t="s">
        <v>26</v>
      </c>
      <c r="D802" s="51">
        <v>26363</v>
      </c>
    </row>
    <row r="803" spans="1:4" x14ac:dyDescent="0.2">
      <c r="A803" s="24">
        <v>43132</v>
      </c>
      <c r="B803" s="25" t="s">
        <v>121</v>
      </c>
      <c r="C803" s="25" t="s">
        <v>26</v>
      </c>
      <c r="D803" s="51">
        <v>793</v>
      </c>
    </row>
    <row r="804" spans="1:4" x14ac:dyDescent="0.2">
      <c r="A804" s="24">
        <v>43132</v>
      </c>
      <c r="B804" s="25" t="s">
        <v>122</v>
      </c>
      <c r="C804" s="25" t="s">
        <v>26</v>
      </c>
      <c r="D804" s="51">
        <v>6277</v>
      </c>
    </row>
    <row r="805" spans="1:4" x14ac:dyDescent="0.2">
      <c r="A805" s="24">
        <v>43132</v>
      </c>
      <c r="B805" s="25" t="s">
        <v>123</v>
      </c>
      <c r="C805" s="25" t="s">
        <v>26</v>
      </c>
      <c r="D805" s="51">
        <v>135060</v>
      </c>
    </row>
    <row r="806" spans="1:4" x14ac:dyDescent="0.2">
      <c r="A806" s="24">
        <v>43132</v>
      </c>
      <c r="B806" s="25" t="s">
        <v>127</v>
      </c>
      <c r="C806" s="25" t="s">
        <v>26</v>
      </c>
      <c r="D806" s="51">
        <v>4590</v>
      </c>
    </row>
    <row r="807" spans="1:4" x14ac:dyDescent="0.2">
      <c r="A807" s="24">
        <v>43132</v>
      </c>
      <c r="B807" s="25" t="s">
        <v>128</v>
      </c>
      <c r="C807" s="25" t="s">
        <v>26</v>
      </c>
      <c r="D807" s="51">
        <v>737</v>
      </c>
    </row>
    <row r="808" spans="1:4" x14ac:dyDescent="0.2">
      <c r="A808" s="24">
        <v>43132</v>
      </c>
      <c r="B808" s="25" t="s">
        <v>117</v>
      </c>
      <c r="C808" s="25" t="s">
        <v>2</v>
      </c>
      <c r="D808" s="51">
        <v>23096119</v>
      </c>
    </row>
    <row r="809" spans="1:4" x14ac:dyDescent="0.2">
      <c r="A809" s="24">
        <v>43132</v>
      </c>
      <c r="B809" s="25" t="s">
        <v>118</v>
      </c>
      <c r="C809" s="25" t="s">
        <v>2</v>
      </c>
      <c r="D809" s="51">
        <v>1013582</v>
      </c>
    </row>
    <row r="810" spans="1:4" x14ac:dyDescent="0.2">
      <c r="A810" s="24">
        <v>43132</v>
      </c>
      <c r="B810" s="25" t="s">
        <v>119</v>
      </c>
      <c r="C810" s="25" t="s">
        <v>2</v>
      </c>
      <c r="D810" s="51">
        <v>1546266</v>
      </c>
    </row>
    <row r="811" spans="1:4" x14ac:dyDescent="0.2">
      <c r="A811" s="24">
        <v>43132</v>
      </c>
      <c r="B811" s="25" t="s">
        <v>120</v>
      </c>
      <c r="C811" s="25" t="s">
        <v>2</v>
      </c>
      <c r="D811" s="51">
        <v>259220</v>
      </c>
    </row>
    <row r="812" spans="1:4" x14ac:dyDescent="0.2">
      <c r="A812" s="24">
        <v>43132</v>
      </c>
      <c r="B812" s="25" t="s">
        <v>121</v>
      </c>
      <c r="C812" s="25" t="s">
        <v>2</v>
      </c>
      <c r="D812" s="51">
        <v>27068</v>
      </c>
    </row>
    <row r="813" spans="1:4" x14ac:dyDescent="0.2">
      <c r="A813" s="24">
        <v>43132</v>
      </c>
      <c r="B813" s="25" t="s">
        <v>122</v>
      </c>
      <c r="C813" s="25" t="s">
        <v>2</v>
      </c>
      <c r="D813" s="51">
        <v>1071662</v>
      </c>
    </row>
    <row r="814" spans="1:4" x14ac:dyDescent="0.2">
      <c r="A814" s="24">
        <v>43132</v>
      </c>
      <c r="B814" s="25" t="s">
        <v>123</v>
      </c>
      <c r="C814" s="25" t="s">
        <v>2</v>
      </c>
      <c r="D814" s="51">
        <v>2656033</v>
      </c>
    </row>
    <row r="815" spans="1:4" x14ac:dyDescent="0.2">
      <c r="A815" s="24">
        <v>43132</v>
      </c>
      <c r="B815" s="25" t="s">
        <v>129</v>
      </c>
      <c r="C815" s="25" t="s">
        <v>2</v>
      </c>
      <c r="D815" s="51">
        <v>314269</v>
      </c>
    </row>
    <row r="816" spans="1:4" x14ac:dyDescent="0.2">
      <c r="A816" s="24">
        <v>43132</v>
      </c>
      <c r="B816" s="25" t="s">
        <v>130</v>
      </c>
      <c r="C816" s="25" t="s">
        <v>2</v>
      </c>
      <c r="D816" s="51">
        <v>51872</v>
      </c>
    </row>
    <row r="817" spans="1:4" x14ac:dyDescent="0.2">
      <c r="A817" s="24">
        <v>43160</v>
      </c>
      <c r="B817" s="25" t="s">
        <v>117</v>
      </c>
      <c r="C817" s="25" t="s">
        <v>4</v>
      </c>
      <c r="D817" s="51">
        <v>15671919</v>
      </c>
    </row>
    <row r="818" spans="1:4" x14ac:dyDescent="0.2">
      <c r="A818" s="24">
        <v>43160</v>
      </c>
      <c r="B818" s="25" t="s">
        <v>131</v>
      </c>
      <c r="C818" s="25" t="s">
        <v>4</v>
      </c>
      <c r="D818" s="51">
        <v>149812</v>
      </c>
    </row>
    <row r="819" spans="1:4" x14ac:dyDescent="0.2">
      <c r="A819" s="24">
        <v>43160</v>
      </c>
      <c r="B819" s="25" t="s">
        <v>132</v>
      </c>
      <c r="C819" s="25" t="s">
        <v>4</v>
      </c>
      <c r="D819" s="51">
        <v>81989</v>
      </c>
    </row>
    <row r="820" spans="1:4" x14ac:dyDescent="0.2">
      <c r="A820" s="24">
        <v>43160</v>
      </c>
      <c r="B820" s="25" t="s">
        <v>133</v>
      </c>
      <c r="C820" s="25" t="s">
        <v>4</v>
      </c>
      <c r="D820" s="51">
        <v>28085</v>
      </c>
    </row>
    <row r="821" spans="1:4" x14ac:dyDescent="0.2">
      <c r="A821" s="24">
        <v>43160</v>
      </c>
      <c r="B821" s="25" t="s">
        <v>118</v>
      </c>
      <c r="C821" s="25" t="s">
        <v>4</v>
      </c>
      <c r="D821" s="51">
        <v>1325239</v>
      </c>
    </row>
    <row r="822" spans="1:4" x14ac:dyDescent="0.2">
      <c r="A822" s="24">
        <v>43160</v>
      </c>
      <c r="B822" s="25" t="s">
        <v>134</v>
      </c>
      <c r="C822" s="25" t="s">
        <v>4</v>
      </c>
      <c r="D822" s="51">
        <v>33439</v>
      </c>
    </row>
    <row r="823" spans="1:4" x14ac:dyDescent="0.2">
      <c r="A823" s="24">
        <v>43160</v>
      </c>
      <c r="B823" s="25" t="s">
        <v>135</v>
      </c>
      <c r="C823" s="25" t="s">
        <v>4</v>
      </c>
      <c r="D823" s="51">
        <v>22468</v>
      </c>
    </row>
    <row r="824" spans="1:4" x14ac:dyDescent="0.2">
      <c r="A824" s="24">
        <v>43160</v>
      </c>
      <c r="B824" s="25" t="s">
        <v>136</v>
      </c>
      <c r="C824" s="25" t="s">
        <v>4</v>
      </c>
      <c r="D824" s="51">
        <v>6274</v>
      </c>
    </row>
    <row r="825" spans="1:4" x14ac:dyDescent="0.2">
      <c r="A825" s="24">
        <v>43160</v>
      </c>
      <c r="B825" s="25" t="s">
        <v>119</v>
      </c>
      <c r="C825" s="25" t="s">
        <v>4</v>
      </c>
      <c r="D825" s="51">
        <v>2271925</v>
      </c>
    </row>
    <row r="826" spans="1:4" x14ac:dyDescent="0.2">
      <c r="A826" s="24">
        <v>43160</v>
      </c>
      <c r="B826" s="25" t="s">
        <v>138</v>
      </c>
      <c r="C826" s="25" t="s">
        <v>4</v>
      </c>
      <c r="D826" s="51">
        <v>17</v>
      </c>
    </row>
    <row r="827" spans="1:4" x14ac:dyDescent="0.2">
      <c r="A827" s="24">
        <v>43160</v>
      </c>
      <c r="B827" s="25" t="s">
        <v>139</v>
      </c>
      <c r="C827" s="25" t="s">
        <v>4</v>
      </c>
      <c r="D827" s="51">
        <v>45</v>
      </c>
    </row>
    <row r="828" spans="1:4" x14ac:dyDescent="0.2">
      <c r="A828" s="24">
        <v>43160</v>
      </c>
      <c r="B828" s="25" t="s">
        <v>120</v>
      </c>
      <c r="C828" s="25" t="s">
        <v>4</v>
      </c>
      <c r="D828" s="51">
        <v>77210</v>
      </c>
    </row>
    <row r="829" spans="1:4" x14ac:dyDescent="0.2">
      <c r="A829" s="24">
        <v>43160</v>
      </c>
      <c r="B829" s="25" t="s">
        <v>121</v>
      </c>
      <c r="C829" s="25" t="s">
        <v>4</v>
      </c>
      <c r="D829" s="51">
        <v>40280</v>
      </c>
    </row>
    <row r="830" spans="1:4" x14ac:dyDescent="0.2">
      <c r="A830" s="24">
        <v>43160</v>
      </c>
      <c r="B830" s="25" t="s">
        <v>140</v>
      </c>
      <c r="C830" s="25" t="s">
        <v>4</v>
      </c>
      <c r="D830" s="51">
        <v>1049</v>
      </c>
    </row>
    <row r="831" spans="1:4" x14ac:dyDescent="0.2">
      <c r="A831" s="24">
        <v>43160</v>
      </c>
      <c r="B831" s="25" t="s">
        <v>141</v>
      </c>
      <c r="C831" s="25" t="s">
        <v>4</v>
      </c>
      <c r="D831" s="51">
        <v>64634</v>
      </c>
    </row>
    <row r="832" spans="1:4" x14ac:dyDescent="0.2">
      <c r="A832" s="24">
        <v>43160</v>
      </c>
      <c r="B832" s="25" t="s">
        <v>122</v>
      </c>
      <c r="C832" s="25" t="s">
        <v>4</v>
      </c>
      <c r="D832" s="51">
        <v>2983327</v>
      </c>
    </row>
    <row r="833" spans="1:4" x14ac:dyDescent="0.2">
      <c r="A833" s="24">
        <v>43160</v>
      </c>
      <c r="B833" s="25" t="s">
        <v>123</v>
      </c>
      <c r="C833" s="25" t="s">
        <v>4</v>
      </c>
      <c r="D833" s="51">
        <v>4303012</v>
      </c>
    </row>
    <row r="834" spans="1:4" x14ac:dyDescent="0.2">
      <c r="A834" s="24">
        <v>43160</v>
      </c>
      <c r="B834" s="25" t="s">
        <v>117</v>
      </c>
      <c r="C834" s="25" t="s">
        <v>8</v>
      </c>
      <c r="D834" s="51">
        <v>977515</v>
      </c>
    </row>
    <row r="835" spans="1:4" x14ac:dyDescent="0.2">
      <c r="A835" s="24">
        <v>43160</v>
      </c>
      <c r="B835" s="25" t="s">
        <v>137</v>
      </c>
      <c r="C835" s="25" t="s">
        <v>8</v>
      </c>
      <c r="D835" s="51">
        <v>14690</v>
      </c>
    </row>
    <row r="836" spans="1:4" x14ac:dyDescent="0.2">
      <c r="A836" s="24">
        <v>43160</v>
      </c>
      <c r="B836" s="25" t="s">
        <v>118</v>
      </c>
      <c r="C836" s="25" t="s">
        <v>8</v>
      </c>
      <c r="D836" s="51">
        <v>77736</v>
      </c>
    </row>
    <row r="837" spans="1:4" x14ac:dyDescent="0.2">
      <c r="A837" s="24">
        <v>43160</v>
      </c>
      <c r="B837" s="25" t="s">
        <v>119</v>
      </c>
      <c r="C837" s="25" t="s">
        <v>8</v>
      </c>
      <c r="D837" s="51">
        <v>32530</v>
      </c>
    </row>
    <row r="838" spans="1:4" x14ac:dyDescent="0.2">
      <c r="A838" s="24">
        <v>43160</v>
      </c>
      <c r="B838" s="25" t="s">
        <v>120</v>
      </c>
      <c r="C838" s="25" t="s">
        <v>8</v>
      </c>
      <c r="D838" s="51">
        <v>4829</v>
      </c>
    </row>
    <row r="839" spans="1:4" x14ac:dyDescent="0.2">
      <c r="A839" s="24">
        <v>43160</v>
      </c>
      <c r="B839" s="25" t="s">
        <v>121</v>
      </c>
      <c r="C839" s="25" t="s">
        <v>8</v>
      </c>
      <c r="D839" s="51">
        <v>2048</v>
      </c>
    </row>
    <row r="840" spans="1:4" x14ac:dyDescent="0.2">
      <c r="A840" s="24">
        <v>43160</v>
      </c>
      <c r="B840" s="25" t="s">
        <v>122</v>
      </c>
      <c r="C840" s="25" t="s">
        <v>8</v>
      </c>
      <c r="D840" s="51">
        <v>2544</v>
      </c>
    </row>
    <row r="841" spans="1:4" x14ac:dyDescent="0.2">
      <c r="A841" s="24">
        <v>43160</v>
      </c>
      <c r="B841" s="25" t="s">
        <v>123</v>
      </c>
      <c r="C841" s="25" t="s">
        <v>8</v>
      </c>
      <c r="D841" s="51">
        <v>200909</v>
      </c>
    </row>
    <row r="842" spans="1:4" x14ac:dyDescent="0.2">
      <c r="A842" s="24">
        <v>43160</v>
      </c>
      <c r="B842" s="25" t="s">
        <v>124</v>
      </c>
      <c r="C842" s="25" t="s">
        <v>8</v>
      </c>
      <c r="D842" s="51">
        <v>61722</v>
      </c>
    </row>
    <row r="843" spans="1:4" x14ac:dyDescent="0.2">
      <c r="A843" s="24">
        <v>43160</v>
      </c>
      <c r="B843" s="25" t="s">
        <v>125</v>
      </c>
      <c r="C843" s="25" t="s">
        <v>8</v>
      </c>
      <c r="D843" s="51">
        <v>10095</v>
      </c>
    </row>
    <row r="844" spans="1:4" x14ac:dyDescent="0.2">
      <c r="A844" s="24">
        <v>43160</v>
      </c>
      <c r="B844" s="25" t="s">
        <v>117</v>
      </c>
      <c r="C844" s="25" t="s">
        <v>26</v>
      </c>
      <c r="D844" s="51">
        <v>615888</v>
      </c>
    </row>
    <row r="845" spans="1:4" x14ac:dyDescent="0.2">
      <c r="A845" s="24">
        <v>43160</v>
      </c>
      <c r="B845" s="25" t="s">
        <v>137</v>
      </c>
      <c r="C845" s="25" t="s">
        <v>26</v>
      </c>
      <c r="D845" s="51">
        <v>3018</v>
      </c>
    </row>
    <row r="846" spans="1:4" x14ac:dyDescent="0.2">
      <c r="A846" s="24">
        <v>43160</v>
      </c>
      <c r="B846" s="25" t="s">
        <v>118</v>
      </c>
      <c r="C846" s="25" t="s">
        <v>26</v>
      </c>
      <c r="D846" s="51">
        <v>35724</v>
      </c>
    </row>
    <row r="847" spans="1:4" x14ac:dyDescent="0.2">
      <c r="A847" s="24">
        <v>43160</v>
      </c>
      <c r="B847" s="25" t="s">
        <v>119</v>
      </c>
      <c r="C847" s="25" t="s">
        <v>26</v>
      </c>
      <c r="D847" s="51">
        <v>34138</v>
      </c>
    </row>
    <row r="848" spans="1:4" x14ac:dyDescent="0.2">
      <c r="A848" s="24">
        <v>43160</v>
      </c>
      <c r="B848" s="25" t="s">
        <v>121</v>
      </c>
      <c r="C848" s="25" t="s">
        <v>26</v>
      </c>
      <c r="D848" s="51">
        <v>860</v>
      </c>
    </row>
    <row r="849" spans="1:4" x14ac:dyDescent="0.2">
      <c r="A849" s="24">
        <v>43160</v>
      </c>
      <c r="B849" s="25" t="s">
        <v>122</v>
      </c>
      <c r="C849" s="25" t="s">
        <v>26</v>
      </c>
      <c r="D849" s="51">
        <v>5884</v>
      </c>
    </row>
    <row r="850" spans="1:4" x14ac:dyDescent="0.2">
      <c r="A850" s="24">
        <v>43160</v>
      </c>
      <c r="B850" s="25" t="s">
        <v>123</v>
      </c>
      <c r="C850" s="25" t="s">
        <v>26</v>
      </c>
      <c r="D850" s="51">
        <v>143404</v>
      </c>
    </row>
    <row r="851" spans="1:4" x14ac:dyDescent="0.2">
      <c r="A851" s="24">
        <v>43160</v>
      </c>
      <c r="B851" s="25" t="s">
        <v>127</v>
      </c>
      <c r="C851" s="25" t="s">
        <v>26</v>
      </c>
      <c r="D851" s="51">
        <v>4325</v>
      </c>
    </row>
    <row r="852" spans="1:4" x14ac:dyDescent="0.2">
      <c r="A852" s="24">
        <v>43160</v>
      </c>
      <c r="B852" s="25" t="s">
        <v>128</v>
      </c>
      <c r="C852" s="25" t="s">
        <v>26</v>
      </c>
      <c r="D852" s="51">
        <v>648</v>
      </c>
    </row>
    <row r="853" spans="1:4" x14ac:dyDescent="0.2">
      <c r="A853" s="24">
        <v>43160</v>
      </c>
      <c r="B853" s="25" t="s">
        <v>117</v>
      </c>
      <c r="C853" s="25" t="s">
        <v>2</v>
      </c>
      <c r="D853" s="51">
        <v>26186985</v>
      </c>
    </row>
    <row r="854" spans="1:4" x14ac:dyDescent="0.2">
      <c r="A854" s="24">
        <v>43160</v>
      </c>
      <c r="B854" s="25" t="s">
        <v>118</v>
      </c>
      <c r="C854" s="25" t="s">
        <v>2</v>
      </c>
      <c r="D854" s="51">
        <v>1149786</v>
      </c>
    </row>
    <row r="855" spans="1:4" x14ac:dyDescent="0.2">
      <c r="A855" s="24">
        <v>43160</v>
      </c>
      <c r="B855" s="25" t="s">
        <v>119</v>
      </c>
      <c r="C855" s="25" t="s">
        <v>2</v>
      </c>
      <c r="D855" s="51">
        <v>2756796</v>
      </c>
    </row>
    <row r="856" spans="1:4" x14ac:dyDescent="0.2">
      <c r="A856" s="24">
        <v>43160</v>
      </c>
      <c r="B856" s="25" t="s">
        <v>138</v>
      </c>
      <c r="C856" s="25" t="s">
        <v>2</v>
      </c>
      <c r="D856" s="51">
        <v>4</v>
      </c>
    </row>
    <row r="857" spans="1:4" x14ac:dyDescent="0.2">
      <c r="A857" s="24">
        <v>43160</v>
      </c>
      <c r="B857" s="25" t="s">
        <v>139</v>
      </c>
      <c r="C857" s="25" t="s">
        <v>2</v>
      </c>
      <c r="D857" s="51">
        <v>32</v>
      </c>
    </row>
    <row r="858" spans="1:4" x14ac:dyDescent="0.2">
      <c r="A858" s="24">
        <v>43160</v>
      </c>
      <c r="B858" s="25" t="s">
        <v>120</v>
      </c>
      <c r="C858" s="25" t="s">
        <v>2</v>
      </c>
      <c r="D858" s="51">
        <v>289223</v>
      </c>
    </row>
    <row r="859" spans="1:4" x14ac:dyDescent="0.2">
      <c r="A859" s="24">
        <v>43160</v>
      </c>
      <c r="B859" s="25" t="s">
        <v>121</v>
      </c>
      <c r="C859" s="25" t="s">
        <v>2</v>
      </c>
      <c r="D859" s="51">
        <v>30090</v>
      </c>
    </row>
    <row r="860" spans="1:4" x14ac:dyDescent="0.2">
      <c r="A860" s="24">
        <v>43160</v>
      </c>
      <c r="B860" s="25" t="s">
        <v>122</v>
      </c>
      <c r="C860" s="25" t="s">
        <v>2</v>
      </c>
      <c r="D860" s="51">
        <v>1154541</v>
      </c>
    </row>
    <row r="861" spans="1:4" x14ac:dyDescent="0.2">
      <c r="A861" s="24">
        <v>43160</v>
      </c>
      <c r="B861" s="25" t="s">
        <v>123</v>
      </c>
      <c r="C861" s="25" t="s">
        <v>2</v>
      </c>
      <c r="D861" s="51">
        <v>2976317</v>
      </c>
    </row>
    <row r="862" spans="1:4" x14ac:dyDescent="0.2">
      <c r="A862" s="24">
        <v>43160</v>
      </c>
      <c r="B862" s="25" t="s">
        <v>129</v>
      </c>
      <c r="C862" s="25" t="s">
        <v>2</v>
      </c>
      <c r="D862" s="51">
        <v>361338</v>
      </c>
    </row>
    <row r="863" spans="1:4" x14ac:dyDescent="0.2">
      <c r="A863" s="24">
        <v>43160</v>
      </c>
      <c r="B863" s="25" t="s">
        <v>130</v>
      </c>
      <c r="C863" s="25" t="s">
        <v>2</v>
      </c>
      <c r="D863" s="51">
        <v>62376</v>
      </c>
    </row>
    <row r="864" spans="1:4" x14ac:dyDescent="0.2">
      <c r="A864" s="24">
        <v>43191</v>
      </c>
      <c r="B864" s="25" t="s">
        <v>117</v>
      </c>
      <c r="C864" s="25" t="s">
        <v>4</v>
      </c>
      <c r="D864" s="51">
        <v>14183574</v>
      </c>
    </row>
    <row r="865" spans="1:4" x14ac:dyDescent="0.2">
      <c r="A865" s="24">
        <v>43191</v>
      </c>
      <c r="B865" s="25" t="s">
        <v>131</v>
      </c>
      <c r="C865" s="25" t="s">
        <v>4</v>
      </c>
      <c r="D865" s="51">
        <v>139901</v>
      </c>
    </row>
    <row r="866" spans="1:4" x14ac:dyDescent="0.2">
      <c r="A866" s="24">
        <v>43191</v>
      </c>
      <c r="B866" s="25" t="s">
        <v>132</v>
      </c>
      <c r="C866" s="25" t="s">
        <v>4</v>
      </c>
      <c r="D866" s="51">
        <v>75101</v>
      </c>
    </row>
    <row r="867" spans="1:4" x14ac:dyDescent="0.2">
      <c r="A867" s="24">
        <v>43191</v>
      </c>
      <c r="B867" s="25" t="s">
        <v>133</v>
      </c>
      <c r="C867" s="25" t="s">
        <v>4</v>
      </c>
      <c r="D867" s="51">
        <v>25295</v>
      </c>
    </row>
    <row r="868" spans="1:4" x14ac:dyDescent="0.2">
      <c r="A868" s="24">
        <v>43191</v>
      </c>
      <c r="B868" s="25" t="s">
        <v>118</v>
      </c>
      <c r="C868" s="25" t="s">
        <v>4</v>
      </c>
      <c r="D868" s="51">
        <v>1426034</v>
      </c>
    </row>
    <row r="869" spans="1:4" x14ac:dyDescent="0.2">
      <c r="A869" s="24">
        <v>43191</v>
      </c>
      <c r="B869" s="25" t="s">
        <v>134</v>
      </c>
      <c r="C869" s="25" t="s">
        <v>4</v>
      </c>
      <c r="D869" s="51">
        <v>41733</v>
      </c>
    </row>
    <row r="870" spans="1:4" x14ac:dyDescent="0.2">
      <c r="A870" s="24">
        <v>43191</v>
      </c>
      <c r="B870" s="25" t="s">
        <v>135</v>
      </c>
      <c r="C870" s="25" t="s">
        <v>4</v>
      </c>
      <c r="D870" s="51">
        <v>32744</v>
      </c>
    </row>
    <row r="871" spans="1:4" x14ac:dyDescent="0.2">
      <c r="A871" s="24">
        <v>43191</v>
      </c>
      <c r="B871" s="25" t="s">
        <v>136</v>
      </c>
      <c r="C871" s="25" t="s">
        <v>4</v>
      </c>
      <c r="D871" s="51">
        <v>9079</v>
      </c>
    </row>
    <row r="872" spans="1:4" x14ac:dyDescent="0.2">
      <c r="A872" s="24">
        <v>43191</v>
      </c>
      <c r="B872" s="25" t="s">
        <v>119</v>
      </c>
      <c r="C872" s="25" t="s">
        <v>4</v>
      </c>
      <c r="D872" s="51">
        <v>1787676</v>
      </c>
    </row>
    <row r="873" spans="1:4" x14ac:dyDescent="0.2">
      <c r="A873" s="24">
        <v>43191</v>
      </c>
      <c r="B873" s="25" t="s">
        <v>138</v>
      </c>
      <c r="C873" s="25" t="s">
        <v>4</v>
      </c>
      <c r="D873" s="51">
        <v>8</v>
      </c>
    </row>
    <row r="874" spans="1:4" x14ac:dyDescent="0.2">
      <c r="A874" s="24">
        <v>43191</v>
      </c>
      <c r="B874" s="25" t="s">
        <v>139</v>
      </c>
      <c r="C874" s="25" t="s">
        <v>4</v>
      </c>
      <c r="D874" s="51">
        <v>111</v>
      </c>
    </row>
    <row r="875" spans="1:4" x14ac:dyDescent="0.2">
      <c r="A875" s="24">
        <v>43191</v>
      </c>
      <c r="B875" s="25" t="s">
        <v>120</v>
      </c>
      <c r="C875" s="25" t="s">
        <v>4</v>
      </c>
      <c r="D875" s="51">
        <v>70833</v>
      </c>
    </row>
    <row r="876" spans="1:4" x14ac:dyDescent="0.2">
      <c r="A876" s="24">
        <v>43191</v>
      </c>
      <c r="B876" s="25" t="s">
        <v>121</v>
      </c>
      <c r="C876" s="25" t="s">
        <v>4</v>
      </c>
      <c r="D876" s="51">
        <v>36465</v>
      </c>
    </row>
    <row r="877" spans="1:4" x14ac:dyDescent="0.2">
      <c r="A877" s="24">
        <v>43191</v>
      </c>
      <c r="B877" s="25" t="s">
        <v>140</v>
      </c>
      <c r="C877" s="25" t="s">
        <v>4</v>
      </c>
      <c r="D877" s="51">
        <v>1319</v>
      </c>
    </row>
    <row r="878" spans="1:4" x14ac:dyDescent="0.2">
      <c r="A878" s="24">
        <v>43191</v>
      </c>
      <c r="B878" s="25" t="s">
        <v>141</v>
      </c>
      <c r="C878" s="25" t="s">
        <v>4</v>
      </c>
      <c r="D878" s="51">
        <v>41889</v>
      </c>
    </row>
    <row r="879" spans="1:4" x14ac:dyDescent="0.2">
      <c r="A879" s="24">
        <v>43191</v>
      </c>
      <c r="B879" s="25" t="s">
        <v>122</v>
      </c>
      <c r="C879" s="25" t="s">
        <v>4</v>
      </c>
      <c r="D879" s="51">
        <v>1243894</v>
      </c>
    </row>
    <row r="880" spans="1:4" x14ac:dyDescent="0.2">
      <c r="A880" s="24">
        <v>43191</v>
      </c>
      <c r="B880" s="25" t="s">
        <v>123</v>
      </c>
      <c r="C880" s="25" t="s">
        <v>4</v>
      </c>
      <c r="D880" s="51">
        <v>3949337</v>
      </c>
    </row>
    <row r="881" spans="1:4" x14ac:dyDescent="0.2">
      <c r="A881" s="24">
        <v>43191</v>
      </c>
      <c r="B881" s="25" t="s">
        <v>117</v>
      </c>
      <c r="C881" s="25" t="s">
        <v>8</v>
      </c>
      <c r="D881" s="51">
        <v>982513</v>
      </c>
    </row>
    <row r="882" spans="1:4" x14ac:dyDescent="0.2">
      <c r="A882" s="24">
        <v>43191</v>
      </c>
      <c r="B882" s="25" t="s">
        <v>137</v>
      </c>
      <c r="C882" s="25" t="s">
        <v>8</v>
      </c>
      <c r="D882" s="51">
        <v>20559</v>
      </c>
    </row>
    <row r="883" spans="1:4" x14ac:dyDescent="0.2">
      <c r="A883" s="24">
        <v>43191</v>
      </c>
      <c r="B883" s="25" t="s">
        <v>118</v>
      </c>
      <c r="C883" s="25" t="s">
        <v>8</v>
      </c>
      <c r="D883" s="51">
        <v>156154</v>
      </c>
    </row>
    <row r="884" spans="1:4" x14ac:dyDescent="0.2">
      <c r="A884" s="24">
        <v>43191</v>
      </c>
      <c r="B884" s="25" t="s">
        <v>119</v>
      </c>
      <c r="C884" s="25" t="s">
        <v>8</v>
      </c>
      <c r="D884" s="51">
        <v>29908</v>
      </c>
    </row>
    <row r="885" spans="1:4" x14ac:dyDescent="0.2">
      <c r="A885" s="24">
        <v>43191</v>
      </c>
      <c r="B885" s="25" t="s">
        <v>120</v>
      </c>
      <c r="C885" s="25" t="s">
        <v>8</v>
      </c>
      <c r="D885" s="51">
        <v>4990</v>
      </c>
    </row>
    <row r="886" spans="1:4" x14ac:dyDescent="0.2">
      <c r="A886" s="24">
        <v>43191</v>
      </c>
      <c r="B886" s="25" t="s">
        <v>121</v>
      </c>
      <c r="C886" s="25" t="s">
        <v>8</v>
      </c>
      <c r="D886" s="51">
        <v>2131</v>
      </c>
    </row>
    <row r="887" spans="1:4" x14ac:dyDescent="0.2">
      <c r="A887" s="24">
        <v>43191</v>
      </c>
      <c r="B887" s="25" t="s">
        <v>122</v>
      </c>
      <c r="C887" s="25" t="s">
        <v>8</v>
      </c>
      <c r="D887" s="51">
        <v>1064</v>
      </c>
    </row>
    <row r="888" spans="1:4" x14ac:dyDescent="0.2">
      <c r="A888" s="24">
        <v>43191</v>
      </c>
      <c r="B888" s="25" t="s">
        <v>123</v>
      </c>
      <c r="C888" s="25" t="s">
        <v>8</v>
      </c>
      <c r="D888" s="51">
        <v>214610</v>
      </c>
    </row>
    <row r="889" spans="1:4" x14ac:dyDescent="0.2">
      <c r="A889" s="24">
        <v>43191</v>
      </c>
      <c r="B889" s="25" t="s">
        <v>124</v>
      </c>
      <c r="C889" s="25" t="s">
        <v>8</v>
      </c>
      <c r="D889" s="51">
        <v>54494</v>
      </c>
    </row>
    <row r="890" spans="1:4" x14ac:dyDescent="0.2">
      <c r="A890" s="24">
        <v>43191</v>
      </c>
      <c r="B890" s="25" t="s">
        <v>125</v>
      </c>
      <c r="C890" s="25" t="s">
        <v>8</v>
      </c>
      <c r="D890" s="51">
        <v>16375</v>
      </c>
    </row>
    <row r="891" spans="1:4" x14ac:dyDescent="0.2">
      <c r="A891" s="24">
        <v>43191</v>
      </c>
      <c r="B891" s="25" t="s">
        <v>117</v>
      </c>
      <c r="C891" s="25" t="s">
        <v>26</v>
      </c>
      <c r="D891" s="51">
        <v>586057</v>
      </c>
    </row>
    <row r="892" spans="1:4" x14ac:dyDescent="0.2">
      <c r="A892" s="24">
        <v>43191</v>
      </c>
      <c r="B892" s="25" t="s">
        <v>137</v>
      </c>
      <c r="C892" s="25" t="s">
        <v>26</v>
      </c>
      <c r="D892" s="51">
        <v>6047</v>
      </c>
    </row>
    <row r="893" spans="1:4" x14ac:dyDescent="0.2">
      <c r="A893" s="24">
        <v>43191</v>
      </c>
      <c r="B893" s="25" t="s">
        <v>118</v>
      </c>
      <c r="C893" s="25" t="s">
        <v>26</v>
      </c>
      <c r="D893" s="51">
        <v>48611</v>
      </c>
    </row>
    <row r="894" spans="1:4" x14ac:dyDescent="0.2">
      <c r="A894" s="24">
        <v>43191</v>
      </c>
      <c r="B894" s="25" t="s">
        <v>119</v>
      </c>
      <c r="C894" s="25" t="s">
        <v>26</v>
      </c>
      <c r="D894" s="51">
        <v>28950</v>
      </c>
    </row>
    <row r="895" spans="1:4" x14ac:dyDescent="0.2">
      <c r="A895" s="24">
        <v>43191</v>
      </c>
      <c r="B895" s="25" t="s">
        <v>120</v>
      </c>
      <c r="C895" s="25" t="s">
        <v>26</v>
      </c>
      <c r="D895" s="51">
        <v>1</v>
      </c>
    </row>
    <row r="896" spans="1:4" x14ac:dyDescent="0.2">
      <c r="A896" s="24">
        <v>43191</v>
      </c>
      <c r="B896" s="25" t="s">
        <v>121</v>
      </c>
      <c r="C896" s="25" t="s">
        <v>26</v>
      </c>
      <c r="D896" s="51">
        <v>887</v>
      </c>
    </row>
    <row r="897" spans="1:4" x14ac:dyDescent="0.2">
      <c r="A897" s="24">
        <v>43191</v>
      </c>
      <c r="B897" s="25" t="s">
        <v>122</v>
      </c>
      <c r="C897" s="25" t="s">
        <v>26</v>
      </c>
      <c r="D897" s="51">
        <v>2521</v>
      </c>
    </row>
    <row r="898" spans="1:4" x14ac:dyDescent="0.2">
      <c r="A898" s="24">
        <v>43191</v>
      </c>
      <c r="B898" s="25" t="s">
        <v>123</v>
      </c>
      <c r="C898" s="25" t="s">
        <v>26</v>
      </c>
      <c r="D898" s="51">
        <v>151012</v>
      </c>
    </row>
    <row r="899" spans="1:4" x14ac:dyDescent="0.2">
      <c r="A899" s="24">
        <v>43191</v>
      </c>
      <c r="B899" s="25" t="s">
        <v>127</v>
      </c>
      <c r="C899" s="25" t="s">
        <v>26</v>
      </c>
      <c r="D899" s="51">
        <v>3698</v>
      </c>
    </row>
    <row r="900" spans="1:4" x14ac:dyDescent="0.2">
      <c r="A900" s="24">
        <v>43191</v>
      </c>
      <c r="B900" s="25" t="s">
        <v>128</v>
      </c>
      <c r="C900" s="25" t="s">
        <v>26</v>
      </c>
      <c r="D900" s="51">
        <v>1173</v>
      </c>
    </row>
    <row r="901" spans="1:4" x14ac:dyDescent="0.2">
      <c r="A901" s="24">
        <v>43191</v>
      </c>
      <c r="B901" s="25" t="s">
        <v>117</v>
      </c>
      <c r="C901" s="25" t="s">
        <v>2</v>
      </c>
      <c r="D901" s="51">
        <v>23988605</v>
      </c>
    </row>
    <row r="902" spans="1:4" x14ac:dyDescent="0.2">
      <c r="A902" s="24">
        <v>43191</v>
      </c>
      <c r="B902" s="25" t="s">
        <v>118</v>
      </c>
      <c r="C902" s="25" t="s">
        <v>2</v>
      </c>
      <c r="D902" s="51">
        <v>1375098</v>
      </c>
    </row>
    <row r="903" spans="1:4" x14ac:dyDescent="0.2">
      <c r="A903" s="24">
        <v>43191</v>
      </c>
      <c r="B903" s="25" t="s">
        <v>119</v>
      </c>
      <c r="C903" s="25" t="s">
        <v>2</v>
      </c>
      <c r="D903" s="51">
        <v>2206207</v>
      </c>
    </row>
    <row r="904" spans="1:4" x14ac:dyDescent="0.2">
      <c r="A904" s="24">
        <v>43191</v>
      </c>
      <c r="B904" s="25" t="s">
        <v>138</v>
      </c>
      <c r="C904" s="25" t="s">
        <v>2</v>
      </c>
      <c r="D904" s="51">
        <v>6</v>
      </c>
    </row>
    <row r="905" spans="1:4" x14ac:dyDescent="0.2">
      <c r="A905" s="24">
        <v>43191</v>
      </c>
      <c r="B905" s="25" t="s">
        <v>139</v>
      </c>
      <c r="C905" s="25" t="s">
        <v>2</v>
      </c>
      <c r="D905" s="51">
        <v>102</v>
      </c>
    </row>
    <row r="906" spans="1:4" x14ac:dyDescent="0.2">
      <c r="A906" s="24">
        <v>43191</v>
      </c>
      <c r="B906" s="25" t="s">
        <v>120</v>
      </c>
      <c r="C906" s="25" t="s">
        <v>2</v>
      </c>
      <c r="D906" s="51">
        <v>262786</v>
      </c>
    </row>
    <row r="907" spans="1:4" x14ac:dyDescent="0.2">
      <c r="A907" s="24">
        <v>43191</v>
      </c>
      <c r="B907" s="25" t="s">
        <v>121</v>
      </c>
      <c r="C907" s="25" t="s">
        <v>2</v>
      </c>
      <c r="D907" s="51">
        <v>28378</v>
      </c>
    </row>
    <row r="908" spans="1:4" x14ac:dyDescent="0.2">
      <c r="A908" s="24">
        <v>43191</v>
      </c>
      <c r="B908" s="25" t="s">
        <v>122</v>
      </c>
      <c r="C908" s="25" t="s">
        <v>2</v>
      </c>
      <c r="D908" s="51">
        <v>491342</v>
      </c>
    </row>
    <row r="909" spans="1:4" x14ac:dyDescent="0.2">
      <c r="A909" s="24">
        <v>43191</v>
      </c>
      <c r="B909" s="25" t="s">
        <v>123</v>
      </c>
      <c r="C909" s="25" t="s">
        <v>2</v>
      </c>
      <c r="D909" s="51">
        <v>2776197</v>
      </c>
    </row>
    <row r="910" spans="1:4" x14ac:dyDescent="0.2">
      <c r="A910" s="24">
        <v>43191</v>
      </c>
      <c r="B910" s="25" t="s">
        <v>129</v>
      </c>
      <c r="C910" s="25" t="s">
        <v>2</v>
      </c>
      <c r="D910" s="51">
        <v>303161</v>
      </c>
    </row>
    <row r="911" spans="1:4" x14ac:dyDescent="0.2">
      <c r="A911" s="24">
        <v>43191</v>
      </c>
      <c r="B911" s="25" t="s">
        <v>130</v>
      </c>
      <c r="C911" s="25" t="s">
        <v>2</v>
      </c>
      <c r="D911" s="51">
        <v>80284</v>
      </c>
    </row>
    <row r="912" spans="1:4" x14ac:dyDescent="0.2">
      <c r="A912" s="24">
        <v>43221</v>
      </c>
      <c r="B912" s="25" t="s">
        <v>117</v>
      </c>
      <c r="C912" s="25" t="s">
        <v>4</v>
      </c>
      <c r="D912" s="51">
        <v>15824004</v>
      </c>
    </row>
    <row r="913" spans="1:4" x14ac:dyDescent="0.2">
      <c r="A913" s="24">
        <v>43221</v>
      </c>
      <c r="B913" s="25" t="s">
        <v>131</v>
      </c>
      <c r="C913" s="25" t="s">
        <v>4</v>
      </c>
      <c r="D913" s="51">
        <v>138667</v>
      </c>
    </row>
    <row r="914" spans="1:4" x14ac:dyDescent="0.2">
      <c r="A914" s="24">
        <v>43221</v>
      </c>
      <c r="B914" s="25" t="s">
        <v>132</v>
      </c>
      <c r="C914" s="25" t="s">
        <v>4</v>
      </c>
      <c r="D914" s="51">
        <v>73371</v>
      </c>
    </row>
    <row r="915" spans="1:4" x14ac:dyDescent="0.2">
      <c r="A915" s="24">
        <v>43221</v>
      </c>
      <c r="B915" s="25" t="s">
        <v>133</v>
      </c>
      <c r="C915" s="25" t="s">
        <v>4</v>
      </c>
      <c r="D915" s="51">
        <v>24464</v>
      </c>
    </row>
    <row r="916" spans="1:4" x14ac:dyDescent="0.2">
      <c r="A916" s="24">
        <v>43221</v>
      </c>
      <c r="B916" s="25" t="s">
        <v>118</v>
      </c>
      <c r="C916" s="25" t="s">
        <v>4</v>
      </c>
      <c r="D916" s="51">
        <v>1184699</v>
      </c>
    </row>
    <row r="917" spans="1:4" x14ac:dyDescent="0.2">
      <c r="A917" s="24">
        <v>43221</v>
      </c>
      <c r="B917" s="25" t="s">
        <v>134</v>
      </c>
      <c r="C917" s="25" t="s">
        <v>4</v>
      </c>
      <c r="D917" s="51">
        <v>29882</v>
      </c>
    </row>
    <row r="918" spans="1:4" x14ac:dyDescent="0.2">
      <c r="A918" s="24">
        <v>43221</v>
      </c>
      <c r="B918" s="25" t="s">
        <v>135</v>
      </c>
      <c r="C918" s="25" t="s">
        <v>4</v>
      </c>
      <c r="D918" s="51">
        <v>19692</v>
      </c>
    </row>
    <row r="919" spans="1:4" x14ac:dyDescent="0.2">
      <c r="A919" s="24">
        <v>43221</v>
      </c>
      <c r="B919" s="25" t="s">
        <v>136</v>
      </c>
      <c r="C919" s="25" t="s">
        <v>4</v>
      </c>
      <c r="D919" s="51">
        <v>5125</v>
      </c>
    </row>
    <row r="920" spans="1:4" x14ac:dyDescent="0.2">
      <c r="A920" s="24">
        <v>43221</v>
      </c>
      <c r="B920" s="25" t="s">
        <v>119</v>
      </c>
      <c r="C920" s="25" t="s">
        <v>4</v>
      </c>
      <c r="D920" s="51">
        <v>2210352</v>
      </c>
    </row>
    <row r="921" spans="1:4" x14ac:dyDescent="0.2">
      <c r="A921" s="24">
        <v>43221</v>
      </c>
      <c r="B921" s="25" t="s">
        <v>138</v>
      </c>
      <c r="C921" s="25" t="s">
        <v>4</v>
      </c>
      <c r="D921" s="51">
        <v>29</v>
      </c>
    </row>
    <row r="922" spans="1:4" x14ac:dyDescent="0.2">
      <c r="A922" s="24">
        <v>43221</v>
      </c>
      <c r="B922" s="25" t="s">
        <v>139</v>
      </c>
      <c r="C922" s="25" t="s">
        <v>4</v>
      </c>
      <c r="D922" s="51">
        <v>206</v>
      </c>
    </row>
    <row r="923" spans="1:4" x14ac:dyDescent="0.2">
      <c r="A923" s="24">
        <v>43221</v>
      </c>
      <c r="B923" s="25" t="s">
        <v>120</v>
      </c>
      <c r="C923" s="25" t="s">
        <v>4</v>
      </c>
      <c r="D923" s="51">
        <v>79814</v>
      </c>
    </row>
    <row r="924" spans="1:4" x14ac:dyDescent="0.2">
      <c r="A924" s="24">
        <v>43221</v>
      </c>
      <c r="B924" s="25" t="s">
        <v>121</v>
      </c>
      <c r="C924" s="25" t="s">
        <v>4</v>
      </c>
      <c r="D924" s="51">
        <v>41549</v>
      </c>
    </row>
    <row r="925" spans="1:4" x14ac:dyDescent="0.2">
      <c r="A925" s="24">
        <v>43221</v>
      </c>
      <c r="B925" s="25" t="s">
        <v>140</v>
      </c>
      <c r="C925" s="25" t="s">
        <v>4</v>
      </c>
      <c r="D925" s="51">
        <v>1782</v>
      </c>
    </row>
    <row r="926" spans="1:4" x14ac:dyDescent="0.2">
      <c r="A926" s="24">
        <v>43221</v>
      </c>
      <c r="B926" s="25" t="s">
        <v>141</v>
      </c>
      <c r="C926" s="25" t="s">
        <v>4</v>
      </c>
      <c r="D926" s="51">
        <v>66092</v>
      </c>
    </row>
    <row r="927" spans="1:4" x14ac:dyDescent="0.2">
      <c r="A927" s="24">
        <v>43221</v>
      </c>
      <c r="B927" s="25" t="s">
        <v>122</v>
      </c>
      <c r="C927" s="25" t="s">
        <v>4</v>
      </c>
      <c r="D927" s="51">
        <v>3252145</v>
      </c>
    </row>
    <row r="928" spans="1:4" x14ac:dyDescent="0.2">
      <c r="A928" s="24">
        <v>43221</v>
      </c>
      <c r="B928" s="25" t="s">
        <v>123</v>
      </c>
      <c r="C928" s="25" t="s">
        <v>4</v>
      </c>
      <c r="D928" s="51">
        <v>4400482</v>
      </c>
    </row>
    <row r="929" spans="1:4" x14ac:dyDescent="0.2">
      <c r="A929" s="24">
        <v>43221</v>
      </c>
      <c r="B929" s="25" t="s">
        <v>117</v>
      </c>
      <c r="C929" s="25" t="s">
        <v>8</v>
      </c>
      <c r="D929" s="51">
        <v>828410</v>
      </c>
    </row>
    <row r="930" spans="1:4" x14ac:dyDescent="0.2">
      <c r="A930" s="24">
        <v>43221</v>
      </c>
      <c r="B930" s="25" t="s">
        <v>137</v>
      </c>
      <c r="C930" s="25" t="s">
        <v>8</v>
      </c>
      <c r="D930" s="51">
        <v>18440</v>
      </c>
    </row>
    <row r="931" spans="1:4" x14ac:dyDescent="0.2">
      <c r="A931" s="24">
        <v>43221</v>
      </c>
      <c r="B931" s="25" t="s">
        <v>118</v>
      </c>
      <c r="C931" s="25" t="s">
        <v>8</v>
      </c>
      <c r="D931" s="51">
        <v>66680</v>
      </c>
    </row>
    <row r="932" spans="1:4" x14ac:dyDescent="0.2">
      <c r="A932" s="24">
        <v>43221</v>
      </c>
      <c r="B932" s="25" t="s">
        <v>119</v>
      </c>
      <c r="C932" s="25" t="s">
        <v>8</v>
      </c>
      <c r="D932" s="51">
        <v>27719</v>
      </c>
    </row>
    <row r="933" spans="1:4" x14ac:dyDescent="0.2">
      <c r="A933" s="24">
        <v>43221</v>
      </c>
      <c r="B933" s="25" t="s">
        <v>120</v>
      </c>
      <c r="C933" s="25" t="s">
        <v>8</v>
      </c>
      <c r="D933" s="51">
        <v>5203</v>
      </c>
    </row>
    <row r="934" spans="1:4" x14ac:dyDescent="0.2">
      <c r="A934" s="24">
        <v>43221</v>
      </c>
      <c r="B934" s="25" t="s">
        <v>121</v>
      </c>
      <c r="C934" s="25" t="s">
        <v>8</v>
      </c>
      <c r="D934" s="51">
        <v>2178</v>
      </c>
    </row>
    <row r="935" spans="1:4" x14ac:dyDescent="0.2">
      <c r="A935" s="24">
        <v>43221</v>
      </c>
      <c r="B935" s="25" t="s">
        <v>122</v>
      </c>
      <c r="C935" s="25" t="s">
        <v>8</v>
      </c>
      <c r="D935" s="51">
        <v>3347</v>
      </c>
    </row>
    <row r="936" spans="1:4" x14ac:dyDescent="0.2">
      <c r="A936" s="24">
        <v>43221</v>
      </c>
      <c r="B936" s="25" t="s">
        <v>123</v>
      </c>
      <c r="C936" s="25" t="s">
        <v>8</v>
      </c>
      <c r="D936" s="51">
        <v>201001</v>
      </c>
    </row>
    <row r="937" spans="1:4" x14ac:dyDescent="0.2">
      <c r="A937" s="24">
        <v>43221</v>
      </c>
      <c r="B937" s="25" t="s">
        <v>124</v>
      </c>
      <c r="C937" s="25" t="s">
        <v>8</v>
      </c>
      <c r="D937" s="51">
        <v>40546</v>
      </c>
    </row>
    <row r="938" spans="1:4" x14ac:dyDescent="0.2">
      <c r="A938" s="24">
        <v>43221</v>
      </c>
      <c r="B938" s="25" t="s">
        <v>125</v>
      </c>
      <c r="C938" s="25" t="s">
        <v>8</v>
      </c>
      <c r="D938" s="51">
        <v>6662</v>
      </c>
    </row>
    <row r="939" spans="1:4" x14ac:dyDescent="0.2">
      <c r="A939" s="24">
        <v>43221</v>
      </c>
      <c r="B939" s="25" t="s">
        <v>117</v>
      </c>
      <c r="C939" s="25" t="s">
        <v>26</v>
      </c>
      <c r="D939" s="51">
        <v>627483</v>
      </c>
    </row>
    <row r="940" spans="1:4" x14ac:dyDescent="0.2">
      <c r="A940" s="24">
        <v>43221</v>
      </c>
      <c r="B940" s="25" t="s">
        <v>137</v>
      </c>
      <c r="C940" s="25" t="s">
        <v>26</v>
      </c>
      <c r="D940" s="51">
        <v>7480</v>
      </c>
    </row>
    <row r="941" spans="1:4" x14ac:dyDescent="0.2">
      <c r="A941" s="24">
        <v>43221</v>
      </c>
      <c r="B941" s="25" t="s">
        <v>118</v>
      </c>
      <c r="C941" s="25" t="s">
        <v>26</v>
      </c>
      <c r="D941" s="51">
        <v>34958</v>
      </c>
    </row>
    <row r="942" spans="1:4" x14ac:dyDescent="0.2">
      <c r="A942" s="24">
        <v>43221</v>
      </c>
      <c r="B942" s="25" t="s">
        <v>119</v>
      </c>
      <c r="C942" s="25" t="s">
        <v>26</v>
      </c>
      <c r="D942" s="51">
        <v>30938</v>
      </c>
    </row>
    <row r="943" spans="1:4" x14ac:dyDescent="0.2">
      <c r="A943" s="24">
        <v>43221</v>
      </c>
      <c r="B943" s="25" t="s">
        <v>139</v>
      </c>
      <c r="C943" s="25" t="s">
        <v>26</v>
      </c>
      <c r="D943" s="51">
        <v>1</v>
      </c>
    </row>
    <row r="944" spans="1:4" x14ac:dyDescent="0.2">
      <c r="A944" s="24">
        <v>43221</v>
      </c>
      <c r="B944" s="25" t="s">
        <v>121</v>
      </c>
      <c r="C944" s="25" t="s">
        <v>26</v>
      </c>
      <c r="D944" s="51">
        <v>910</v>
      </c>
    </row>
    <row r="945" spans="1:4" x14ac:dyDescent="0.2">
      <c r="A945" s="24">
        <v>43221</v>
      </c>
      <c r="B945" s="25" t="s">
        <v>122</v>
      </c>
      <c r="C945" s="25" t="s">
        <v>26</v>
      </c>
      <c r="D945" s="51">
        <v>8352</v>
      </c>
    </row>
    <row r="946" spans="1:4" x14ac:dyDescent="0.2">
      <c r="A946" s="24">
        <v>43221</v>
      </c>
      <c r="B946" s="25" t="s">
        <v>123</v>
      </c>
      <c r="C946" s="25" t="s">
        <v>26</v>
      </c>
      <c r="D946" s="51">
        <v>144297</v>
      </c>
    </row>
    <row r="947" spans="1:4" x14ac:dyDescent="0.2">
      <c r="A947" s="24">
        <v>43221</v>
      </c>
      <c r="B947" s="25" t="s">
        <v>127</v>
      </c>
      <c r="C947" s="25" t="s">
        <v>26</v>
      </c>
      <c r="D947" s="51">
        <v>3668</v>
      </c>
    </row>
    <row r="948" spans="1:4" x14ac:dyDescent="0.2">
      <c r="A948" s="24">
        <v>43221</v>
      </c>
      <c r="B948" s="25" t="s">
        <v>128</v>
      </c>
      <c r="C948" s="25" t="s">
        <v>26</v>
      </c>
      <c r="D948" s="51">
        <v>640</v>
      </c>
    </row>
    <row r="949" spans="1:4" x14ac:dyDescent="0.2">
      <c r="A949" s="24">
        <v>43221</v>
      </c>
      <c r="B949" s="25" t="s">
        <v>117</v>
      </c>
      <c r="C949" s="25" t="s">
        <v>2</v>
      </c>
      <c r="D949" s="51">
        <v>27561815</v>
      </c>
    </row>
    <row r="950" spans="1:4" x14ac:dyDescent="0.2">
      <c r="A950" s="24">
        <v>43221</v>
      </c>
      <c r="B950" s="25" t="s">
        <v>118</v>
      </c>
      <c r="C950" s="25" t="s">
        <v>2</v>
      </c>
      <c r="D950" s="51">
        <v>960677</v>
      </c>
    </row>
    <row r="951" spans="1:4" x14ac:dyDescent="0.2">
      <c r="A951" s="24">
        <v>43221</v>
      </c>
      <c r="B951" s="25" t="s">
        <v>119</v>
      </c>
      <c r="C951" s="25" t="s">
        <v>2</v>
      </c>
      <c r="D951" s="51">
        <v>2700245</v>
      </c>
    </row>
    <row r="952" spans="1:4" x14ac:dyDescent="0.2">
      <c r="A952" s="24">
        <v>43221</v>
      </c>
      <c r="B952" s="25" t="s">
        <v>138</v>
      </c>
      <c r="C952" s="25" t="s">
        <v>2</v>
      </c>
      <c r="D952" s="51">
        <v>16</v>
      </c>
    </row>
    <row r="953" spans="1:4" x14ac:dyDescent="0.2">
      <c r="A953" s="24">
        <v>43221</v>
      </c>
      <c r="B953" s="25" t="s">
        <v>139</v>
      </c>
      <c r="C953" s="25" t="s">
        <v>2</v>
      </c>
      <c r="D953" s="51">
        <v>190</v>
      </c>
    </row>
    <row r="954" spans="1:4" x14ac:dyDescent="0.2">
      <c r="A954" s="24">
        <v>43221</v>
      </c>
      <c r="B954" s="25" t="s">
        <v>120</v>
      </c>
      <c r="C954" s="25" t="s">
        <v>2</v>
      </c>
      <c r="D954" s="51">
        <v>320124</v>
      </c>
    </row>
    <row r="955" spans="1:4" x14ac:dyDescent="0.2">
      <c r="A955" s="24">
        <v>43221</v>
      </c>
      <c r="B955" s="25" t="s">
        <v>121</v>
      </c>
      <c r="C955" s="25" t="s">
        <v>2</v>
      </c>
      <c r="D955" s="51">
        <v>32251</v>
      </c>
    </row>
    <row r="956" spans="1:4" x14ac:dyDescent="0.2">
      <c r="A956" s="24">
        <v>43221</v>
      </c>
      <c r="B956" s="25" t="s">
        <v>122</v>
      </c>
      <c r="C956" s="25" t="s">
        <v>2</v>
      </c>
      <c r="D956" s="51">
        <v>1304566</v>
      </c>
    </row>
    <row r="957" spans="1:4" x14ac:dyDescent="0.2">
      <c r="A957" s="24">
        <v>43221</v>
      </c>
      <c r="B957" s="25" t="s">
        <v>123</v>
      </c>
      <c r="C957" s="25" t="s">
        <v>2</v>
      </c>
      <c r="D957" s="51">
        <v>3076313</v>
      </c>
    </row>
    <row r="958" spans="1:4" x14ac:dyDescent="0.2">
      <c r="A958" s="24">
        <v>43221</v>
      </c>
      <c r="B958" s="25" t="s">
        <v>129</v>
      </c>
      <c r="C958" s="25" t="s">
        <v>2</v>
      </c>
      <c r="D958" s="51">
        <v>311005</v>
      </c>
    </row>
    <row r="959" spans="1:4" x14ac:dyDescent="0.2">
      <c r="A959" s="24">
        <v>43221</v>
      </c>
      <c r="B959" s="25" t="s">
        <v>130</v>
      </c>
      <c r="C959" s="25" t="s">
        <v>2</v>
      </c>
      <c r="D959" s="51">
        <v>55363</v>
      </c>
    </row>
    <row r="960" spans="1:4" x14ac:dyDescent="0.2">
      <c r="A960" s="24">
        <v>43252</v>
      </c>
      <c r="B960" s="25" t="s">
        <v>117</v>
      </c>
      <c r="C960" s="25" t="s">
        <v>4</v>
      </c>
      <c r="D960" s="51">
        <v>14071974</v>
      </c>
    </row>
    <row r="961" spans="1:4" x14ac:dyDescent="0.2">
      <c r="A961" s="24">
        <v>43252</v>
      </c>
      <c r="B961" s="25" t="s">
        <v>131</v>
      </c>
      <c r="C961" s="25" t="s">
        <v>4</v>
      </c>
      <c r="D961" s="51">
        <v>119147</v>
      </c>
    </row>
    <row r="962" spans="1:4" x14ac:dyDescent="0.2">
      <c r="A962" s="24">
        <v>43252</v>
      </c>
      <c r="B962" s="25" t="s">
        <v>132</v>
      </c>
      <c r="C962" s="25" t="s">
        <v>4</v>
      </c>
      <c r="D962" s="51">
        <v>62524</v>
      </c>
    </row>
    <row r="963" spans="1:4" x14ac:dyDescent="0.2">
      <c r="A963" s="24">
        <v>43252</v>
      </c>
      <c r="B963" s="25" t="s">
        <v>133</v>
      </c>
      <c r="C963" s="25" t="s">
        <v>4</v>
      </c>
      <c r="D963" s="51">
        <v>20712</v>
      </c>
    </row>
    <row r="964" spans="1:4" x14ac:dyDescent="0.2">
      <c r="A964" s="24">
        <v>43252</v>
      </c>
      <c r="B964" s="25" t="s">
        <v>118</v>
      </c>
      <c r="C964" s="25" t="s">
        <v>4</v>
      </c>
      <c r="D964" s="51">
        <v>1113371</v>
      </c>
    </row>
    <row r="965" spans="1:4" x14ac:dyDescent="0.2">
      <c r="A965" s="24">
        <v>43252</v>
      </c>
      <c r="B965" s="25" t="s">
        <v>134</v>
      </c>
      <c r="C965" s="25" t="s">
        <v>4</v>
      </c>
      <c r="D965" s="51">
        <v>26701</v>
      </c>
    </row>
    <row r="966" spans="1:4" x14ac:dyDescent="0.2">
      <c r="A966" s="24">
        <v>43252</v>
      </c>
      <c r="B966" s="25" t="s">
        <v>135</v>
      </c>
      <c r="C966" s="25" t="s">
        <v>4</v>
      </c>
      <c r="D966" s="51">
        <v>18362</v>
      </c>
    </row>
    <row r="967" spans="1:4" x14ac:dyDescent="0.2">
      <c r="A967" s="24">
        <v>43252</v>
      </c>
      <c r="B967" s="25" t="s">
        <v>136</v>
      </c>
      <c r="C967" s="25" t="s">
        <v>4</v>
      </c>
      <c r="D967" s="51">
        <v>5138</v>
      </c>
    </row>
    <row r="968" spans="1:4" x14ac:dyDescent="0.2">
      <c r="A968" s="24">
        <v>43252</v>
      </c>
      <c r="B968" s="25" t="s">
        <v>119</v>
      </c>
      <c r="C968" s="25" t="s">
        <v>4</v>
      </c>
      <c r="D968" s="51">
        <v>1499845</v>
      </c>
    </row>
    <row r="969" spans="1:4" x14ac:dyDescent="0.2">
      <c r="A969" s="24">
        <v>43252</v>
      </c>
      <c r="B969" s="25" t="s">
        <v>138</v>
      </c>
      <c r="C969" s="25" t="s">
        <v>4</v>
      </c>
      <c r="D969" s="51">
        <v>4</v>
      </c>
    </row>
    <row r="970" spans="1:4" x14ac:dyDescent="0.2">
      <c r="A970" s="24">
        <v>43252</v>
      </c>
      <c r="B970" s="25" t="s">
        <v>139</v>
      </c>
      <c r="C970" s="25" t="s">
        <v>4</v>
      </c>
      <c r="D970" s="51">
        <v>216</v>
      </c>
    </row>
    <row r="971" spans="1:4" x14ac:dyDescent="0.2">
      <c r="A971" s="24">
        <v>43252</v>
      </c>
      <c r="B971" s="25" t="s">
        <v>120</v>
      </c>
      <c r="C971" s="25" t="s">
        <v>4</v>
      </c>
      <c r="D971" s="51">
        <v>71909</v>
      </c>
    </row>
    <row r="972" spans="1:4" x14ac:dyDescent="0.2">
      <c r="A972" s="24">
        <v>43252</v>
      </c>
      <c r="B972" s="25" t="s">
        <v>121</v>
      </c>
      <c r="C972" s="25" t="s">
        <v>4</v>
      </c>
      <c r="D972" s="51">
        <v>37474</v>
      </c>
    </row>
    <row r="973" spans="1:4" x14ac:dyDescent="0.2">
      <c r="A973" s="24">
        <v>43252</v>
      </c>
      <c r="B973" s="25" t="s">
        <v>140</v>
      </c>
      <c r="C973" s="25" t="s">
        <v>4</v>
      </c>
      <c r="D973" s="51">
        <v>1896</v>
      </c>
    </row>
    <row r="974" spans="1:4" x14ac:dyDescent="0.2">
      <c r="A974" s="24">
        <v>43252</v>
      </c>
      <c r="B974" s="25" t="s">
        <v>141</v>
      </c>
      <c r="C974" s="25" t="s">
        <v>4</v>
      </c>
      <c r="D974" s="51">
        <v>56620</v>
      </c>
    </row>
    <row r="975" spans="1:4" x14ac:dyDescent="0.2">
      <c r="A975" s="24">
        <v>43252</v>
      </c>
      <c r="B975" s="25" t="s">
        <v>122</v>
      </c>
      <c r="C975" s="25" t="s">
        <v>4</v>
      </c>
      <c r="D975" s="51">
        <v>2654907</v>
      </c>
    </row>
    <row r="976" spans="1:4" x14ac:dyDescent="0.2">
      <c r="A976" s="24">
        <v>43252</v>
      </c>
      <c r="B976" s="25" t="s">
        <v>123</v>
      </c>
      <c r="C976" s="25" t="s">
        <v>4</v>
      </c>
      <c r="D976" s="51">
        <v>3898801</v>
      </c>
    </row>
    <row r="977" spans="1:4" x14ac:dyDescent="0.2">
      <c r="A977" s="24">
        <v>43252</v>
      </c>
      <c r="B977" s="25" t="s">
        <v>117</v>
      </c>
      <c r="C977" s="25" t="s">
        <v>8</v>
      </c>
      <c r="D977" s="51">
        <v>769271</v>
      </c>
    </row>
    <row r="978" spans="1:4" x14ac:dyDescent="0.2">
      <c r="A978" s="24">
        <v>43252</v>
      </c>
      <c r="B978" s="25" t="s">
        <v>137</v>
      </c>
      <c r="C978" s="25" t="s">
        <v>8</v>
      </c>
      <c r="D978" s="51">
        <v>20957</v>
      </c>
    </row>
    <row r="979" spans="1:4" x14ac:dyDescent="0.2">
      <c r="A979" s="24">
        <v>43252</v>
      </c>
      <c r="B979" s="25" t="s">
        <v>118</v>
      </c>
      <c r="C979" s="25" t="s">
        <v>8</v>
      </c>
      <c r="D979" s="51">
        <v>91982</v>
      </c>
    </row>
    <row r="980" spans="1:4" x14ac:dyDescent="0.2">
      <c r="A980" s="24">
        <v>43252</v>
      </c>
      <c r="B980" s="25" t="s">
        <v>119</v>
      </c>
      <c r="C980" s="25" t="s">
        <v>8</v>
      </c>
      <c r="D980" s="51">
        <v>24723</v>
      </c>
    </row>
    <row r="981" spans="1:4" x14ac:dyDescent="0.2">
      <c r="A981" s="24">
        <v>43252</v>
      </c>
      <c r="B981" s="25" t="s">
        <v>120</v>
      </c>
      <c r="C981" s="25" t="s">
        <v>8</v>
      </c>
      <c r="D981" s="51">
        <v>4474</v>
      </c>
    </row>
    <row r="982" spans="1:4" x14ac:dyDescent="0.2">
      <c r="A982" s="24">
        <v>43252</v>
      </c>
      <c r="B982" s="25" t="s">
        <v>121</v>
      </c>
      <c r="C982" s="25" t="s">
        <v>8</v>
      </c>
      <c r="D982" s="51">
        <v>1969</v>
      </c>
    </row>
    <row r="983" spans="1:4" x14ac:dyDescent="0.2">
      <c r="A983" s="24">
        <v>43252</v>
      </c>
      <c r="B983" s="25" t="s">
        <v>122</v>
      </c>
      <c r="C983" s="25" t="s">
        <v>8</v>
      </c>
      <c r="D983" s="51">
        <v>4600</v>
      </c>
    </row>
    <row r="984" spans="1:4" x14ac:dyDescent="0.2">
      <c r="A984" s="24">
        <v>43252</v>
      </c>
      <c r="B984" s="25" t="s">
        <v>123</v>
      </c>
      <c r="C984" s="25" t="s">
        <v>8</v>
      </c>
      <c r="D984" s="51">
        <v>171076</v>
      </c>
    </row>
    <row r="985" spans="1:4" x14ac:dyDescent="0.2">
      <c r="A985" s="24">
        <v>43252</v>
      </c>
      <c r="B985" s="25" t="s">
        <v>124</v>
      </c>
      <c r="C985" s="25" t="s">
        <v>8</v>
      </c>
      <c r="D985" s="51">
        <v>39564</v>
      </c>
    </row>
    <row r="986" spans="1:4" x14ac:dyDescent="0.2">
      <c r="A986" s="24">
        <v>43252</v>
      </c>
      <c r="B986" s="25" t="s">
        <v>125</v>
      </c>
      <c r="C986" s="25" t="s">
        <v>8</v>
      </c>
      <c r="D986" s="51">
        <v>11086</v>
      </c>
    </row>
    <row r="987" spans="1:4" x14ac:dyDescent="0.2">
      <c r="A987" s="24">
        <v>43252</v>
      </c>
      <c r="B987" s="25" t="s">
        <v>117</v>
      </c>
      <c r="C987" s="25" t="s">
        <v>26</v>
      </c>
      <c r="D987" s="51">
        <v>617941</v>
      </c>
    </row>
    <row r="988" spans="1:4" x14ac:dyDescent="0.2">
      <c r="A988" s="24">
        <v>43252</v>
      </c>
      <c r="B988" s="25" t="s">
        <v>137</v>
      </c>
      <c r="C988" s="25" t="s">
        <v>26</v>
      </c>
      <c r="D988" s="51">
        <v>7660</v>
      </c>
    </row>
    <row r="989" spans="1:4" x14ac:dyDescent="0.2">
      <c r="A989" s="24">
        <v>43252</v>
      </c>
      <c r="B989" s="25" t="s">
        <v>118</v>
      </c>
      <c r="C989" s="25" t="s">
        <v>26</v>
      </c>
      <c r="D989" s="51">
        <v>39212</v>
      </c>
    </row>
    <row r="990" spans="1:4" x14ac:dyDescent="0.2">
      <c r="A990" s="24">
        <v>43252</v>
      </c>
      <c r="B990" s="25" t="s">
        <v>119</v>
      </c>
      <c r="C990" s="25" t="s">
        <v>26</v>
      </c>
      <c r="D990" s="51">
        <v>32095</v>
      </c>
    </row>
    <row r="991" spans="1:4" x14ac:dyDescent="0.2">
      <c r="A991" s="24">
        <v>43252</v>
      </c>
      <c r="B991" s="25" t="s">
        <v>139</v>
      </c>
      <c r="C991" s="25" t="s">
        <v>26</v>
      </c>
      <c r="D991" s="51">
        <v>1</v>
      </c>
    </row>
    <row r="992" spans="1:4" x14ac:dyDescent="0.2">
      <c r="A992" s="24">
        <v>43252</v>
      </c>
      <c r="B992" s="25" t="s">
        <v>120</v>
      </c>
      <c r="C992" s="25" t="s">
        <v>26</v>
      </c>
      <c r="D992" s="51">
        <v>1</v>
      </c>
    </row>
    <row r="993" spans="1:4" x14ac:dyDescent="0.2">
      <c r="A993" s="24">
        <v>43252</v>
      </c>
      <c r="B993" s="25" t="s">
        <v>121</v>
      </c>
      <c r="C993" s="25" t="s">
        <v>26</v>
      </c>
      <c r="D993" s="51">
        <v>761</v>
      </c>
    </row>
    <row r="994" spans="1:4" x14ac:dyDescent="0.2">
      <c r="A994" s="24">
        <v>43252</v>
      </c>
      <c r="B994" s="25" t="s">
        <v>122</v>
      </c>
      <c r="C994" s="25" t="s">
        <v>26</v>
      </c>
      <c r="D994" s="51">
        <v>6613</v>
      </c>
    </row>
    <row r="995" spans="1:4" x14ac:dyDescent="0.2">
      <c r="A995" s="24">
        <v>43252</v>
      </c>
      <c r="B995" s="25" t="s">
        <v>123</v>
      </c>
      <c r="C995" s="25" t="s">
        <v>26</v>
      </c>
      <c r="D995" s="51">
        <v>139229</v>
      </c>
    </row>
    <row r="996" spans="1:4" x14ac:dyDescent="0.2">
      <c r="A996" s="24">
        <v>43252</v>
      </c>
      <c r="B996" s="25" t="s">
        <v>127</v>
      </c>
      <c r="C996" s="25" t="s">
        <v>26</v>
      </c>
      <c r="D996" s="51">
        <v>3644</v>
      </c>
    </row>
    <row r="997" spans="1:4" x14ac:dyDescent="0.2">
      <c r="A997" s="24">
        <v>43252</v>
      </c>
      <c r="B997" s="25" t="s">
        <v>128</v>
      </c>
      <c r="C997" s="25" t="s">
        <v>26</v>
      </c>
      <c r="D997" s="51">
        <v>792</v>
      </c>
    </row>
    <row r="998" spans="1:4" x14ac:dyDescent="0.2">
      <c r="A998" s="24">
        <v>43252</v>
      </c>
      <c r="B998" s="25" t="s">
        <v>117</v>
      </c>
      <c r="C998" s="25" t="s">
        <v>2</v>
      </c>
      <c r="D998" s="51">
        <v>24997620</v>
      </c>
    </row>
    <row r="999" spans="1:4" x14ac:dyDescent="0.2">
      <c r="A999" s="24">
        <v>43252</v>
      </c>
      <c r="B999" s="25" t="s">
        <v>118</v>
      </c>
      <c r="C999" s="25" t="s">
        <v>2</v>
      </c>
      <c r="D999" s="51">
        <v>1084919</v>
      </c>
    </row>
    <row r="1000" spans="1:4" x14ac:dyDescent="0.2">
      <c r="A1000" s="24">
        <v>43252</v>
      </c>
      <c r="B1000" s="25" t="s">
        <v>119</v>
      </c>
      <c r="C1000" s="25" t="s">
        <v>2</v>
      </c>
      <c r="D1000" s="51">
        <v>1925573</v>
      </c>
    </row>
    <row r="1001" spans="1:4" x14ac:dyDescent="0.2">
      <c r="A1001" s="24">
        <v>43252</v>
      </c>
      <c r="B1001" s="25" t="s">
        <v>138</v>
      </c>
      <c r="C1001" s="25" t="s">
        <v>2</v>
      </c>
      <c r="D1001" s="51">
        <v>3</v>
      </c>
    </row>
    <row r="1002" spans="1:4" x14ac:dyDescent="0.2">
      <c r="A1002" s="24">
        <v>43252</v>
      </c>
      <c r="B1002" s="25" t="s">
        <v>139</v>
      </c>
      <c r="C1002" s="25" t="s">
        <v>2</v>
      </c>
      <c r="D1002" s="51">
        <v>218</v>
      </c>
    </row>
    <row r="1003" spans="1:4" x14ac:dyDescent="0.2">
      <c r="A1003" s="24">
        <v>43252</v>
      </c>
      <c r="B1003" s="25" t="s">
        <v>120</v>
      </c>
      <c r="C1003" s="25" t="s">
        <v>2</v>
      </c>
      <c r="D1003" s="51">
        <v>291309</v>
      </c>
    </row>
    <row r="1004" spans="1:4" x14ac:dyDescent="0.2">
      <c r="A1004" s="24">
        <v>43252</v>
      </c>
      <c r="B1004" s="25" t="s">
        <v>121</v>
      </c>
      <c r="C1004" s="25" t="s">
        <v>2</v>
      </c>
      <c r="D1004" s="51">
        <v>29136</v>
      </c>
    </row>
    <row r="1005" spans="1:4" x14ac:dyDescent="0.2">
      <c r="A1005" s="24">
        <v>43252</v>
      </c>
      <c r="B1005" s="25" t="s">
        <v>122</v>
      </c>
      <c r="C1005" s="25" t="s">
        <v>2</v>
      </c>
      <c r="D1005" s="51">
        <v>1094868</v>
      </c>
    </row>
    <row r="1006" spans="1:4" x14ac:dyDescent="0.2">
      <c r="A1006" s="24">
        <v>43252</v>
      </c>
      <c r="B1006" s="25" t="s">
        <v>123</v>
      </c>
      <c r="C1006" s="25" t="s">
        <v>2</v>
      </c>
      <c r="D1006" s="51">
        <v>2811670</v>
      </c>
    </row>
    <row r="1007" spans="1:4" x14ac:dyDescent="0.2">
      <c r="A1007" s="24">
        <v>43252</v>
      </c>
      <c r="B1007" s="25" t="s">
        <v>129</v>
      </c>
      <c r="C1007" s="25" t="s">
        <v>2</v>
      </c>
      <c r="D1007" s="51">
        <v>304921</v>
      </c>
    </row>
    <row r="1008" spans="1:4" x14ac:dyDescent="0.2">
      <c r="A1008" s="24">
        <v>43252</v>
      </c>
      <c r="B1008" s="25" t="s">
        <v>130</v>
      </c>
      <c r="C1008" s="25" t="s">
        <v>2</v>
      </c>
      <c r="D1008" s="51">
        <v>64108</v>
      </c>
    </row>
    <row r="1009" spans="1:4" x14ac:dyDescent="0.2">
      <c r="A1009" s="24">
        <v>43282</v>
      </c>
      <c r="B1009" s="25" t="s">
        <v>117</v>
      </c>
      <c r="C1009" s="25" t="s">
        <v>4</v>
      </c>
      <c r="D1009" s="51">
        <v>14663512</v>
      </c>
    </row>
    <row r="1010" spans="1:4" x14ac:dyDescent="0.2">
      <c r="A1010" s="24">
        <v>43282</v>
      </c>
      <c r="B1010" s="25" t="s">
        <v>131</v>
      </c>
      <c r="C1010" s="25" t="s">
        <v>4</v>
      </c>
      <c r="D1010" s="51">
        <v>125994</v>
      </c>
    </row>
    <row r="1011" spans="1:4" x14ac:dyDescent="0.2">
      <c r="A1011" s="24">
        <v>43282</v>
      </c>
      <c r="B1011" s="25" t="s">
        <v>132</v>
      </c>
      <c r="C1011" s="25" t="s">
        <v>4</v>
      </c>
      <c r="D1011" s="51">
        <v>71134</v>
      </c>
    </row>
    <row r="1012" spans="1:4" x14ac:dyDescent="0.2">
      <c r="A1012" s="24">
        <v>43282</v>
      </c>
      <c r="B1012" s="25" t="s">
        <v>133</v>
      </c>
      <c r="C1012" s="25" t="s">
        <v>4</v>
      </c>
      <c r="D1012" s="51">
        <v>21913</v>
      </c>
    </row>
    <row r="1013" spans="1:4" x14ac:dyDescent="0.2">
      <c r="A1013" s="24">
        <v>43282</v>
      </c>
      <c r="B1013" s="25" t="s">
        <v>118</v>
      </c>
      <c r="C1013" s="25" t="s">
        <v>4</v>
      </c>
      <c r="D1013" s="51">
        <v>1478229</v>
      </c>
    </row>
    <row r="1014" spans="1:4" x14ac:dyDescent="0.2">
      <c r="A1014" s="24">
        <v>43282</v>
      </c>
      <c r="B1014" s="25" t="s">
        <v>134</v>
      </c>
      <c r="C1014" s="25" t="s">
        <v>4</v>
      </c>
      <c r="D1014" s="51">
        <v>41280</v>
      </c>
    </row>
    <row r="1015" spans="1:4" x14ac:dyDescent="0.2">
      <c r="A1015" s="24">
        <v>43282</v>
      </c>
      <c r="B1015" s="25" t="s">
        <v>135</v>
      </c>
      <c r="C1015" s="25" t="s">
        <v>4</v>
      </c>
      <c r="D1015" s="51">
        <v>31772</v>
      </c>
    </row>
    <row r="1016" spans="1:4" x14ac:dyDescent="0.2">
      <c r="A1016" s="24">
        <v>43282</v>
      </c>
      <c r="B1016" s="25" t="s">
        <v>136</v>
      </c>
      <c r="C1016" s="25" t="s">
        <v>4</v>
      </c>
      <c r="D1016" s="51">
        <v>8494</v>
      </c>
    </row>
    <row r="1017" spans="1:4" x14ac:dyDescent="0.2">
      <c r="A1017" s="24">
        <v>43282</v>
      </c>
      <c r="B1017" s="25" t="s">
        <v>119</v>
      </c>
      <c r="C1017" s="25" t="s">
        <v>4</v>
      </c>
      <c r="D1017" s="51">
        <v>1385605</v>
      </c>
    </row>
    <row r="1018" spans="1:4" x14ac:dyDescent="0.2">
      <c r="A1018" s="24">
        <v>43282</v>
      </c>
      <c r="B1018" s="25" t="s">
        <v>138</v>
      </c>
      <c r="C1018" s="25" t="s">
        <v>4</v>
      </c>
      <c r="D1018" s="51">
        <v>10</v>
      </c>
    </row>
    <row r="1019" spans="1:4" x14ac:dyDescent="0.2">
      <c r="A1019" s="24">
        <v>43282</v>
      </c>
      <c r="B1019" s="25" t="s">
        <v>139</v>
      </c>
      <c r="C1019" s="25" t="s">
        <v>4</v>
      </c>
      <c r="D1019" s="51">
        <v>263</v>
      </c>
    </row>
    <row r="1020" spans="1:4" x14ac:dyDescent="0.2">
      <c r="A1020" s="24">
        <v>43282</v>
      </c>
      <c r="B1020" s="25" t="s">
        <v>120</v>
      </c>
      <c r="C1020" s="25" t="s">
        <v>4</v>
      </c>
      <c r="D1020" s="51">
        <v>75107</v>
      </c>
    </row>
    <row r="1021" spans="1:4" x14ac:dyDescent="0.2">
      <c r="A1021" s="24">
        <v>43282</v>
      </c>
      <c r="B1021" s="25" t="s">
        <v>121</v>
      </c>
      <c r="C1021" s="25" t="s">
        <v>4</v>
      </c>
      <c r="D1021" s="51">
        <v>40049</v>
      </c>
    </row>
    <row r="1022" spans="1:4" x14ac:dyDescent="0.2">
      <c r="A1022" s="24">
        <v>43282</v>
      </c>
      <c r="B1022" s="25" t="s">
        <v>140</v>
      </c>
      <c r="C1022" s="25" t="s">
        <v>4</v>
      </c>
      <c r="D1022" s="51">
        <v>4117</v>
      </c>
    </row>
    <row r="1023" spans="1:4" x14ac:dyDescent="0.2">
      <c r="A1023" s="24">
        <v>43282</v>
      </c>
      <c r="B1023" s="25" t="s">
        <v>141</v>
      </c>
      <c r="C1023" s="25" t="s">
        <v>4</v>
      </c>
      <c r="D1023" s="51">
        <v>37643</v>
      </c>
    </row>
    <row r="1024" spans="1:4" x14ac:dyDescent="0.2">
      <c r="A1024" s="24">
        <v>43282</v>
      </c>
      <c r="B1024" s="25" t="s">
        <v>122</v>
      </c>
      <c r="C1024" s="25" t="s">
        <v>4</v>
      </c>
      <c r="D1024" s="51">
        <v>1360830</v>
      </c>
    </row>
    <row r="1025" spans="1:4" x14ac:dyDescent="0.2">
      <c r="A1025" s="24">
        <v>43282</v>
      </c>
      <c r="B1025" s="25" t="s">
        <v>123</v>
      </c>
      <c r="C1025" s="25" t="s">
        <v>4</v>
      </c>
      <c r="D1025" s="51">
        <v>4136888</v>
      </c>
    </row>
    <row r="1026" spans="1:4" x14ac:dyDescent="0.2">
      <c r="A1026" s="24">
        <v>43282</v>
      </c>
      <c r="B1026" s="25" t="s">
        <v>117</v>
      </c>
      <c r="C1026" s="25" t="s">
        <v>8</v>
      </c>
      <c r="D1026" s="51">
        <v>842678</v>
      </c>
    </row>
    <row r="1027" spans="1:4" x14ac:dyDescent="0.2">
      <c r="A1027" s="24">
        <v>43282</v>
      </c>
      <c r="B1027" s="25" t="s">
        <v>137</v>
      </c>
      <c r="C1027" s="25" t="s">
        <v>8</v>
      </c>
      <c r="D1027" s="51">
        <v>15079</v>
      </c>
    </row>
    <row r="1028" spans="1:4" x14ac:dyDescent="0.2">
      <c r="A1028" s="24">
        <v>43282</v>
      </c>
      <c r="B1028" s="25" t="s">
        <v>118</v>
      </c>
      <c r="C1028" s="25" t="s">
        <v>8</v>
      </c>
      <c r="D1028" s="51">
        <v>153090</v>
      </c>
    </row>
    <row r="1029" spans="1:4" x14ac:dyDescent="0.2">
      <c r="A1029" s="24">
        <v>43282</v>
      </c>
      <c r="B1029" s="25" t="s">
        <v>119</v>
      </c>
      <c r="C1029" s="25" t="s">
        <v>8</v>
      </c>
      <c r="D1029" s="51">
        <v>25100</v>
      </c>
    </row>
    <row r="1030" spans="1:4" x14ac:dyDescent="0.2">
      <c r="A1030" s="24">
        <v>43282</v>
      </c>
      <c r="B1030" s="25" t="s">
        <v>139</v>
      </c>
      <c r="C1030" s="25" t="s">
        <v>8</v>
      </c>
      <c r="D1030" s="51">
        <v>5</v>
      </c>
    </row>
    <row r="1031" spans="1:4" x14ac:dyDescent="0.2">
      <c r="A1031" s="24">
        <v>43282</v>
      </c>
      <c r="B1031" s="25" t="s">
        <v>120</v>
      </c>
      <c r="C1031" s="25" t="s">
        <v>8</v>
      </c>
      <c r="D1031" s="51">
        <v>4458</v>
      </c>
    </row>
    <row r="1032" spans="1:4" x14ac:dyDescent="0.2">
      <c r="A1032" s="24">
        <v>43282</v>
      </c>
      <c r="B1032" s="25" t="s">
        <v>121</v>
      </c>
      <c r="C1032" s="25" t="s">
        <v>8</v>
      </c>
      <c r="D1032" s="51">
        <v>2174</v>
      </c>
    </row>
    <row r="1033" spans="1:4" x14ac:dyDescent="0.2">
      <c r="A1033" s="24">
        <v>43282</v>
      </c>
      <c r="B1033" s="25" t="s">
        <v>122</v>
      </c>
      <c r="C1033" s="25" t="s">
        <v>8</v>
      </c>
      <c r="D1033" s="51">
        <v>2101</v>
      </c>
    </row>
    <row r="1034" spans="1:4" x14ac:dyDescent="0.2">
      <c r="A1034" s="24">
        <v>43282</v>
      </c>
      <c r="B1034" s="25" t="s">
        <v>123</v>
      </c>
      <c r="C1034" s="25" t="s">
        <v>8</v>
      </c>
      <c r="D1034" s="51">
        <v>187491</v>
      </c>
    </row>
    <row r="1035" spans="1:4" x14ac:dyDescent="0.2">
      <c r="A1035" s="24">
        <v>43282</v>
      </c>
      <c r="B1035" s="25" t="s">
        <v>124</v>
      </c>
      <c r="C1035" s="25" t="s">
        <v>8</v>
      </c>
      <c r="D1035" s="51">
        <v>44585</v>
      </c>
    </row>
    <row r="1036" spans="1:4" x14ac:dyDescent="0.2">
      <c r="A1036" s="24">
        <v>43282</v>
      </c>
      <c r="B1036" s="25" t="s">
        <v>125</v>
      </c>
      <c r="C1036" s="25" t="s">
        <v>8</v>
      </c>
      <c r="D1036" s="51">
        <v>17510</v>
      </c>
    </row>
    <row r="1037" spans="1:4" x14ac:dyDescent="0.2">
      <c r="A1037" s="24">
        <v>43282</v>
      </c>
      <c r="B1037" s="25" t="s">
        <v>117</v>
      </c>
      <c r="C1037" s="25" t="s">
        <v>26</v>
      </c>
      <c r="D1037" s="51">
        <v>623308</v>
      </c>
    </row>
    <row r="1038" spans="1:4" x14ac:dyDescent="0.2">
      <c r="A1038" s="24">
        <v>43282</v>
      </c>
      <c r="B1038" s="25" t="s">
        <v>137</v>
      </c>
      <c r="C1038" s="25" t="s">
        <v>26</v>
      </c>
      <c r="D1038" s="51">
        <v>9016</v>
      </c>
    </row>
    <row r="1039" spans="1:4" x14ac:dyDescent="0.2">
      <c r="A1039" s="24">
        <v>43282</v>
      </c>
      <c r="B1039" s="25" t="s">
        <v>118</v>
      </c>
      <c r="C1039" s="25" t="s">
        <v>26</v>
      </c>
      <c r="D1039" s="51">
        <v>53864</v>
      </c>
    </row>
    <row r="1040" spans="1:4" x14ac:dyDescent="0.2">
      <c r="A1040" s="24">
        <v>43282</v>
      </c>
      <c r="B1040" s="25" t="s">
        <v>119</v>
      </c>
      <c r="C1040" s="25" t="s">
        <v>26</v>
      </c>
      <c r="D1040" s="51">
        <v>29101</v>
      </c>
    </row>
    <row r="1041" spans="1:4" x14ac:dyDescent="0.2">
      <c r="A1041" s="24">
        <v>43282</v>
      </c>
      <c r="B1041" s="25" t="s">
        <v>120</v>
      </c>
      <c r="C1041" s="25" t="s">
        <v>26</v>
      </c>
      <c r="D1041" s="51">
        <v>21</v>
      </c>
    </row>
    <row r="1042" spans="1:4" x14ac:dyDescent="0.2">
      <c r="A1042" s="24">
        <v>43282</v>
      </c>
      <c r="B1042" s="25" t="s">
        <v>121</v>
      </c>
      <c r="C1042" s="25" t="s">
        <v>26</v>
      </c>
      <c r="D1042" s="51">
        <v>779</v>
      </c>
    </row>
    <row r="1043" spans="1:4" x14ac:dyDescent="0.2">
      <c r="A1043" s="24">
        <v>43282</v>
      </c>
      <c r="B1043" s="25" t="s">
        <v>122</v>
      </c>
      <c r="C1043" s="25" t="s">
        <v>26</v>
      </c>
      <c r="D1043" s="51">
        <v>3089</v>
      </c>
    </row>
    <row r="1044" spans="1:4" x14ac:dyDescent="0.2">
      <c r="A1044" s="24">
        <v>43282</v>
      </c>
      <c r="B1044" s="25" t="s">
        <v>123</v>
      </c>
      <c r="C1044" s="25" t="s">
        <v>26</v>
      </c>
      <c r="D1044" s="51">
        <v>137015</v>
      </c>
    </row>
    <row r="1045" spans="1:4" x14ac:dyDescent="0.2">
      <c r="A1045" s="24">
        <v>43282</v>
      </c>
      <c r="B1045" s="25" t="s">
        <v>127</v>
      </c>
      <c r="C1045" s="25" t="s">
        <v>26</v>
      </c>
      <c r="D1045" s="51">
        <v>3170</v>
      </c>
    </row>
    <row r="1046" spans="1:4" x14ac:dyDescent="0.2">
      <c r="A1046" s="24">
        <v>43282</v>
      </c>
      <c r="B1046" s="25" t="s">
        <v>128</v>
      </c>
      <c r="C1046" s="25" t="s">
        <v>26</v>
      </c>
      <c r="D1046" s="51">
        <v>1101</v>
      </c>
    </row>
    <row r="1047" spans="1:4" x14ac:dyDescent="0.2">
      <c r="A1047" s="24">
        <v>43282</v>
      </c>
      <c r="B1047" s="25" t="s">
        <v>117</v>
      </c>
      <c r="C1047" s="25" t="s">
        <v>2</v>
      </c>
      <c r="D1047" s="51">
        <v>25719570</v>
      </c>
    </row>
    <row r="1048" spans="1:4" x14ac:dyDescent="0.2">
      <c r="A1048" s="24">
        <v>43282</v>
      </c>
      <c r="B1048" s="25" t="s">
        <v>118</v>
      </c>
      <c r="C1048" s="25" t="s">
        <v>2</v>
      </c>
      <c r="D1048" s="51">
        <v>1441083</v>
      </c>
    </row>
    <row r="1049" spans="1:4" x14ac:dyDescent="0.2">
      <c r="A1049" s="24">
        <v>43282</v>
      </c>
      <c r="B1049" s="25" t="s">
        <v>119</v>
      </c>
      <c r="C1049" s="25" t="s">
        <v>2</v>
      </c>
      <c r="D1049" s="51">
        <v>1764348</v>
      </c>
    </row>
    <row r="1050" spans="1:4" x14ac:dyDescent="0.2">
      <c r="A1050" s="24">
        <v>43282</v>
      </c>
      <c r="B1050" s="25" t="s">
        <v>138</v>
      </c>
      <c r="C1050" s="25" t="s">
        <v>2</v>
      </c>
      <c r="D1050" s="51">
        <v>11</v>
      </c>
    </row>
    <row r="1051" spans="1:4" x14ac:dyDescent="0.2">
      <c r="A1051" s="24">
        <v>43282</v>
      </c>
      <c r="B1051" s="25" t="s">
        <v>139</v>
      </c>
      <c r="C1051" s="25" t="s">
        <v>2</v>
      </c>
      <c r="D1051" s="51">
        <v>295</v>
      </c>
    </row>
    <row r="1052" spans="1:4" x14ac:dyDescent="0.2">
      <c r="A1052" s="24">
        <v>43282</v>
      </c>
      <c r="B1052" s="25" t="s">
        <v>120</v>
      </c>
      <c r="C1052" s="25" t="s">
        <v>2</v>
      </c>
      <c r="D1052" s="51">
        <v>294039</v>
      </c>
    </row>
    <row r="1053" spans="1:4" x14ac:dyDescent="0.2">
      <c r="A1053" s="24">
        <v>43282</v>
      </c>
      <c r="B1053" s="25" t="s">
        <v>121</v>
      </c>
      <c r="C1053" s="25" t="s">
        <v>2</v>
      </c>
      <c r="D1053" s="51">
        <v>31329</v>
      </c>
    </row>
    <row r="1054" spans="1:4" x14ac:dyDescent="0.2">
      <c r="A1054" s="24">
        <v>43282</v>
      </c>
      <c r="B1054" s="25" t="s">
        <v>122</v>
      </c>
      <c r="C1054" s="25" t="s">
        <v>2</v>
      </c>
      <c r="D1054" s="51">
        <v>545831</v>
      </c>
    </row>
    <row r="1055" spans="1:4" x14ac:dyDescent="0.2">
      <c r="A1055" s="24">
        <v>43282</v>
      </c>
      <c r="B1055" s="25" t="s">
        <v>123</v>
      </c>
      <c r="C1055" s="25" t="s">
        <v>2</v>
      </c>
      <c r="D1055" s="51">
        <v>2906558</v>
      </c>
    </row>
    <row r="1056" spans="1:4" x14ac:dyDescent="0.2">
      <c r="A1056" s="24">
        <v>43282</v>
      </c>
      <c r="B1056" s="25" t="s">
        <v>129</v>
      </c>
      <c r="C1056" s="25" t="s">
        <v>2</v>
      </c>
      <c r="D1056" s="51">
        <v>273148</v>
      </c>
    </row>
    <row r="1057" spans="1:4" x14ac:dyDescent="0.2">
      <c r="A1057" s="24">
        <v>43282</v>
      </c>
      <c r="B1057" s="25" t="s">
        <v>130</v>
      </c>
      <c r="C1057" s="25" t="s">
        <v>2</v>
      </c>
      <c r="D1057" s="51">
        <v>77382</v>
      </c>
    </row>
    <row r="1058" spans="1:4" x14ac:dyDescent="0.2">
      <c r="A1058" s="24">
        <v>43313</v>
      </c>
      <c r="B1058" s="25" t="s">
        <v>117</v>
      </c>
      <c r="C1058" s="25" t="s">
        <v>4</v>
      </c>
      <c r="D1058" s="51">
        <v>15671796</v>
      </c>
    </row>
    <row r="1059" spans="1:4" x14ac:dyDescent="0.2">
      <c r="A1059" s="24">
        <v>43313</v>
      </c>
      <c r="B1059" s="25" t="s">
        <v>131</v>
      </c>
      <c r="C1059" s="25" t="s">
        <v>4</v>
      </c>
      <c r="D1059" s="51">
        <v>117518</v>
      </c>
    </row>
    <row r="1060" spans="1:4" x14ac:dyDescent="0.2">
      <c r="A1060" s="24">
        <v>43313</v>
      </c>
      <c r="B1060" s="25" t="s">
        <v>132</v>
      </c>
      <c r="C1060" s="25" t="s">
        <v>4</v>
      </c>
      <c r="D1060" s="51">
        <v>66263</v>
      </c>
    </row>
    <row r="1061" spans="1:4" x14ac:dyDescent="0.2">
      <c r="A1061" s="24">
        <v>43313</v>
      </c>
      <c r="B1061" s="25" t="s">
        <v>133</v>
      </c>
      <c r="C1061" s="25" t="s">
        <v>4</v>
      </c>
      <c r="D1061" s="51">
        <v>20627</v>
      </c>
    </row>
    <row r="1062" spans="1:4" x14ac:dyDescent="0.2">
      <c r="A1062" s="24">
        <v>43313</v>
      </c>
      <c r="B1062" s="25" t="s">
        <v>118</v>
      </c>
      <c r="C1062" s="25" t="s">
        <v>4</v>
      </c>
      <c r="D1062" s="51">
        <v>1210309</v>
      </c>
    </row>
    <row r="1063" spans="1:4" x14ac:dyDescent="0.2">
      <c r="A1063" s="24">
        <v>43313</v>
      </c>
      <c r="B1063" s="25" t="s">
        <v>134</v>
      </c>
      <c r="C1063" s="25" t="s">
        <v>4</v>
      </c>
      <c r="D1063" s="51">
        <v>28189</v>
      </c>
    </row>
    <row r="1064" spans="1:4" x14ac:dyDescent="0.2">
      <c r="A1064" s="24">
        <v>43313</v>
      </c>
      <c r="B1064" s="25" t="s">
        <v>135</v>
      </c>
      <c r="C1064" s="25" t="s">
        <v>4</v>
      </c>
      <c r="D1064" s="51">
        <v>18873</v>
      </c>
    </row>
    <row r="1065" spans="1:4" x14ac:dyDescent="0.2">
      <c r="A1065" s="24">
        <v>43313</v>
      </c>
      <c r="B1065" s="25" t="s">
        <v>136</v>
      </c>
      <c r="C1065" s="25" t="s">
        <v>4</v>
      </c>
      <c r="D1065" s="51">
        <v>4924</v>
      </c>
    </row>
    <row r="1066" spans="1:4" x14ac:dyDescent="0.2">
      <c r="A1066" s="24">
        <v>43313</v>
      </c>
      <c r="B1066" s="25" t="s">
        <v>119</v>
      </c>
      <c r="C1066" s="25" t="s">
        <v>4</v>
      </c>
      <c r="D1066" s="51">
        <v>2255143</v>
      </c>
    </row>
    <row r="1067" spans="1:4" x14ac:dyDescent="0.2">
      <c r="A1067" s="24">
        <v>43313</v>
      </c>
      <c r="B1067" s="25" t="s">
        <v>138</v>
      </c>
      <c r="C1067" s="25" t="s">
        <v>4</v>
      </c>
      <c r="D1067" s="51">
        <v>15</v>
      </c>
    </row>
    <row r="1068" spans="1:4" x14ac:dyDescent="0.2">
      <c r="A1068" s="24">
        <v>43313</v>
      </c>
      <c r="B1068" s="25" t="s">
        <v>139</v>
      </c>
      <c r="C1068" s="25" t="s">
        <v>4</v>
      </c>
      <c r="D1068" s="51">
        <v>294</v>
      </c>
    </row>
    <row r="1069" spans="1:4" x14ac:dyDescent="0.2">
      <c r="A1069" s="24">
        <v>43313</v>
      </c>
      <c r="B1069" s="25" t="s">
        <v>120</v>
      </c>
      <c r="C1069" s="25" t="s">
        <v>4</v>
      </c>
      <c r="D1069" s="51">
        <v>84601</v>
      </c>
    </row>
    <row r="1070" spans="1:4" x14ac:dyDescent="0.2">
      <c r="A1070" s="24">
        <v>43313</v>
      </c>
      <c r="B1070" s="25" t="s">
        <v>121</v>
      </c>
      <c r="C1070" s="25" t="s">
        <v>4</v>
      </c>
      <c r="D1070" s="51">
        <v>42673</v>
      </c>
    </row>
    <row r="1071" spans="1:4" x14ac:dyDescent="0.2">
      <c r="A1071" s="24">
        <v>43313</v>
      </c>
      <c r="B1071" s="25" t="s">
        <v>140</v>
      </c>
      <c r="C1071" s="25" t="s">
        <v>4</v>
      </c>
      <c r="D1071" s="51">
        <v>4888</v>
      </c>
    </row>
    <row r="1072" spans="1:4" x14ac:dyDescent="0.2">
      <c r="A1072" s="24">
        <v>43313</v>
      </c>
      <c r="B1072" s="25" t="s">
        <v>141</v>
      </c>
      <c r="C1072" s="25" t="s">
        <v>4</v>
      </c>
      <c r="D1072" s="51">
        <v>68810</v>
      </c>
    </row>
    <row r="1073" spans="1:4" x14ac:dyDescent="0.2">
      <c r="A1073" s="24">
        <v>43313</v>
      </c>
      <c r="B1073" s="25" t="s">
        <v>122</v>
      </c>
      <c r="C1073" s="25" t="s">
        <v>4</v>
      </c>
      <c r="D1073" s="51">
        <v>3043783</v>
      </c>
    </row>
    <row r="1074" spans="1:4" x14ac:dyDescent="0.2">
      <c r="A1074" s="24">
        <v>43313</v>
      </c>
      <c r="B1074" s="25" t="s">
        <v>123</v>
      </c>
      <c r="C1074" s="25" t="s">
        <v>4</v>
      </c>
      <c r="D1074" s="51">
        <v>4327181</v>
      </c>
    </row>
    <row r="1075" spans="1:4" x14ac:dyDescent="0.2">
      <c r="A1075" s="24">
        <v>43313</v>
      </c>
      <c r="B1075" s="25" t="s">
        <v>117</v>
      </c>
      <c r="C1075" s="25" t="s">
        <v>8</v>
      </c>
      <c r="D1075" s="51">
        <v>756150</v>
      </c>
    </row>
    <row r="1076" spans="1:4" x14ac:dyDescent="0.2">
      <c r="A1076" s="24">
        <v>43313</v>
      </c>
      <c r="B1076" s="25" t="s">
        <v>137</v>
      </c>
      <c r="C1076" s="25" t="s">
        <v>8</v>
      </c>
      <c r="D1076" s="51">
        <v>14406</v>
      </c>
    </row>
    <row r="1077" spans="1:4" x14ac:dyDescent="0.2">
      <c r="A1077" s="24">
        <v>43313</v>
      </c>
      <c r="B1077" s="25" t="s">
        <v>118</v>
      </c>
      <c r="C1077" s="25" t="s">
        <v>8</v>
      </c>
      <c r="D1077" s="51">
        <v>77616</v>
      </c>
    </row>
    <row r="1078" spans="1:4" x14ac:dyDescent="0.2">
      <c r="A1078" s="24">
        <v>43313</v>
      </c>
      <c r="B1078" s="25" t="s">
        <v>119</v>
      </c>
      <c r="C1078" s="25" t="s">
        <v>8</v>
      </c>
      <c r="D1078" s="51">
        <v>24487</v>
      </c>
    </row>
    <row r="1079" spans="1:4" x14ac:dyDescent="0.2">
      <c r="A1079" s="24">
        <v>43313</v>
      </c>
      <c r="B1079" s="25" t="s">
        <v>139</v>
      </c>
      <c r="C1079" s="25" t="s">
        <v>8</v>
      </c>
      <c r="D1079" s="51">
        <v>4</v>
      </c>
    </row>
    <row r="1080" spans="1:4" x14ac:dyDescent="0.2">
      <c r="A1080" s="24">
        <v>43313</v>
      </c>
      <c r="B1080" s="25" t="s">
        <v>120</v>
      </c>
      <c r="C1080" s="25" t="s">
        <v>8</v>
      </c>
      <c r="D1080" s="51">
        <v>3771</v>
      </c>
    </row>
    <row r="1081" spans="1:4" x14ac:dyDescent="0.2">
      <c r="A1081" s="24">
        <v>43313</v>
      </c>
      <c r="B1081" s="25" t="s">
        <v>121</v>
      </c>
      <c r="C1081" s="25" t="s">
        <v>8</v>
      </c>
      <c r="D1081" s="51">
        <v>1908</v>
      </c>
    </row>
    <row r="1082" spans="1:4" x14ac:dyDescent="0.2">
      <c r="A1082" s="24">
        <v>43313</v>
      </c>
      <c r="B1082" s="25" t="s">
        <v>122</v>
      </c>
      <c r="C1082" s="25" t="s">
        <v>8</v>
      </c>
      <c r="D1082" s="51">
        <v>5605</v>
      </c>
    </row>
    <row r="1083" spans="1:4" x14ac:dyDescent="0.2">
      <c r="A1083" s="24">
        <v>43313</v>
      </c>
      <c r="B1083" s="25" t="s">
        <v>123</v>
      </c>
      <c r="C1083" s="25" t="s">
        <v>8</v>
      </c>
      <c r="D1083" s="51">
        <v>168088</v>
      </c>
    </row>
    <row r="1084" spans="1:4" x14ac:dyDescent="0.2">
      <c r="A1084" s="24">
        <v>43313</v>
      </c>
      <c r="B1084" s="25" t="s">
        <v>124</v>
      </c>
      <c r="C1084" s="25" t="s">
        <v>8</v>
      </c>
      <c r="D1084" s="51">
        <v>41119</v>
      </c>
    </row>
    <row r="1085" spans="1:4" x14ac:dyDescent="0.2">
      <c r="A1085" s="24">
        <v>43313</v>
      </c>
      <c r="B1085" s="25" t="s">
        <v>125</v>
      </c>
      <c r="C1085" s="25" t="s">
        <v>8</v>
      </c>
      <c r="D1085" s="51">
        <v>10037</v>
      </c>
    </row>
    <row r="1086" spans="1:4" x14ac:dyDescent="0.2">
      <c r="A1086" s="24">
        <v>43313</v>
      </c>
      <c r="B1086" s="25" t="s">
        <v>117</v>
      </c>
      <c r="C1086" s="25" t="s">
        <v>26</v>
      </c>
      <c r="D1086" s="51">
        <v>635271</v>
      </c>
    </row>
    <row r="1087" spans="1:4" x14ac:dyDescent="0.2">
      <c r="A1087" s="24">
        <v>43313</v>
      </c>
      <c r="B1087" s="25" t="s">
        <v>137</v>
      </c>
      <c r="C1087" s="25" t="s">
        <v>26</v>
      </c>
      <c r="D1087" s="51">
        <v>9575</v>
      </c>
    </row>
    <row r="1088" spans="1:4" x14ac:dyDescent="0.2">
      <c r="A1088" s="24">
        <v>43313</v>
      </c>
      <c r="B1088" s="25" t="s">
        <v>118</v>
      </c>
      <c r="C1088" s="25" t="s">
        <v>26</v>
      </c>
      <c r="D1088" s="51">
        <v>38176</v>
      </c>
    </row>
    <row r="1089" spans="1:4" x14ac:dyDescent="0.2">
      <c r="A1089" s="24">
        <v>43313</v>
      </c>
      <c r="B1089" s="25" t="s">
        <v>119</v>
      </c>
      <c r="C1089" s="25" t="s">
        <v>26</v>
      </c>
      <c r="D1089" s="51">
        <v>33463</v>
      </c>
    </row>
    <row r="1090" spans="1:4" x14ac:dyDescent="0.2">
      <c r="A1090" s="24">
        <v>43313</v>
      </c>
      <c r="B1090" s="25" t="s">
        <v>120</v>
      </c>
      <c r="C1090" s="25" t="s">
        <v>26</v>
      </c>
      <c r="D1090" s="51">
        <v>916</v>
      </c>
    </row>
    <row r="1091" spans="1:4" x14ac:dyDescent="0.2">
      <c r="A1091" s="24">
        <v>43313</v>
      </c>
      <c r="B1091" s="25" t="s">
        <v>121</v>
      </c>
      <c r="C1091" s="25" t="s">
        <v>26</v>
      </c>
      <c r="D1091" s="51">
        <v>912</v>
      </c>
    </row>
    <row r="1092" spans="1:4" x14ac:dyDescent="0.2">
      <c r="A1092" s="24">
        <v>43313</v>
      </c>
      <c r="B1092" s="25" t="s">
        <v>122</v>
      </c>
      <c r="C1092" s="25" t="s">
        <v>26</v>
      </c>
      <c r="D1092" s="51">
        <v>8120</v>
      </c>
    </row>
    <row r="1093" spans="1:4" x14ac:dyDescent="0.2">
      <c r="A1093" s="24">
        <v>43313</v>
      </c>
      <c r="B1093" s="25" t="s">
        <v>123</v>
      </c>
      <c r="C1093" s="25" t="s">
        <v>26</v>
      </c>
      <c r="D1093" s="51">
        <v>137236</v>
      </c>
    </row>
    <row r="1094" spans="1:4" x14ac:dyDescent="0.2">
      <c r="A1094" s="24">
        <v>43313</v>
      </c>
      <c r="B1094" s="25" t="s">
        <v>127</v>
      </c>
      <c r="C1094" s="25" t="s">
        <v>26</v>
      </c>
      <c r="D1094" s="51">
        <v>3475</v>
      </c>
    </row>
    <row r="1095" spans="1:4" x14ac:dyDescent="0.2">
      <c r="A1095" s="24">
        <v>43313</v>
      </c>
      <c r="B1095" s="25" t="s">
        <v>128</v>
      </c>
      <c r="C1095" s="25" t="s">
        <v>26</v>
      </c>
      <c r="D1095" s="51">
        <v>645</v>
      </c>
    </row>
    <row r="1096" spans="1:4" x14ac:dyDescent="0.2">
      <c r="A1096" s="24">
        <v>43313</v>
      </c>
      <c r="B1096" s="25" t="s">
        <v>117</v>
      </c>
      <c r="C1096" s="25" t="s">
        <v>2</v>
      </c>
      <c r="D1096" s="51">
        <v>27068989</v>
      </c>
    </row>
    <row r="1097" spans="1:4" x14ac:dyDescent="0.2">
      <c r="A1097" s="24">
        <v>43313</v>
      </c>
      <c r="B1097" s="25" t="s">
        <v>118</v>
      </c>
      <c r="C1097" s="25" t="s">
        <v>2</v>
      </c>
      <c r="D1097" s="51">
        <v>982120</v>
      </c>
    </row>
    <row r="1098" spans="1:4" x14ac:dyDescent="0.2">
      <c r="A1098" s="24">
        <v>43313</v>
      </c>
      <c r="B1098" s="25" t="s">
        <v>119</v>
      </c>
      <c r="C1098" s="25" t="s">
        <v>2</v>
      </c>
      <c r="D1098" s="51">
        <v>2740748</v>
      </c>
    </row>
    <row r="1099" spans="1:4" x14ac:dyDescent="0.2">
      <c r="A1099" s="24">
        <v>43313</v>
      </c>
      <c r="B1099" s="25" t="s">
        <v>138</v>
      </c>
      <c r="C1099" s="25" t="s">
        <v>2</v>
      </c>
      <c r="D1099" s="51">
        <v>14</v>
      </c>
    </row>
    <row r="1100" spans="1:4" x14ac:dyDescent="0.2">
      <c r="A1100" s="24">
        <v>43313</v>
      </c>
      <c r="B1100" s="25" t="s">
        <v>139</v>
      </c>
      <c r="C1100" s="25" t="s">
        <v>2</v>
      </c>
      <c r="D1100" s="51">
        <v>312</v>
      </c>
    </row>
    <row r="1101" spans="1:4" x14ac:dyDescent="0.2">
      <c r="A1101" s="24">
        <v>43313</v>
      </c>
      <c r="B1101" s="25" t="s">
        <v>120</v>
      </c>
      <c r="C1101" s="25" t="s">
        <v>2</v>
      </c>
      <c r="D1101" s="51">
        <v>302280</v>
      </c>
    </row>
    <row r="1102" spans="1:4" x14ac:dyDescent="0.2">
      <c r="A1102" s="24">
        <v>43313</v>
      </c>
      <c r="B1102" s="25" t="s">
        <v>121</v>
      </c>
      <c r="C1102" s="25" t="s">
        <v>2</v>
      </c>
      <c r="D1102" s="51">
        <v>32190</v>
      </c>
    </row>
    <row r="1103" spans="1:4" x14ac:dyDescent="0.2">
      <c r="A1103" s="24">
        <v>43313</v>
      </c>
      <c r="B1103" s="25" t="s">
        <v>122</v>
      </c>
      <c r="C1103" s="25" t="s">
        <v>2</v>
      </c>
      <c r="D1103" s="51">
        <v>1254541</v>
      </c>
    </row>
    <row r="1104" spans="1:4" x14ac:dyDescent="0.2">
      <c r="A1104" s="24">
        <v>43313</v>
      </c>
      <c r="B1104" s="25" t="s">
        <v>123</v>
      </c>
      <c r="C1104" s="25" t="s">
        <v>2</v>
      </c>
      <c r="D1104" s="51">
        <v>2992574</v>
      </c>
    </row>
    <row r="1105" spans="1:4" x14ac:dyDescent="0.2">
      <c r="A1105" s="24">
        <v>43313</v>
      </c>
      <c r="B1105" s="25" t="s">
        <v>129</v>
      </c>
      <c r="C1105" s="25" t="s">
        <v>2</v>
      </c>
      <c r="D1105" s="51">
        <v>286608</v>
      </c>
    </row>
    <row r="1106" spans="1:4" x14ac:dyDescent="0.2">
      <c r="A1106" s="24">
        <v>43313</v>
      </c>
      <c r="B1106" s="25" t="s">
        <v>130</v>
      </c>
      <c r="C1106" s="25" t="s">
        <v>2</v>
      </c>
      <c r="D1106" s="51">
        <v>53424</v>
      </c>
    </row>
    <row r="1107" spans="1:4" x14ac:dyDescent="0.2">
      <c r="A1107" s="24">
        <v>43344</v>
      </c>
      <c r="B1107" s="25" t="s">
        <v>117</v>
      </c>
      <c r="C1107" s="25" t="s">
        <v>4</v>
      </c>
      <c r="D1107" s="51">
        <v>14506860</v>
      </c>
    </row>
    <row r="1108" spans="1:4" x14ac:dyDescent="0.2">
      <c r="A1108" s="24">
        <v>43344</v>
      </c>
      <c r="B1108" s="25" t="s">
        <v>131</v>
      </c>
      <c r="C1108" s="25" t="s">
        <v>4</v>
      </c>
      <c r="D1108" s="51">
        <v>108216</v>
      </c>
    </row>
    <row r="1109" spans="1:4" x14ac:dyDescent="0.2">
      <c r="A1109" s="24">
        <v>43344</v>
      </c>
      <c r="B1109" s="25" t="s">
        <v>132</v>
      </c>
      <c r="C1109" s="25" t="s">
        <v>4</v>
      </c>
      <c r="D1109" s="51">
        <v>60426</v>
      </c>
    </row>
    <row r="1110" spans="1:4" x14ac:dyDescent="0.2">
      <c r="A1110" s="24">
        <v>43344</v>
      </c>
      <c r="B1110" s="25" t="s">
        <v>133</v>
      </c>
      <c r="C1110" s="25" t="s">
        <v>4</v>
      </c>
      <c r="D1110" s="51">
        <v>19918</v>
      </c>
    </row>
    <row r="1111" spans="1:4" x14ac:dyDescent="0.2">
      <c r="A1111" s="24">
        <v>43344</v>
      </c>
      <c r="B1111" s="25" t="s">
        <v>118</v>
      </c>
      <c r="C1111" s="25" t="s">
        <v>4</v>
      </c>
      <c r="D1111" s="51">
        <v>1174339</v>
      </c>
    </row>
    <row r="1112" spans="1:4" x14ac:dyDescent="0.2">
      <c r="A1112" s="24">
        <v>43344</v>
      </c>
      <c r="B1112" s="25" t="s">
        <v>134</v>
      </c>
      <c r="C1112" s="25" t="s">
        <v>4</v>
      </c>
      <c r="D1112" s="51">
        <v>27904</v>
      </c>
    </row>
    <row r="1113" spans="1:4" x14ac:dyDescent="0.2">
      <c r="A1113" s="24">
        <v>43344</v>
      </c>
      <c r="B1113" s="25" t="s">
        <v>135</v>
      </c>
      <c r="C1113" s="25" t="s">
        <v>4</v>
      </c>
      <c r="D1113" s="51">
        <v>19441</v>
      </c>
    </row>
    <row r="1114" spans="1:4" x14ac:dyDescent="0.2">
      <c r="A1114" s="24">
        <v>43344</v>
      </c>
      <c r="B1114" s="25" t="s">
        <v>136</v>
      </c>
      <c r="C1114" s="25" t="s">
        <v>4</v>
      </c>
      <c r="D1114" s="51">
        <v>5161</v>
      </c>
    </row>
    <row r="1115" spans="1:4" x14ac:dyDescent="0.2">
      <c r="A1115" s="24">
        <v>43344</v>
      </c>
      <c r="B1115" s="25" t="s">
        <v>119</v>
      </c>
      <c r="C1115" s="25" t="s">
        <v>4</v>
      </c>
      <c r="D1115" s="51">
        <v>1761178</v>
      </c>
    </row>
    <row r="1116" spans="1:4" x14ac:dyDescent="0.2">
      <c r="A1116" s="24">
        <v>43344</v>
      </c>
      <c r="B1116" s="25" t="s">
        <v>138</v>
      </c>
      <c r="C1116" s="25" t="s">
        <v>4</v>
      </c>
      <c r="D1116" s="51">
        <v>7</v>
      </c>
    </row>
    <row r="1117" spans="1:4" x14ac:dyDescent="0.2">
      <c r="A1117" s="24">
        <v>43344</v>
      </c>
      <c r="B1117" s="25" t="s">
        <v>139</v>
      </c>
      <c r="C1117" s="25" t="s">
        <v>4</v>
      </c>
      <c r="D1117" s="51">
        <v>259</v>
      </c>
    </row>
    <row r="1118" spans="1:4" x14ac:dyDescent="0.2">
      <c r="A1118" s="24">
        <v>43344</v>
      </c>
      <c r="B1118" s="25" t="s">
        <v>120</v>
      </c>
      <c r="C1118" s="25" t="s">
        <v>4</v>
      </c>
      <c r="D1118" s="51">
        <v>81888</v>
      </c>
    </row>
    <row r="1119" spans="1:4" x14ac:dyDescent="0.2">
      <c r="A1119" s="24">
        <v>43344</v>
      </c>
      <c r="B1119" s="25" t="s">
        <v>121</v>
      </c>
      <c r="C1119" s="25" t="s">
        <v>4</v>
      </c>
      <c r="D1119" s="51">
        <v>38771</v>
      </c>
    </row>
    <row r="1120" spans="1:4" x14ac:dyDescent="0.2">
      <c r="A1120" s="24">
        <v>43344</v>
      </c>
      <c r="B1120" s="25" t="s">
        <v>140</v>
      </c>
      <c r="C1120" s="25" t="s">
        <v>4</v>
      </c>
      <c r="D1120" s="51">
        <v>4679</v>
      </c>
    </row>
    <row r="1121" spans="1:4" x14ac:dyDescent="0.2">
      <c r="A1121" s="24">
        <v>43344</v>
      </c>
      <c r="B1121" s="25" t="s">
        <v>141</v>
      </c>
      <c r="C1121" s="25" t="s">
        <v>4</v>
      </c>
      <c r="D1121" s="51">
        <v>66227</v>
      </c>
    </row>
    <row r="1122" spans="1:4" x14ac:dyDescent="0.2">
      <c r="A1122" s="24">
        <v>43344</v>
      </c>
      <c r="B1122" s="25" t="s">
        <v>122</v>
      </c>
      <c r="C1122" s="25" t="s">
        <v>4</v>
      </c>
      <c r="D1122" s="51">
        <v>2566165</v>
      </c>
    </row>
    <row r="1123" spans="1:4" x14ac:dyDescent="0.2">
      <c r="A1123" s="24">
        <v>43344</v>
      </c>
      <c r="B1123" s="25" t="s">
        <v>123</v>
      </c>
      <c r="C1123" s="25" t="s">
        <v>4</v>
      </c>
      <c r="D1123" s="51">
        <v>4000218</v>
      </c>
    </row>
    <row r="1124" spans="1:4" x14ac:dyDescent="0.2">
      <c r="A1124" s="24">
        <v>43344</v>
      </c>
      <c r="B1124" s="25" t="s">
        <v>117</v>
      </c>
      <c r="C1124" s="25" t="s">
        <v>8</v>
      </c>
      <c r="D1124" s="51">
        <v>781681</v>
      </c>
    </row>
    <row r="1125" spans="1:4" x14ac:dyDescent="0.2">
      <c r="A1125" s="24">
        <v>43344</v>
      </c>
      <c r="B1125" s="25" t="s">
        <v>137</v>
      </c>
      <c r="C1125" s="25" t="s">
        <v>8</v>
      </c>
      <c r="D1125" s="51">
        <v>13924</v>
      </c>
    </row>
    <row r="1126" spans="1:4" x14ac:dyDescent="0.2">
      <c r="A1126" s="24">
        <v>43344</v>
      </c>
      <c r="B1126" s="25" t="s">
        <v>118</v>
      </c>
      <c r="C1126" s="25" t="s">
        <v>8</v>
      </c>
      <c r="D1126" s="51">
        <v>83827</v>
      </c>
    </row>
    <row r="1127" spans="1:4" x14ac:dyDescent="0.2">
      <c r="A1127" s="24">
        <v>43344</v>
      </c>
      <c r="B1127" s="25" t="s">
        <v>119</v>
      </c>
      <c r="C1127" s="25" t="s">
        <v>8</v>
      </c>
      <c r="D1127" s="51">
        <v>22900</v>
      </c>
    </row>
    <row r="1128" spans="1:4" x14ac:dyDescent="0.2">
      <c r="A1128" s="24">
        <v>43344</v>
      </c>
      <c r="B1128" s="25" t="s">
        <v>139</v>
      </c>
      <c r="C1128" s="25" t="s">
        <v>8</v>
      </c>
      <c r="D1128" s="51">
        <v>1</v>
      </c>
    </row>
    <row r="1129" spans="1:4" x14ac:dyDescent="0.2">
      <c r="A1129" s="24">
        <v>43344</v>
      </c>
      <c r="B1129" s="25" t="s">
        <v>120</v>
      </c>
      <c r="C1129" s="25" t="s">
        <v>8</v>
      </c>
      <c r="D1129" s="51">
        <v>4119</v>
      </c>
    </row>
    <row r="1130" spans="1:4" x14ac:dyDescent="0.2">
      <c r="A1130" s="24">
        <v>43344</v>
      </c>
      <c r="B1130" s="25" t="s">
        <v>121</v>
      </c>
      <c r="C1130" s="25" t="s">
        <v>8</v>
      </c>
      <c r="D1130" s="51">
        <v>2004</v>
      </c>
    </row>
    <row r="1131" spans="1:4" x14ac:dyDescent="0.2">
      <c r="A1131" s="24">
        <v>43344</v>
      </c>
      <c r="B1131" s="25" t="s">
        <v>122</v>
      </c>
      <c r="C1131" s="25" t="s">
        <v>8</v>
      </c>
      <c r="D1131" s="51">
        <v>4833</v>
      </c>
    </row>
    <row r="1132" spans="1:4" x14ac:dyDescent="0.2">
      <c r="A1132" s="24">
        <v>43344</v>
      </c>
      <c r="B1132" s="25" t="s">
        <v>123</v>
      </c>
      <c r="C1132" s="25" t="s">
        <v>8</v>
      </c>
      <c r="D1132" s="51">
        <v>170563</v>
      </c>
    </row>
    <row r="1133" spans="1:4" x14ac:dyDescent="0.2">
      <c r="A1133" s="24">
        <v>43344</v>
      </c>
      <c r="B1133" s="25" t="s">
        <v>124</v>
      </c>
      <c r="C1133" s="25" t="s">
        <v>8</v>
      </c>
      <c r="D1133" s="51">
        <v>41289</v>
      </c>
    </row>
    <row r="1134" spans="1:4" x14ac:dyDescent="0.2">
      <c r="A1134" s="24">
        <v>43344</v>
      </c>
      <c r="B1134" s="25" t="s">
        <v>125</v>
      </c>
      <c r="C1134" s="25" t="s">
        <v>8</v>
      </c>
      <c r="D1134" s="51">
        <v>8921</v>
      </c>
    </row>
    <row r="1135" spans="1:4" x14ac:dyDescent="0.2">
      <c r="A1135" s="24">
        <v>43344</v>
      </c>
      <c r="B1135" s="25" t="s">
        <v>117</v>
      </c>
      <c r="C1135" s="25" t="s">
        <v>26</v>
      </c>
      <c r="D1135" s="51">
        <v>618552</v>
      </c>
    </row>
    <row r="1136" spans="1:4" x14ac:dyDescent="0.2">
      <c r="A1136" s="24">
        <v>43344</v>
      </c>
      <c r="B1136" s="25" t="s">
        <v>137</v>
      </c>
      <c r="C1136" s="25" t="s">
        <v>26</v>
      </c>
      <c r="D1136" s="51">
        <v>9945</v>
      </c>
    </row>
    <row r="1137" spans="1:4" x14ac:dyDescent="0.2">
      <c r="A1137" s="24">
        <v>43344</v>
      </c>
      <c r="B1137" s="25" t="s">
        <v>118</v>
      </c>
      <c r="C1137" s="25" t="s">
        <v>26</v>
      </c>
      <c r="D1137" s="51">
        <v>37820</v>
      </c>
    </row>
    <row r="1138" spans="1:4" x14ac:dyDescent="0.2">
      <c r="A1138" s="24">
        <v>43344</v>
      </c>
      <c r="B1138" s="25" t="s">
        <v>119</v>
      </c>
      <c r="C1138" s="25" t="s">
        <v>26</v>
      </c>
      <c r="D1138" s="51">
        <v>30445</v>
      </c>
    </row>
    <row r="1139" spans="1:4" x14ac:dyDescent="0.2">
      <c r="A1139" s="24">
        <v>43344</v>
      </c>
      <c r="B1139" s="25" t="s">
        <v>139</v>
      </c>
      <c r="C1139" s="25" t="s">
        <v>26</v>
      </c>
      <c r="D1139" s="51">
        <v>1</v>
      </c>
    </row>
    <row r="1140" spans="1:4" x14ac:dyDescent="0.2">
      <c r="A1140" s="24">
        <v>43344</v>
      </c>
      <c r="B1140" s="25" t="s">
        <v>120</v>
      </c>
      <c r="C1140" s="25" t="s">
        <v>26</v>
      </c>
      <c r="D1140" s="51">
        <v>1189</v>
      </c>
    </row>
    <row r="1141" spans="1:4" x14ac:dyDescent="0.2">
      <c r="A1141" s="24">
        <v>43344</v>
      </c>
      <c r="B1141" s="25" t="s">
        <v>121</v>
      </c>
      <c r="C1141" s="25" t="s">
        <v>26</v>
      </c>
      <c r="D1141" s="51">
        <v>761</v>
      </c>
    </row>
    <row r="1142" spans="1:4" x14ac:dyDescent="0.2">
      <c r="A1142" s="24">
        <v>43344</v>
      </c>
      <c r="B1142" s="25" t="s">
        <v>122</v>
      </c>
      <c r="C1142" s="25" t="s">
        <v>26</v>
      </c>
      <c r="D1142" s="51">
        <v>7017</v>
      </c>
    </row>
    <row r="1143" spans="1:4" x14ac:dyDescent="0.2">
      <c r="A1143" s="24">
        <v>43344</v>
      </c>
      <c r="B1143" s="25" t="s">
        <v>123</v>
      </c>
      <c r="C1143" s="25" t="s">
        <v>26</v>
      </c>
      <c r="D1143" s="51">
        <v>137410</v>
      </c>
    </row>
    <row r="1144" spans="1:4" x14ac:dyDescent="0.2">
      <c r="A1144" s="24">
        <v>43344</v>
      </c>
      <c r="B1144" s="25" t="s">
        <v>127</v>
      </c>
      <c r="C1144" s="25" t="s">
        <v>26</v>
      </c>
      <c r="D1144" s="51">
        <v>3362</v>
      </c>
    </row>
    <row r="1145" spans="1:4" x14ac:dyDescent="0.2">
      <c r="A1145" s="24">
        <v>43344</v>
      </c>
      <c r="B1145" s="25" t="s">
        <v>128</v>
      </c>
      <c r="C1145" s="25" t="s">
        <v>26</v>
      </c>
      <c r="D1145" s="51">
        <v>594</v>
      </c>
    </row>
    <row r="1146" spans="1:4" x14ac:dyDescent="0.2">
      <c r="A1146" s="24">
        <v>43344</v>
      </c>
      <c r="B1146" s="25" t="s">
        <v>117</v>
      </c>
      <c r="C1146" s="25" t="s">
        <v>2</v>
      </c>
      <c r="D1146" s="51">
        <v>25212167</v>
      </c>
    </row>
    <row r="1147" spans="1:4" x14ac:dyDescent="0.2">
      <c r="A1147" s="24">
        <v>43344</v>
      </c>
      <c r="B1147" s="25" t="s">
        <v>118</v>
      </c>
      <c r="C1147" s="25" t="s">
        <v>2</v>
      </c>
      <c r="D1147" s="51">
        <v>1041145</v>
      </c>
    </row>
    <row r="1148" spans="1:4" x14ac:dyDescent="0.2">
      <c r="A1148" s="24">
        <v>43344</v>
      </c>
      <c r="B1148" s="25" t="s">
        <v>119</v>
      </c>
      <c r="C1148" s="25" t="s">
        <v>2</v>
      </c>
      <c r="D1148" s="51">
        <v>2168858</v>
      </c>
    </row>
    <row r="1149" spans="1:4" x14ac:dyDescent="0.2">
      <c r="A1149" s="24">
        <v>43344</v>
      </c>
      <c r="B1149" s="25" t="s">
        <v>138</v>
      </c>
      <c r="C1149" s="25" t="s">
        <v>2</v>
      </c>
      <c r="D1149" s="51">
        <v>9</v>
      </c>
    </row>
    <row r="1150" spans="1:4" x14ac:dyDescent="0.2">
      <c r="A1150" s="24">
        <v>43344</v>
      </c>
      <c r="B1150" s="25" t="s">
        <v>139</v>
      </c>
      <c r="C1150" s="25" t="s">
        <v>2</v>
      </c>
      <c r="D1150" s="51">
        <v>319</v>
      </c>
    </row>
    <row r="1151" spans="1:4" x14ac:dyDescent="0.2">
      <c r="A1151" s="24">
        <v>43344</v>
      </c>
      <c r="B1151" s="25" t="s">
        <v>120</v>
      </c>
      <c r="C1151" s="25" t="s">
        <v>2</v>
      </c>
      <c r="D1151" s="51">
        <v>283396</v>
      </c>
    </row>
    <row r="1152" spans="1:4" x14ac:dyDescent="0.2">
      <c r="A1152" s="24">
        <v>43344</v>
      </c>
      <c r="B1152" s="25" t="s">
        <v>121</v>
      </c>
      <c r="C1152" s="25" t="s">
        <v>2</v>
      </c>
      <c r="D1152" s="51">
        <v>30433</v>
      </c>
    </row>
    <row r="1153" spans="1:4" x14ac:dyDescent="0.2">
      <c r="A1153" s="24">
        <v>43344</v>
      </c>
      <c r="B1153" s="25" t="s">
        <v>122</v>
      </c>
      <c r="C1153" s="25" t="s">
        <v>2</v>
      </c>
      <c r="D1153" s="51">
        <v>1093627</v>
      </c>
    </row>
    <row r="1154" spans="1:4" x14ac:dyDescent="0.2">
      <c r="A1154" s="24">
        <v>43344</v>
      </c>
      <c r="B1154" s="25" t="s">
        <v>123</v>
      </c>
      <c r="C1154" s="25" t="s">
        <v>2</v>
      </c>
      <c r="D1154" s="51">
        <v>2853772</v>
      </c>
    </row>
    <row r="1155" spans="1:4" x14ac:dyDescent="0.2">
      <c r="A1155" s="24">
        <v>43344</v>
      </c>
      <c r="B1155" s="25" t="s">
        <v>129</v>
      </c>
      <c r="C1155" s="25" t="s">
        <v>2</v>
      </c>
      <c r="D1155" s="51">
        <v>284117</v>
      </c>
    </row>
    <row r="1156" spans="1:4" x14ac:dyDescent="0.2">
      <c r="A1156" s="24">
        <v>43344</v>
      </c>
      <c r="B1156" s="25" t="s">
        <v>130</v>
      </c>
      <c r="C1156" s="25" t="s">
        <v>2</v>
      </c>
      <c r="D1156" s="51">
        <v>53639</v>
      </c>
    </row>
    <row r="1157" spans="1:4" x14ac:dyDescent="0.2">
      <c r="A1157" s="24">
        <v>43374</v>
      </c>
      <c r="B1157" s="25" t="s">
        <v>117</v>
      </c>
      <c r="C1157" s="25" t="s">
        <v>4</v>
      </c>
      <c r="D1157" s="51">
        <v>15736379</v>
      </c>
    </row>
    <row r="1158" spans="1:4" x14ac:dyDescent="0.2">
      <c r="A1158" s="24">
        <v>43374</v>
      </c>
      <c r="B1158" s="25" t="s">
        <v>131</v>
      </c>
      <c r="C1158" s="25" t="s">
        <v>4</v>
      </c>
      <c r="D1158" s="51">
        <v>115049</v>
      </c>
    </row>
    <row r="1159" spans="1:4" x14ac:dyDescent="0.2">
      <c r="A1159" s="24">
        <v>43374</v>
      </c>
      <c r="B1159" s="25" t="s">
        <v>132</v>
      </c>
      <c r="C1159" s="25" t="s">
        <v>4</v>
      </c>
      <c r="D1159" s="51">
        <v>63772</v>
      </c>
    </row>
    <row r="1160" spans="1:4" x14ac:dyDescent="0.2">
      <c r="A1160" s="24">
        <v>43374</v>
      </c>
      <c r="B1160" s="25" t="s">
        <v>133</v>
      </c>
      <c r="C1160" s="25" t="s">
        <v>4</v>
      </c>
      <c r="D1160" s="51">
        <v>21456</v>
      </c>
    </row>
    <row r="1161" spans="1:4" x14ac:dyDescent="0.2">
      <c r="A1161" s="24">
        <v>43374</v>
      </c>
      <c r="B1161" s="25" t="s">
        <v>118</v>
      </c>
      <c r="C1161" s="25" t="s">
        <v>4</v>
      </c>
      <c r="D1161" s="51">
        <v>1418158</v>
      </c>
    </row>
    <row r="1162" spans="1:4" x14ac:dyDescent="0.2">
      <c r="A1162" s="24">
        <v>43374</v>
      </c>
      <c r="B1162" s="25" t="s">
        <v>134</v>
      </c>
      <c r="C1162" s="25" t="s">
        <v>4</v>
      </c>
      <c r="D1162" s="51">
        <v>34527</v>
      </c>
    </row>
    <row r="1163" spans="1:4" x14ac:dyDescent="0.2">
      <c r="A1163" s="24">
        <v>43374</v>
      </c>
      <c r="B1163" s="25" t="s">
        <v>135</v>
      </c>
      <c r="C1163" s="25" t="s">
        <v>4</v>
      </c>
      <c r="D1163" s="51">
        <v>25996</v>
      </c>
    </row>
    <row r="1164" spans="1:4" x14ac:dyDescent="0.2">
      <c r="A1164" s="24">
        <v>43374</v>
      </c>
      <c r="B1164" s="25" t="s">
        <v>136</v>
      </c>
      <c r="C1164" s="25" t="s">
        <v>4</v>
      </c>
      <c r="D1164" s="51">
        <v>7029</v>
      </c>
    </row>
    <row r="1165" spans="1:4" x14ac:dyDescent="0.2">
      <c r="A1165" s="24">
        <v>43374</v>
      </c>
      <c r="B1165" s="25" t="s">
        <v>119</v>
      </c>
      <c r="C1165" s="25" t="s">
        <v>4</v>
      </c>
      <c r="D1165" s="51">
        <v>1824756</v>
      </c>
    </row>
    <row r="1166" spans="1:4" x14ac:dyDescent="0.2">
      <c r="A1166" s="24">
        <v>43374</v>
      </c>
      <c r="B1166" s="25" t="s">
        <v>138</v>
      </c>
      <c r="C1166" s="25" t="s">
        <v>4</v>
      </c>
      <c r="D1166" s="51">
        <v>8</v>
      </c>
    </row>
    <row r="1167" spans="1:4" x14ac:dyDescent="0.2">
      <c r="A1167" s="24">
        <v>43374</v>
      </c>
      <c r="B1167" s="25" t="s">
        <v>139</v>
      </c>
      <c r="C1167" s="25" t="s">
        <v>4</v>
      </c>
      <c r="D1167" s="51">
        <v>369</v>
      </c>
    </row>
    <row r="1168" spans="1:4" x14ac:dyDescent="0.2">
      <c r="A1168" s="24">
        <v>43374</v>
      </c>
      <c r="B1168" s="25" t="s">
        <v>120</v>
      </c>
      <c r="C1168" s="25" t="s">
        <v>4</v>
      </c>
      <c r="D1168" s="51">
        <v>88362</v>
      </c>
    </row>
    <row r="1169" spans="1:4" x14ac:dyDescent="0.2">
      <c r="A1169" s="24">
        <v>43374</v>
      </c>
      <c r="B1169" s="25" t="s">
        <v>121</v>
      </c>
      <c r="C1169" s="25" t="s">
        <v>4</v>
      </c>
      <c r="D1169" s="51">
        <v>41366</v>
      </c>
    </row>
    <row r="1170" spans="1:4" x14ac:dyDescent="0.2">
      <c r="A1170" s="24">
        <v>43374</v>
      </c>
      <c r="B1170" s="25" t="s">
        <v>140</v>
      </c>
      <c r="C1170" s="25" t="s">
        <v>4</v>
      </c>
      <c r="D1170" s="51">
        <v>5295</v>
      </c>
    </row>
    <row r="1171" spans="1:4" x14ac:dyDescent="0.2">
      <c r="A1171" s="24">
        <v>43374</v>
      </c>
      <c r="B1171" s="25" t="s">
        <v>141</v>
      </c>
      <c r="C1171" s="25" t="s">
        <v>4</v>
      </c>
      <c r="D1171" s="51">
        <v>81377</v>
      </c>
    </row>
    <row r="1172" spans="1:4" x14ac:dyDescent="0.2">
      <c r="A1172" s="24">
        <v>43374</v>
      </c>
      <c r="B1172" s="25" t="s">
        <v>122</v>
      </c>
      <c r="C1172" s="25" t="s">
        <v>4</v>
      </c>
      <c r="D1172" s="51">
        <v>1721983</v>
      </c>
    </row>
    <row r="1173" spans="1:4" x14ac:dyDescent="0.2">
      <c r="A1173" s="24">
        <v>43374</v>
      </c>
      <c r="B1173" s="25" t="s">
        <v>123</v>
      </c>
      <c r="C1173" s="25" t="s">
        <v>4</v>
      </c>
      <c r="D1173" s="51">
        <v>4228361</v>
      </c>
    </row>
    <row r="1174" spans="1:4" x14ac:dyDescent="0.2">
      <c r="A1174" s="24">
        <v>43374</v>
      </c>
      <c r="B1174" s="25" t="s">
        <v>117</v>
      </c>
      <c r="C1174" s="25" t="s">
        <v>8</v>
      </c>
      <c r="D1174" s="51">
        <v>761780</v>
      </c>
    </row>
    <row r="1175" spans="1:4" x14ac:dyDescent="0.2">
      <c r="A1175" s="24">
        <v>43374</v>
      </c>
      <c r="B1175" s="25" t="s">
        <v>137</v>
      </c>
      <c r="C1175" s="25" t="s">
        <v>8</v>
      </c>
      <c r="D1175" s="51">
        <v>16320</v>
      </c>
    </row>
    <row r="1176" spans="1:4" x14ac:dyDescent="0.2">
      <c r="A1176" s="24">
        <v>43374</v>
      </c>
      <c r="B1176" s="25" t="s">
        <v>118</v>
      </c>
      <c r="C1176" s="25" t="s">
        <v>8</v>
      </c>
      <c r="D1176" s="51">
        <v>91168</v>
      </c>
    </row>
    <row r="1177" spans="1:4" x14ac:dyDescent="0.2">
      <c r="A1177" s="24">
        <v>43374</v>
      </c>
      <c r="B1177" s="25" t="s">
        <v>119</v>
      </c>
      <c r="C1177" s="25" t="s">
        <v>8</v>
      </c>
      <c r="D1177" s="51">
        <v>20365</v>
      </c>
    </row>
    <row r="1178" spans="1:4" x14ac:dyDescent="0.2">
      <c r="A1178" s="24">
        <v>43374</v>
      </c>
      <c r="B1178" s="25" t="s">
        <v>139</v>
      </c>
      <c r="C1178" s="25" t="s">
        <v>8</v>
      </c>
      <c r="D1178" s="51">
        <v>3</v>
      </c>
    </row>
    <row r="1179" spans="1:4" x14ac:dyDescent="0.2">
      <c r="A1179" s="24">
        <v>43374</v>
      </c>
      <c r="B1179" s="25" t="s">
        <v>120</v>
      </c>
      <c r="C1179" s="25" t="s">
        <v>8</v>
      </c>
      <c r="D1179" s="51">
        <v>3997</v>
      </c>
    </row>
    <row r="1180" spans="1:4" x14ac:dyDescent="0.2">
      <c r="A1180" s="24">
        <v>43374</v>
      </c>
      <c r="B1180" s="25" t="s">
        <v>121</v>
      </c>
      <c r="C1180" s="25" t="s">
        <v>8</v>
      </c>
      <c r="D1180" s="51">
        <v>1976</v>
      </c>
    </row>
    <row r="1181" spans="1:4" x14ac:dyDescent="0.2">
      <c r="A1181" s="24">
        <v>43374</v>
      </c>
      <c r="B1181" s="25" t="s">
        <v>122</v>
      </c>
      <c r="C1181" s="25" t="s">
        <v>8</v>
      </c>
      <c r="D1181" s="51">
        <v>2911</v>
      </c>
    </row>
    <row r="1182" spans="1:4" x14ac:dyDescent="0.2">
      <c r="A1182" s="24">
        <v>43374</v>
      </c>
      <c r="B1182" s="25" t="s">
        <v>123</v>
      </c>
      <c r="C1182" s="25" t="s">
        <v>8</v>
      </c>
      <c r="D1182" s="51">
        <v>171082</v>
      </c>
    </row>
    <row r="1183" spans="1:4" x14ac:dyDescent="0.2">
      <c r="A1183" s="24">
        <v>43374</v>
      </c>
      <c r="B1183" s="25" t="s">
        <v>124</v>
      </c>
      <c r="C1183" s="25" t="s">
        <v>8</v>
      </c>
      <c r="D1183" s="51">
        <v>45136</v>
      </c>
    </row>
    <row r="1184" spans="1:4" x14ac:dyDescent="0.2">
      <c r="A1184" s="24">
        <v>43374</v>
      </c>
      <c r="B1184" s="25" t="s">
        <v>125</v>
      </c>
      <c r="C1184" s="25" t="s">
        <v>8</v>
      </c>
      <c r="D1184" s="51">
        <v>9845</v>
      </c>
    </row>
    <row r="1185" spans="1:4" x14ac:dyDescent="0.2">
      <c r="A1185" s="24">
        <v>43374</v>
      </c>
      <c r="B1185" s="25" t="s">
        <v>117</v>
      </c>
      <c r="C1185" s="25" t="s">
        <v>26</v>
      </c>
      <c r="D1185" s="51">
        <v>609091</v>
      </c>
    </row>
    <row r="1186" spans="1:4" x14ac:dyDescent="0.2">
      <c r="A1186" s="24">
        <v>43374</v>
      </c>
      <c r="B1186" s="25" t="s">
        <v>137</v>
      </c>
      <c r="C1186" s="25" t="s">
        <v>26</v>
      </c>
      <c r="D1186" s="51">
        <v>10940</v>
      </c>
    </row>
    <row r="1187" spans="1:4" x14ac:dyDescent="0.2">
      <c r="A1187" s="24">
        <v>43374</v>
      </c>
      <c r="B1187" s="25" t="s">
        <v>118</v>
      </c>
      <c r="C1187" s="25" t="s">
        <v>26</v>
      </c>
      <c r="D1187" s="51">
        <v>39129</v>
      </c>
    </row>
    <row r="1188" spans="1:4" x14ac:dyDescent="0.2">
      <c r="A1188" s="24">
        <v>43374</v>
      </c>
      <c r="B1188" s="25" t="s">
        <v>119</v>
      </c>
      <c r="C1188" s="25" t="s">
        <v>26</v>
      </c>
      <c r="D1188" s="51">
        <v>27585</v>
      </c>
    </row>
    <row r="1189" spans="1:4" x14ac:dyDescent="0.2">
      <c r="A1189" s="24">
        <v>43374</v>
      </c>
      <c r="B1189" s="25" t="s">
        <v>139</v>
      </c>
      <c r="C1189" s="25" t="s">
        <v>26</v>
      </c>
      <c r="D1189" s="51">
        <v>2</v>
      </c>
    </row>
    <row r="1190" spans="1:4" x14ac:dyDescent="0.2">
      <c r="A1190" s="24">
        <v>43374</v>
      </c>
      <c r="B1190" s="25" t="s">
        <v>120</v>
      </c>
      <c r="C1190" s="25" t="s">
        <v>26</v>
      </c>
      <c r="D1190" s="51">
        <v>1275</v>
      </c>
    </row>
    <row r="1191" spans="1:4" x14ac:dyDescent="0.2">
      <c r="A1191" s="24">
        <v>43374</v>
      </c>
      <c r="B1191" s="25" t="s">
        <v>121</v>
      </c>
      <c r="C1191" s="25" t="s">
        <v>26</v>
      </c>
      <c r="D1191" s="51">
        <v>788</v>
      </c>
    </row>
    <row r="1192" spans="1:4" x14ac:dyDescent="0.2">
      <c r="A1192" s="24">
        <v>43374</v>
      </c>
      <c r="B1192" s="25" t="s">
        <v>122</v>
      </c>
      <c r="C1192" s="25" t="s">
        <v>26</v>
      </c>
      <c r="D1192" s="51">
        <v>4384</v>
      </c>
    </row>
    <row r="1193" spans="1:4" x14ac:dyDescent="0.2">
      <c r="A1193" s="24">
        <v>43374</v>
      </c>
      <c r="B1193" s="25" t="s">
        <v>123</v>
      </c>
      <c r="C1193" s="25" t="s">
        <v>26</v>
      </c>
      <c r="D1193" s="51">
        <v>130612</v>
      </c>
    </row>
    <row r="1194" spans="1:4" x14ac:dyDescent="0.2">
      <c r="A1194" s="24">
        <v>43374</v>
      </c>
      <c r="B1194" s="25" t="s">
        <v>127</v>
      </c>
      <c r="C1194" s="25" t="s">
        <v>26</v>
      </c>
      <c r="D1194" s="51">
        <v>2881</v>
      </c>
    </row>
    <row r="1195" spans="1:4" x14ac:dyDescent="0.2">
      <c r="A1195" s="24">
        <v>43374</v>
      </c>
      <c r="B1195" s="25" t="s">
        <v>128</v>
      </c>
      <c r="C1195" s="25" t="s">
        <v>26</v>
      </c>
      <c r="D1195" s="51">
        <v>624</v>
      </c>
    </row>
    <row r="1196" spans="1:4" x14ac:dyDescent="0.2">
      <c r="A1196" s="24">
        <v>43374</v>
      </c>
      <c r="B1196" s="25" t="s">
        <v>117</v>
      </c>
      <c r="C1196" s="25" t="s">
        <v>2</v>
      </c>
      <c r="D1196" s="51">
        <v>26675966</v>
      </c>
    </row>
    <row r="1197" spans="1:4" x14ac:dyDescent="0.2">
      <c r="A1197" s="24">
        <v>43374</v>
      </c>
      <c r="B1197" s="25" t="s">
        <v>118</v>
      </c>
      <c r="C1197" s="25" t="s">
        <v>2</v>
      </c>
      <c r="D1197" s="51">
        <v>1220318</v>
      </c>
    </row>
    <row r="1198" spans="1:4" x14ac:dyDescent="0.2">
      <c r="A1198" s="24">
        <v>43374</v>
      </c>
      <c r="B1198" s="25" t="s">
        <v>119</v>
      </c>
      <c r="C1198" s="25" t="s">
        <v>2</v>
      </c>
      <c r="D1198" s="51">
        <v>2223132</v>
      </c>
    </row>
    <row r="1199" spans="1:4" x14ac:dyDescent="0.2">
      <c r="A1199" s="24">
        <v>43374</v>
      </c>
      <c r="B1199" s="25" t="s">
        <v>138</v>
      </c>
      <c r="C1199" s="25" t="s">
        <v>2</v>
      </c>
      <c r="D1199" s="51">
        <v>10</v>
      </c>
    </row>
    <row r="1200" spans="1:4" x14ac:dyDescent="0.2">
      <c r="A1200" s="24">
        <v>43374</v>
      </c>
      <c r="B1200" s="25" t="s">
        <v>139</v>
      </c>
      <c r="C1200" s="25" t="s">
        <v>2</v>
      </c>
      <c r="D1200" s="51">
        <v>374</v>
      </c>
    </row>
    <row r="1201" spans="1:4" x14ac:dyDescent="0.2">
      <c r="A1201" s="24">
        <v>43374</v>
      </c>
      <c r="B1201" s="25" t="s">
        <v>120</v>
      </c>
      <c r="C1201" s="25" t="s">
        <v>2</v>
      </c>
      <c r="D1201" s="51">
        <v>311734</v>
      </c>
    </row>
    <row r="1202" spans="1:4" x14ac:dyDescent="0.2">
      <c r="A1202" s="24">
        <v>43374</v>
      </c>
      <c r="B1202" s="25" t="s">
        <v>121</v>
      </c>
      <c r="C1202" s="25" t="s">
        <v>2</v>
      </c>
      <c r="D1202" s="51">
        <v>35210</v>
      </c>
    </row>
    <row r="1203" spans="1:4" x14ac:dyDescent="0.2">
      <c r="A1203" s="24">
        <v>43374</v>
      </c>
      <c r="B1203" s="25" t="s">
        <v>122</v>
      </c>
      <c r="C1203" s="25" t="s">
        <v>2</v>
      </c>
      <c r="D1203" s="51">
        <v>692192</v>
      </c>
    </row>
    <row r="1204" spans="1:4" x14ac:dyDescent="0.2">
      <c r="A1204" s="24">
        <v>43374</v>
      </c>
      <c r="B1204" s="25" t="s">
        <v>123</v>
      </c>
      <c r="C1204" s="25" t="s">
        <v>2</v>
      </c>
      <c r="D1204" s="51">
        <v>2975395</v>
      </c>
    </row>
    <row r="1205" spans="1:4" x14ac:dyDescent="0.2">
      <c r="A1205" s="24">
        <v>43374</v>
      </c>
      <c r="B1205" s="25" t="s">
        <v>129</v>
      </c>
      <c r="C1205" s="25" t="s">
        <v>2</v>
      </c>
      <c r="D1205" s="51">
        <v>304980</v>
      </c>
    </row>
    <row r="1206" spans="1:4" x14ac:dyDescent="0.2">
      <c r="A1206" s="24">
        <v>43374</v>
      </c>
      <c r="B1206" s="25" t="s">
        <v>130</v>
      </c>
      <c r="C1206" s="25" t="s">
        <v>2</v>
      </c>
      <c r="D1206" s="51">
        <v>62339</v>
      </c>
    </row>
    <row r="1207" spans="1:4" x14ac:dyDescent="0.2">
      <c r="A1207" s="24">
        <v>43405</v>
      </c>
      <c r="B1207" s="25" t="s">
        <v>117</v>
      </c>
      <c r="C1207" s="25" t="s">
        <v>4</v>
      </c>
      <c r="D1207" s="51">
        <v>16168800</v>
      </c>
    </row>
    <row r="1208" spans="1:4" x14ac:dyDescent="0.2">
      <c r="A1208" s="24">
        <v>43405</v>
      </c>
      <c r="B1208" s="25" t="s">
        <v>131</v>
      </c>
      <c r="C1208" s="25" t="s">
        <v>4</v>
      </c>
      <c r="D1208" s="51">
        <v>118254</v>
      </c>
    </row>
    <row r="1209" spans="1:4" x14ac:dyDescent="0.2">
      <c r="A1209" s="24">
        <v>43405</v>
      </c>
      <c r="B1209" s="25" t="s">
        <v>132</v>
      </c>
      <c r="C1209" s="25" t="s">
        <v>4</v>
      </c>
      <c r="D1209" s="51">
        <v>66378</v>
      </c>
    </row>
    <row r="1210" spans="1:4" x14ac:dyDescent="0.2">
      <c r="A1210" s="24">
        <v>43405</v>
      </c>
      <c r="B1210" s="25" t="s">
        <v>133</v>
      </c>
      <c r="C1210" s="25" t="s">
        <v>4</v>
      </c>
      <c r="D1210" s="51">
        <v>21421</v>
      </c>
    </row>
    <row r="1211" spans="1:4" x14ac:dyDescent="0.2">
      <c r="A1211" s="24">
        <v>43405</v>
      </c>
      <c r="B1211" s="25" t="s">
        <v>118</v>
      </c>
      <c r="C1211" s="25" t="s">
        <v>4</v>
      </c>
      <c r="D1211" s="51">
        <v>1248624</v>
      </c>
    </row>
    <row r="1212" spans="1:4" x14ac:dyDescent="0.2">
      <c r="A1212" s="24">
        <v>43405</v>
      </c>
      <c r="B1212" s="25" t="s">
        <v>134</v>
      </c>
      <c r="C1212" s="25" t="s">
        <v>4</v>
      </c>
      <c r="D1212" s="51">
        <v>28168</v>
      </c>
    </row>
    <row r="1213" spans="1:4" x14ac:dyDescent="0.2">
      <c r="A1213" s="24">
        <v>43405</v>
      </c>
      <c r="B1213" s="25" t="s">
        <v>135</v>
      </c>
      <c r="C1213" s="25" t="s">
        <v>4</v>
      </c>
      <c r="D1213" s="51">
        <v>19078</v>
      </c>
    </row>
    <row r="1214" spans="1:4" x14ac:dyDescent="0.2">
      <c r="A1214" s="24">
        <v>43405</v>
      </c>
      <c r="B1214" s="25" t="s">
        <v>136</v>
      </c>
      <c r="C1214" s="25" t="s">
        <v>4</v>
      </c>
      <c r="D1214" s="51">
        <v>5046</v>
      </c>
    </row>
    <row r="1215" spans="1:4" x14ac:dyDescent="0.2">
      <c r="A1215" s="24">
        <v>43405</v>
      </c>
      <c r="B1215" s="25" t="s">
        <v>119</v>
      </c>
      <c r="C1215" s="25" t="s">
        <v>4</v>
      </c>
      <c r="D1215" s="51">
        <v>1440331</v>
      </c>
    </row>
    <row r="1216" spans="1:4" x14ac:dyDescent="0.2">
      <c r="A1216" s="24">
        <v>43405</v>
      </c>
      <c r="B1216" s="25" t="s">
        <v>138</v>
      </c>
      <c r="C1216" s="25" t="s">
        <v>4</v>
      </c>
      <c r="D1216" s="51">
        <v>25</v>
      </c>
    </row>
    <row r="1217" spans="1:4" x14ac:dyDescent="0.2">
      <c r="A1217" s="24">
        <v>43405</v>
      </c>
      <c r="B1217" s="25" t="s">
        <v>139</v>
      </c>
      <c r="C1217" s="25" t="s">
        <v>4</v>
      </c>
      <c r="D1217" s="51">
        <v>489</v>
      </c>
    </row>
    <row r="1218" spans="1:4" x14ac:dyDescent="0.2">
      <c r="A1218" s="24">
        <v>43405</v>
      </c>
      <c r="B1218" s="25" t="s">
        <v>120</v>
      </c>
      <c r="C1218" s="25" t="s">
        <v>4</v>
      </c>
      <c r="D1218" s="51">
        <v>91102</v>
      </c>
    </row>
    <row r="1219" spans="1:4" x14ac:dyDescent="0.2">
      <c r="A1219" s="24">
        <v>43405</v>
      </c>
      <c r="B1219" s="25" t="s">
        <v>121</v>
      </c>
      <c r="C1219" s="25" t="s">
        <v>4</v>
      </c>
      <c r="D1219" s="51">
        <v>42416</v>
      </c>
    </row>
    <row r="1220" spans="1:4" x14ac:dyDescent="0.2">
      <c r="A1220" s="24">
        <v>43405</v>
      </c>
      <c r="B1220" s="25" t="s">
        <v>140</v>
      </c>
      <c r="C1220" s="25" t="s">
        <v>4</v>
      </c>
      <c r="D1220" s="51">
        <v>5377</v>
      </c>
    </row>
    <row r="1221" spans="1:4" x14ac:dyDescent="0.2">
      <c r="A1221" s="24">
        <v>43405</v>
      </c>
      <c r="B1221" s="25" t="s">
        <v>141</v>
      </c>
      <c r="C1221" s="25" t="s">
        <v>4</v>
      </c>
      <c r="D1221" s="51">
        <v>174528</v>
      </c>
    </row>
    <row r="1222" spans="1:4" x14ac:dyDescent="0.2">
      <c r="A1222" s="24">
        <v>43405</v>
      </c>
      <c r="B1222" s="25" t="s">
        <v>122</v>
      </c>
      <c r="C1222" s="25" t="s">
        <v>4</v>
      </c>
      <c r="D1222" s="51">
        <v>2817780</v>
      </c>
    </row>
    <row r="1223" spans="1:4" x14ac:dyDescent="0.2">
      <c r="A1223" s="24">
        <v>43405</v>
      </c>
      <c r="B1223" s="25" t="s">
        <v>123</v>
      </c>
      <c r="C1223" s="25" t="s">
        <v>4</v>
      </c>
      <c r="D1223" s="51">
        <v>4382870</v>
      </c>
    </row>
    <row r="1224" spans="1:4" x14ac:dyDescent="0.2">
      <c r="A1224" s="24">
        <v>43405</v>
      </c>
      <c r="B1224" s="25" t="s">
        <v>117</v>
      </c>
      <c r="C1224" s="25" t="s">
        <v>8</v>
      </c>
      <c r="D1224" s="51">
        <v>890859</v>
      </c>
    </row>
    <row r="1225" spans="1:4" x14ac:dyDescent="0.2">
      <c r="A1225" s="24">
        <v>43405</v>
      </c>
      <c r="B1225" s="25" t="s">
        <v>137</v>
      </c>
      <c r="C1225" s="25" t="s">
        <v>8</v>
      </c>
      <c r="D1225" s="51">
        <v>20715</v>
      </c>
    </row>
    <row r="1226" spans="1:4" x14ac:dyDescent="0.2">
      <c r="A1226" s="24">
        <v>43405</v>
      </c>
      <c r="B1226" s="25" t="s">
        <v>118</v>
      </c>
      <c r="C1226" s="25" t="s">
        <v>8</v>
      </c>
      <c r="D1226" s="51">
        <v>74587</v>
      </c>
    </row>
    <row r="1227" spans="1:4" x14ac:dyDescent="0.2">
      <c r="A1227" s="24">
        <v>43405</v>
      </c>
      <c r="B1227" s="25" t="s">
        <v>119</v>
      </c>
      <c r="C1227" s="25" t="s">
        <v>8</v>
      </c>
      <c r="D1227" s="51">
        <v>23239</v>
      </c>
    </row>
    <row r="1228" spans="1:4" x14ac:dyDescent="0.2">
      <c r="A1228" s="24">
        <v>43405</v>
      </c>
      <c r="B1228" s="25" t="s">
        <v>139</v>
      </c>
      <c r="C1228" s="25" t="s">
        <v>8</v>
      </c>
      <c r="D1228" s="51">
        <v>4</v>
      </c>
    </row>
    <row r="1229" spans="1:4" x14ac:dyDescent="0.2">
      <c r="A1229" s="24">
        <v>43405</v>
      </c>
      <c r="B1229" s="25" t="s">
        <v>120</v>
      </c>
      <c r="C1229" s="25" t="s">
        <v>8</v>
      </c>
      <c r="D1229" s="51">
        <v>4554</v>
      </c>
    </row>
    <row r="1230" spans="1:4" x14ac:dyDescent="0.2">
      <c r="A1230" s="24">
        <v>43405</v>
      </c>
      <c r="B1230" s="25" t="s">
        <v>121</v>
      </c>
      <c r="C1230" s="25" t="s">
        <v>8</v>
      </c>
      <c r="D1230" s="51">
        <v>2079</v>
      </c>
    </row>
    <row r="1231" spans="1:4" x14ac:dyDescent="0.2">
      <c r="A1231" s="24">
        <v>43405</v>
      </c>
      <c r="B1231" s="25" t="s">
        <v>122</v>
      </c>
      <c r="C1231" s="25" t="s">
        <v>8</v>
      </c>
      <c r="D1231" s="51">
        <v>4822</v>
      </c>
    </row>
    <row r="1232" spans="1:4" x14ac:dyDescent="0.2">
      <c r="A1232" s="24">
        <v>43405</v>
      </c>
      <c r="B1232" s="25" t="s">
        <v>123</v>
      </c>
      <c r="C1232" s="25" t="s">
        <v>8</v>
      </c>
      <c r="D1232" s="51">
        <v>185824</v>
      </c>
    </row>
    <row r="1233" spans="1:4" x14ac:dyDescent="0.2">
      <c r="A1233" s="24">
        <v>43405</v>
      </c>
      <c r="B1233" s="25" t="s">
        <v>124</v>
      </c>
      <c r="C1233" s="25" t="s">
        <v>8</v>
      </c>
      <c r="D1233" s="51">
        <v>51364</v>
      </c>
    </row>
    <row r="1234" spans="1:4" x14ac:dyDescent="0.2">
      <c r="A1234" s="24">
        <v>43405</v>
      </c>
      <c r="B1234" s="25" t="s">
        <v>125</v>
      </c>
      <c r="C1234" s="25" t="s">
        <v>8</v>
      </c>
      <c r="D1234" s="51">
        <v>6894</v>
      </c>
    </row>
    <row r="1235" spans="1:4" x14ac:dyDescent="0.2">
      <c r="A1235" s="24">
        <v>43405</v>
      </c>
      <c r="B1235" s="25" t="s">
        <v>117</v>
      </c>
      <c r="C1235" s="25" t="s">
        <v>26</v>
      </c>
      <c r="D1235" s="51">
        <v>625784</v>
      </c>
    </row>
    <row r="1236" spans="1:4" x14ac:dyDescent="0.2">
      <c r="A1236" s="24">
        <v>43405</v>
      </c>
      <c r="B1236" s="25" t="s">
        <v>137</v>
      </c>
      <c r="C1236" s="25" t="s">
        <v>26</v>
      </c>
      <c r="D1236" s="51">
        <v>12894</v>
      </c>
    </row>
    <row r="1237" spans="1:4" x14ac:dyDescent="0.2">
      <c r="A1237" s="24">
        <v>43405</v>
      </c>
      <c r="B1237" s="25" t="s">
        <v>118</v>
      </c>
      <c r="C1237" s="25" t="s">
        <v>26</v>
      </c>
      <c r="D1237" s="51">
        <v>37283</v>
      </c>
    </row>
    <row r="1238" spans="1:4" x14ac:dyDescent="0.2">
      <c r="A1238" s="24">
        <v>43405</v>
      </c>
      <c r="B1238" s="25" t="s">
        <v>119</v>
      </c>
      <c r="C1238" s="25" t="s">
        <v>26</v>
      </c>
      <c r="D1238" s="51">
        <v>29136</v>
      </c>
    </row>
    <row r="1239" spans="1:4" x14ac:dyDescent="0.2">
      <c r="A1239" s="24">
        <v>43405</v>
      </c>
      <c r="B1239" s="25" t="s">
        <v>139</v>
      </c>
      <c r="C1239" s="25" t="s">
        <v>26</v>
      </c>
      <c r="D1239" s="51">
        <v>2</v>
      </c>
    </row>
    <row r="1240" spans="1:4" x14ac:dyDescent="0.2">
      <c r="A1240" s="24">
        <v>43405</v>
      </c>
      <c r="B1240" s="25" t="s">
        <v>120</v>
      </c>
      <c r="C1240" s="25" t="s">
        <v>26</v>
      </c>
      <c r="D1240" s="51">
        <v>1300</v>
      </c>
    </row>
    <row r="1241" spans="1:4" x14ac:dyDescent="0.2">
      <c r="A1241" s="24">
        <v>43405</v>
      </c>
      <c r="B1241" s="25" t="s">
        <v>121</v>
      </c>
      <c r="C1241" s="25" t="s">
        <v>26</v>
      </c>
      <c r="D1241" s="51">
        <v>888</v>
      </c>
    </row>
    <row r="1242" spans="1:4" x14ac:dyDescent="0.2">
      <c r="A1242" s="24">
        <v>43405</v>
      </c>
      <c r="B1242" s="25" t="s">
        <v>122</v>
      </c>
      <c r="C1242" s="25" t="s">
        <v>26</v>
      </c>
      <c r="D1242" s="51">
        <v>7228</v>
      </c>
    </row>
    <row r="1243" spans="1:4" x14ac:dyDescent="0.2">
      <c r="A1243" s="24">
        <v>43405</v>
      </c>
      <c r="B1243" s="25" t="s">
        <v>123</v>
      </c>
      <c r="C1243" s="25" t="s">
        <v>26</v>
      </c>
      <c r="D1243" s="51">
        <v>136671</v>
      </c>
    </row>
    <row r="1244" spans="1:4" x14ac:dyDescent="0.2">
      <c r="A1244" s="24">
        <v>43405</v>
      </c>
      <c r="B1244" s="25" t="s">
        <v>127</v>
      </c>
      <c r="C1244" s="25" t="s">
        <v>26</v>
      </c>
      <c r="D1244" s="51">
        <v>2752</v>
      </c>
    </row>
    <row r="1245" spans="1:4" x14ac:dyDescent="0.2">
      <c r="A1245" s="24">
        <v>43405</v>
      </c>
      <c r="B1245" s="25" t="s">
        <v>128</v>
      </c>
      <c r="C1245" s="25" t="s">
        <v>26</v>
      </c>
      <c r="D1245" s="51">
        <v>330</v>
      </c>
    </row>
    <row r="1246" spans="1:4" x14ac:dyDescent="0.2">
      <c r="A1246" s="24">
        <v>43405</v>
      </c>
      <c r="B1246" s="25" t="s">
        <v>117</v>
      </c>
      <c r="C1246" s="25" t="s">
        <v>2</v>
      </c>
      <c r="D1246" s="51">
        <v>27025348</v>
      </c>
    </row>
    <row r="1247" spans="1:4" x14ac:dyDescent="0.2">
      <c r="A1247" s="24">
        <v>43405</v>
      </c>
      <c r="B1247" s="25" t="s">
        <v>137</v>
      </c>
      <c r="C1247" s="25" t="s">
        <v>2</v>
      </c>
      <c r="D1247" s="51">
        <v>29061</v>
      </c>
    </row>
    <row r="1248" spans="1:4" x14ac:dyDescent="0.2">
      <c r="A1248" s="24">
        <v>43405</v>
      </c>
      <c r="B1248" s="25" t="s">
        <v>118</v>
      </c>
      <c r="C1248" s="25" t="s">
        <v>2</v>
      </c>
      <c r="D1248" s="51">
        <v>1033964</v>
      </c>
    </row>
    <row r="1249" spans="1:4" x14ac:dyDescent="0.2">
      <c r="A1249" s="24">
        <v>43405</v>
      </c>
      <c r="B1249" s="25" t="s">
        <v>119</v>
      </c>
      <c r="C1249" s="25" t="s">
        <v>2</v>
      </c>
      <c r="D1249" s="51">
        <v>1798391</v>
      </c>
    </row>
    <row r="1250" spans="1:4" x14ac:dyDescent="0.2">
      <c r="A1250" s="24">
        <v>43405</v>
      </c>
      <c r="B1250" s="25" t="s">
        <v>138</v>
      </c>
      <c r="C1250" s="25" t="s">
        <v>2</v>
      </c>
      <c r="D1250" s="51">
        <v>11</v>
      </c>
    </row>
    <row r="1251" spans="1:4" x14ac:dyDescent="0.2">
      <c r="A1251" s="24">
        <v>43405</v>
      </c>
      <c r="B1251" s="25" t="s">
        <v>139</v>
      </c>
      <c r="C1251" s="25" t="s">
        <v>2</v>
      </c>
      <c r="D1251" s="51">
        <v>459</v>
      </c>
    </row>
    <row r="1252" spans="1:4" x14ac:dyDescent="0.2">
      <c r="A1252" s="24">
        <v>43405</v>
      </c>
      <c r="B1252" s="25" t="s">
        <v>120</v>
      </c>
      <c r="C1252" s="25" t="s">
        <v>2</v>
      </c>
      <c r="D1252" s="51">
        <v>319734</v>
      </c>
    </row>
    <row r="1253" spans="1:4" x14ac:dyDescent="0.2">
      <c r="A1253" s="24">
        <v>43405</v>
      </c>
      <c r="B1253" s="25" t="s">
        <v>121</v>
      </c>
      <c r="C1253" s="25" t="s">
        <v>2</v>
      </c>
      <c r="D1253" s="51">
        <v>35582</v>
      </c>
    </row>
    <row r="1254" spans="1:4" x14ac:dyDescent="0.2">
      <c r="A1254" s="24">
        <v>43405</v>
      </c>
      <c r="B1254" s="25" t="s">
        <v>122</v>
      </c>
      <c r="C1254" s="25" t="s">
        <v>2</v>
      </c>
      <c r="D1254" s="51">
        <v>1152486</v>
      </c>
    </row>
    <row r="1255" spans="1:4" x14ac:dyDescent="0.2">
      <c r="A1255" s="24">
        <v>43405</v>
      </c>
      <c r="B1255" s="25" t="s">
        <v>123</v>
      </c>
      <c r="C1255" s="25" t="s">
        <v>2</v>
      </c>
      <c r="D1255" s="51">
        <v>3037349</v>
      </c>
    </row>
    <row r="1256" spans="1:4" x14ac:dyDescent="0.2">
      <c r="A1256" s="24">
        <v>43405</v>
      </c>
      <c r="B1256" s="25" t="s">
        <v>129</v>
      </c>
      <c r="C1256" s="25" t="s">
        <v>2</v>
      </c>
      <c r="D1256" s="51">
        <v>321285</v>
      </c>
    </row>
    <row r="1257" spans="1:4" x14ac:dyDescent="0.2">
      <c r="A1257" s="24">
        <v>43405</v>
      </c>
      <c r="B1257" s="25" t="s">
        <v>130</v>
      </c>
      <c r="C1257" s="25" t="s">
        <v>2</v>
      </c>
      <c r="D1257" s="51">
        <v>49652</v>
      </c>
    </row>
    <row r="1258" spans="1:4" x14ac:dyDescent="0.2">
      <c r="A1258" s="24">
        <v>43435</v>
      </c>
      <c r="B1258" s="25" t="s">
        <v>117</v>
      </c>
      <c r="C1258" s="25" t="s">
        <v>4</v>
      </c>
      <c r="D1258" s="51">
        <v>14104676</v>
      </c>
    </row>
    <row r="1259" spans="1:4" x14ac:dyDescent="0.2">
      <c r="A1259" s="24">
        <v>43435</v>
      </c>
      <c r="B1259" s="25" t="s">
        <v>131</v>
      </c>
      <c r="C1259" s="25" t="s">
        <v>4</v>
      </c>
      <c r="D1259" s="51">
        <v>112904</v>
      </c>
    </row>
    <row r="1260" spans="1:4" x14ac:dyDescent="0.2">
      <c r="A1260" s="24">
        <v>43435</v>
      </c>
      <c r="B1260" s="25" t="s">
        <v>132</v>
      </c>
      <c r="C1260" s="25" t="s">
        <v>4</v>
      </c>
      <c r="D1260" s="51">
        <v>63021</v>
      </c>
    </row>
    <row r="1261" spans="1:4" x14ac:dyDescent="0.2">
      <c r="A1261" s="24">
        <v>43435</v>
      </c>
      <c r="B1261" s="25" t="s">
        <v>133</v>
      </c>
      <c r="C1261" s="25" t="s">
        <v>4</v>
      </c>
      <c r="D1261" s="51">
        <v>21892</v>
      </c>
    </row>
    <row r="1262" spans="1:4" x14ac:dyDescent="0.2">
      <c r="A1262" s="24">
        <v>43435</v>
      </c>
      <c r="B1262" s="25" t="s">
        <v>118</v>
      </c>
      <c r="C1262" s="25" t="s">
        <v>4</v>
      </c>
      <c r="D1262" s="51">
        <v>1423439</v>
      </c>
    </row>
    <row r="1263" spans="1:4" x14ac:dyDescent="0.2">
      <c r="A1263" s="24">
        <v>43435</v>
      </c>
      <c r="B1263" s="25" t="s">
        <v>134</v>
      </c>
      <c r="C1263" s="25" t="s">
        <v>4</v>
      </c>
      <c r="D1263" s="51">
        <v>32811</v>
      </c>
    </row>
    <row r="1264" spans="1:4" x14ac:dyDescent="0.2">
      <c r="A1264" s="24">
        <v>43435</v>
      </c>
      <c r="B1264" s="25" t="s">
        <v>135</v>
      </c>
      <c r="C1264" s="25" t="s">
        <v>4</v>
      </c>
      <c r="D1264" s="51">
        <v>25849</v>
      </c>
    </row>
    <row r="1265" spans="1:4" x14ac:dyDescent="0.2">
      <c r="A1265" s="24">
        <v>43435</v>
      </c>
      <c r="B1265" s="25" t="s">
        <v>136</v>
      </c>
      <c r="C1265" s="25" t="s">
        <v>4</v>
      </c>
      <c r="D1265" s="51">
        <v>7956</v>
      </c>
    </row>
    <row r="1266" spans="1:4" x14ac:dyDescent="0.2">
      <c r="A1266" s="24">
        <v>43435</v>
      </c>
      <c r="B1266" s="25" t="s">
        <v>119</v>
      </c>
      <c r="C1266" s="25" t="s">
        <v>4</v>
      </c>
      <c r="D1266" s="51">
        <v>1021477</v>
      </c>
    </row>
    <row r="1267" spans="1:4" x14ac:dyDescent="0.2">
      <c r="A1267" s="24">
        <v>43435</v>
      </c>
      <c r="B1267" s="25" t="s">
        <v>138</v>
      </c>
      <c r="C1267" s="25" t="s">
        <v>4</v>
      </c>
      <c r="D1267" s="51">
        <v>29</v>
      </c>
    </row>
    <row r="1268" spans="1:4" x14ac:dyDescent="0.2">
      <c r="A1268" s="24">
        <v>43435</v>
      </c>
      <c r="B1268" s="25" t="s">
        <v>139</v>
      </c>
      <c r="C1268" s="25" t="s">
        <v>4</v>
      </c>
      <c r="D1268" s="51">
        <v>426</v>
      </c>
    </row>
    <row r="1269" spans="1:4" x14ac:dyDescent="0.2">
      <c r="A1269" s="24">
        <v>43435</v>
      </c>
      <c r="B1269" s="25" t="s">
        <v>120</v>
      </c>
      <c r="C1269" s="25" t="s">
        <v>4</v>
      </c>
      <c r="D1269" s="51">
        <v>82198</v>
      </c>
    </row>
    <row r="1270" spans="1:4" x14ac:dyDescent="0.2">
      <c r="A1270" s="24">
        <v>43435</v>
      </c>
      <c r="B1270" s="25" t="s">
        <v>121</v>
      </c>
      <c r="C1270" s="25" t="s">
        <v>4</v>
      </c>
      <c r="D1270" s="51">
        <v>38642</v>
      </c>
    </row>
    <row r="1271" spans="1:4" x14ac:dyDescent="0.2">
      <c r="A1271" s="24">
        <v>43435</v>
      </c>
      <c r="B1271" s="25" t="s">
        <v>140</v>
      </c>
      <c r="C1271" s="25" t="s">
        <v>4</v>
      </c>
      <c r="D1271" s="51">
        <v>6439</v>
      </c>
    </row>
    <row r="1272" spans="1:4" x14ac:dyDescent="0.2">
      <c r="A1272" s="24">
        <v>43435</v>
      </c>
      <c r="B1272" s="25" t="s">
        <v>141</v>
      </c>
      <c r="C1272" s="25" t="s">
        <v>4</v>
      </c>
      <c r="D1272" s="51">
        <v>65839</v>
      </c>
    </row>
    <row r="1273" spans="1:4" x14ac:dyDescent="0.2">
      <c r="A1273" s="24">
        <v>43435</v>
      </c>
      <c r="B1273" s="25" t="s">
        <v>122</v>
      </c>
      <c r="C1273" s="25" t="s">
        <v>4</v>
      </c>
      <c r="D1273" s="51">
        <v>1248913</v>
      </c>
    </row>
    <row r="1274" spans="1:4" x14ac:dyDescent="0.2">
      <c r="A1274" s="24">
        <v>43435</v>
      </c>
      <c r="B1274" s="25" t="s">
        <v>123</v>
      </c>
      <c r="C1274" s="25" t="s">
        <v>4</v>
      </c>
      <c r="D1274" s="51">
        <v>4089027</v>
      </c>
    </row>
    <row r="1275" spans="1:4" x14ac:dyDescent="0.2">
      <c r="A1275" s="24">
        <v>43435</v>
      </c>
      <c r="B1275" s="25" t="s">
        <v>117</v>
      </c>
      <c r="C1275" s="25" t="s">
        <v>8</v>
      </c>
      <c r="D1275" s="51">
        <v>1019143</v>
      </c>
    </row>
    <row r="1276" spans="1:4" x14ac:dyDescent="0.2">
      <c r="A1276" s="24">
        <v>43435</v>
      </c>
      <c r="B1276" s="25" t="s">
        <v>137</v>
      </c>
      <c r="C1276" s="25" t="s">
        <v>8</v>
      </c>
      <c r="D1276" s="51">
        <v>45727</v>
      </c>
    </row>
    <row r="1277" spans="1:4" x14ac:dyDescent="0.2">
      <c r="A1277" s="24">
        <v>43435</v>
      </c>
      <c r="B1277" s="25" t="s">
        <v>118</v>
      </c>
      <c r="C1277" s="25" t="s">
        <v>8</v>
      </c>
      <c r="D1277" s="51">
        <v>137948</v>
      </c>
    </row>
    <row r="1278" spans="1:4" x14ac:dyDescent="0.2">
      <c r="A1278" s="24">
        <v>43435</v>
      </c>
      <c r="B1278" s="25" t="s">
        <v>119</v>
      </c>
      <c r="C1278" s="25" t="s">
        <v>8</v>
      </c>
      <c r="D1278" s="51">
        <v>24831</v>
      </c>
    </row>
    <row r="1279" spans="1:4" x14ac:dyDescent="0.2">
      <c r="A1279" s="24">
        <v>43435</v>
      </c>
      <c r="B1279" s="25" t="s">
        <v>139</v>
      </c>
      <c r="C1279" s="25" t="s">
        <v>8</v>
      </c>
      <c r="D1279" s="51">
        <v>4</v>
      </c>
    </row>
    <row r="1280" spans="1:4" x14ac:dyDescent="0.2">
      <c r="A1280" s="24">
        <v>43435</v>
      </c>
      <c r="B1280" s="25" t="s">
        <v>120</v>
      </c>
      <c r="C1280" s="25" t="s">
        <v>8</v>
      </c>
      <c r="D1280" s="51">
        <v>5371</v>
      </c>
    </row>
    <row r="1281" spans="1:4" x14ac:dyDescent="0.2">
      <c r="A1281" s="24">
        <v>43435</v>
      </c>
      <c r="B1281" s="25" t="s">
        <v>121</v>
      </c>
      <c r="C1281" s="25" t="s">
        <v>8</v>
      </c>
      <c r="D1281" s="51">
        <v>2110</v>
      </c>
    </row>
    <row r="1282" spans="1:4" x14ac:dyDescent="0.2">
      <c r="A1282" s="24">
        <v>43435</v>
      </c>
      <c r="B1282" s="25" t="s">
        <v>122</v>
      </c>
      <c r="C1282" s="25" t="s">
        <v>8</v>
      </c>
      <c r="D1282" s="51">
        <v>2594</v>
      </c>
    </row>
    <row r="1283" spans="1:4" x14ac:dyDescent="0.2">
      <c r="A1283" s="24">
        <v>43435</v>
      </c>
      <c r="B1283" s="25" t="s">
        <v>123</v>
      </c>
      <c r="C1283" s="25" t="s">
        <v>8</v>
      </c>
      <c r="D1283" s="51">
        <v>187090</v>
      </c>
    </row>
    <row r="1284" spans="1:4" x14ac:dyDescent="0.2">
      <c r="A1284" s="24">
        <v>43435</v>
      </c>
      <c r="B1284" s="25" t="s">
        <v>124</v>
      </c>
      <c r="C1284" s="25" t="s">
        <v>8</v>
      </c>
      <c r="D1284" s="51">
        <v>62404</v>
      </c>
    </row>
    <row r="1285" spans="1:4" x14ac:dyDescent="0.2">
      <c r="A1285" s="24">
        <v>43435</v>
      </c>
      <c r="B1285" s="25" t="s">
        <v>125</v>
      </c>
      <c r="C1285" s="25" t="s">
        <v>8</v>
      </c>
      <c r="D1285" s="51">
        <v>16424</v>
      </c>
    </row>
    <row r="1286" spans="1:4" x14ac:dyDescent="0.2">
      <c r="A1286" s="24">
        <v>43435</v>
      </c>
      <c r="B1286" s="25" t="s">
        <v>117</v>
      </c>
      <c r="C1286" s="25" t="s">
        <v>26</v>
      </c>
      <c r="D1286" s="51">
        <v>610683</v>
      </c>
    </row>
    <row r="1287" spans="1:4" x14ac:dyDescent="0.2">
      <c r="A1287" s="24">
        <v>43435</v>
      </c>
      <c r="B1287" s="25" t="s">
        <v>137</v>
      </c>
      <c r="C1287" s="25" t="s">
        <v>26</v>
      </c>
      <c r="D1287" s="51">
        <v>19441</v>
      </c>
    </row>
    <row r="1288" spans="1:4" x14ac:dyDescent="0.2">
      <c r="A1288" s="24">
        <v>43435</v>
      </c>
      <c r="B1288" s="25" t="s">
        <v>118</v>
      </c>
      <c r="C1288" s="25" t="s">
        <v>26</v>
      </c>
      <c r="D1288" s="51">
        <v>45017</v>
      </c>
    </row>
    <row r="1289" spans="1:4" x14ac:dyDescent="0.2">
      <c r="A1289" s="24">
        <v>43435</v>
      </c>
      <c r="B1289" s="25" t="s">
        <v>119</v>
      </c>
      <c r="C1289" s="25" t="s">
        <v>26</v>
      </c>
      <c r="D1289" s="51">
        <v>24245</v>
      </c>
    </row>
    <row r="1290" spans="1:4" x14ac:dyDescent="0.2">
      <c r="A1290" s="24">
        <v>43435</v>
      </c>
      <c r="B1290" s="25" t="s">
        <v>139</v>
      </c>
      <c r="C1290" s="25" t="s">
        <v>26</v>
      </c>
      <c r="D1290" s="51">
        <v>1</v>
      </c>
    </row>
    <row r="1291" spans="1:4" x14ac:dyDescent="0.2">
      <c r="A1291" s="24">
        <v>43435</v>
      </c>
      <c r="B1291" s="25" t="s">
        <v>120</v>
      </c>
      <c r="C1291" s="25" t="s">
        <v>26</v>
      </c>
      <c r="D1291" s="51">
        <v>1259</v>
      </c>
    </row>
    <row r="1292" spans="1:4" x14ac:dyDescent="0.2">
      <c r="A1292" s="24">
        <v>43435</v>
      </c>
      <c r="B1292" s="25" t="s">
        <v>121</v>
      </c>
      <c r="C1292" s="25" t="s">
        <v>26</v>
      </c>
      <c r="D1292" s="51">
        <v>858</v>
      </c>
    </row>
    <row r="1293" spans="1:4" x14ac:dyDescent="0.2">
      <c r="A1293" s="24">
        <v>43435</v>
      </c>
      <c r="B1293" s="25" t="s">
        <v>122</v>
      </c>
      <c r="C1293" s="25" t="s">
        <v>26</v>
      </c>
      <c r="D1293" s="51">
        <v>2917</v>
      </c>
    </row>
    <row r="1294" spans="1:4" x14ac:dyDescent="0.2">
      <c r="A1294" s="24">
        <v>43435</v>
      </c>
      <c r="B1294" s="25" t="s">
        <v>123</v>
      </c>
      <c r="C1294" s="25" t="s">
        <v>26</v>
      </c>
      <c r="D1294" s="51">
        <v>140990</v>
      </c>
    </row>
    <row r="1295" spans="1:4" x14ac:dyDescent="0.2">
      <c r="A1295" s="24">
        <v>43435</v>
      </c>
      <c r="B1295" s="25" t="s">
        <v>127</v>
      </c>
      <c r="C1295" s="25" t="s">
        <v>26</v>
      </c>
      <c r="D1295" s="51">
        <v>3036</v>
      </c>
    </row>
    <row r="1296" spans="1:4" x14ac:dyDescent="0.2">
      <c r="A1296" s="24">
        <v>43435</v>
      </c>
      <c r="B1296" s="25" t="s">
        <v>128</v>
      </c>
      <c r="C1296" s="25" t="s">
        <v>26</v>
      </c>
      <c r="D1296" s="51">
        <v>711</v>
      </c>
    </row>
    <row r="1297" spans="1:4" x14ac:dyDescent="0.2">
      <c r="A1297" s="24">
        <v>43435</v>
      </c>
      <c r="B1297" s="25" t="s">
        <v>117</v>
      </c>
      <c r="C1297" s="25" t="s">
        <v>2</v>
      </c>
      <c r="D1297" s="51">
        <v>23050018</v>
      </c>
    </row>
    <row r="1298" spans="1:4" x14ac:dyDescent="0.2">
      <c r="A1298" s="24">
        <v>43435</v>
      </c>
      <c r="B1298" s="25" t="s">
        <v>137</v>
      </c>
      <c r="C1298" s="25" t="s">
        <v>2</v>
      </c>
      <c r="D1298" s="51">
        <v>400255</v>
      </c>
    </row>
    <row r="1299" spans="1:4" x14ac:dyDescent="0.2">
      <c r="A1299" s="24">
        <v>43435</v>
      </c>
      <c r="B1299" s="25" t="s">
        <v>118</v>
      </c>
      <c r="C1299" s="25" t="s">
        <v>2</v>
      </c>
      <c r="D1299" s="51">
        <v>1319800</v>
      </c>
    </row>
    <row r="1300" spans="1:4" x14ac:dyDescent="0.2">
      <c r="A1300" s="24">
        <v>43435</v>
      </c>
      <c r="B1300" s="25" t="s">
        <v>119</v>
      </c>
      <c r="C1300" s="25" t="s">
        <v>2</v>
      </c>
      <c r="D1300" s="51">
        <v>1345643</v>
      </c>
    </row>
    <row r="1301" spans="1:4" x14ac:dyDescent="0.2">
      <c r="A1301" s="24">
        <v>43435</v>
      </c>
      <c r="B1301" s="25" t="s">
        <v>138</v>
      </c>
      <c r="C1301" s="25" t="s">
        <v>2</v>
      </c>
      <c r="D1301" s="51">
        <v>6</v>
      </c>
    </row>
    <row r="1302" spans="1:4" x14ac:dyDescent="0.2">
      <c r="A1302" s="24">
        <v>43435</v>
      </c>
      <c r="B1302" s="25" t="s">
        <v>139</v>
      </c>
      <c r="C1302" s="25" t="s">
        <v>2</v>
      </c>
      <c r="D1302" s="51">
        <v>366</v>
      </c>
    </row>
    <row r="1303" spans="1:4" x14ac:dyDescent="0.2">
      <c r="A1303" s="24">
        <v>43435</v>
      </c>
      <c r="B1303" s="25" t="s">
        <v>120</v>
      </c>
      <c r="C1303" s="25" t="s">
        <v>2</v>
      </c>
      <c r="D1303" s="51">
        <v>272003</v>
      </c>
    </row>
    <row r="1304" spans="1:4" x14ac:dyDescent="0.2">
      <c r="A1304" s="24">
        <v>43435</v>
      </c>
      <c r="B1304" s="25" t="s">
        <v>121</v>
      </c>
      <c r="C1304" s="25" t="s">
        <v>2</v>
      </c>
      <c r="D1304" s="51">
        <v>29670</v>
      </c>
    </row>
    <row r="1305" spans="1:4" x14ac:dyDescent="0.2">
      <c r="A1305" s="24">
        <v>43435</v>
      </c>
      <c r="B1305" s="25" t="s">
        <v>122</v>
      </c>
      <c r="C1305" s="25" t="s">
        <v>2</v>
      </c>
      <c r="D1305" s="51">
        <v>512431</v>
      </c>
    </row>
    <row r="1306" spans="1:4" x14ac:dyDescent="0.2">
      <c r="A1306" s="24">
        <v>43435</v>
      </c>
      <c r="B1306" s="25" t="s">
        <v>123</v>
      </c>
      <c r="C1306" s="25" t="s">
        <v>2</v>
      </c>
      <c r="D1306" s="51">
        <v>2815946</v>
      </c>
    </row>
    <row r="1307" spans="1:4" x14ac:dyDescent="0.2">
      <c r="A1307" s="24">
        <v>43435</v>
      </c>
      <c r="B1307" s="25" t="s">
        <v>129</v>
      </c>
      <c r="C1307" s="25" t="s">
        <v>2</v>
      </c>
      <c r="D1307" s="51">
        <v>306621</v>
      </c>
    </row>
    <row r="1308" spans="1:4" x14ac:dyDescent="0.2">
      <c r="A1308" s="24">
        <v>43435</v>
      </c>
      <c r="B1308" s="25" t="s">
        <v>130</v>
      </c>
      <c r="C1308" s="25" t="s">
        <v>2</v>
      </c>
      <c r="D1308" s="51">
        <v>71697</v>
      </c>
    </row>
    <row r="1309" spans="1:4" x14ac:dyDescent="0.2">
      <c r="A1309" s="24">
        <v>43466</v>
      </c>
      <c r="B1309" s="25" t="s">
        <v>117</v>
      </c>
      <c r="C1309" s="25" t="s">
        <v>4</v>
      </c>
      <c r="D1309" s="51">
        <v>14752879</v>
      </c>
    </row>
    <row r="1310" spans="1:4" x14ac:dyDescent="0.2">
      <c r="A1310" s="24">
        <v>43466</v>
      </c>
      <c r="B1310" s="25" t="s">
        <v>131</v>
      </c>
      <c r="C1310" s="25" t="s">
        <v>4</v>
      </c>
      <c r="D1310" s="51">
        <v>110735</v>
      </c>
    </row>
    <row r="1311" spans="1:4" x14ac:dyDescent="0.2">
      <c r="A1311" s="24">
        <v>43466</v>
      </c>
      <c r="B1311" s="25" t="s">
        <v>132</v>
      </c>
      <c r="C1311" s="25" t="s">
        <v>4</v>
      </c>
      <c r="D1311" s="51">
        <v>61336</v>
      </c>
    </row>
    <row r="1312" spans="1:4" x14ac:dyDescent="0.2">
      <c r="A1312" s="24">
        <v>43466</v>
      </c>
      <c r="B1312" s="25" t="s">
        <v>133</v>
      </c>
      <c r="C1312" s="25" t="s">
        <v>4</v>
      </c>
      <c r="D1312" s="51">
        <v>20411</v>
      </c>
    </row>
    <row r="1313" spans="1:4" x14ac:dyDescent="0.2">
      <c r="A1313" s="24">
        <v>43466</v>
      </c>
      <c r="B1313" s="25" t="s">
        <v>118</v>
      </c>
      <c r="C1313" s="25" t="s">
        <v>4</v>
      </c>
      <c r="D1313" s="51">
        <v>1653909</v>
      </c>
    </row>
    <row r="1314" spans="1:4" x14ac:dyDescent="0.2">
      <c r="A1314" s="24">
        <v>43466</v>
      </c>
      <c r="B1314" s="25" t="s">
        <v>134</v>
      </c>
      <c r="C1314" s="25" t="s">
        <v>4</v>
      </c>
      <c r="D1314" s="51">
        <v>38810</v>
      </c>
    </row>
    <row r="1315" spans="1:4" x14ac:dyDescent="0.2">
      <c r="A1315" s="24">
        <v>43466</v>
      </c>
      <c r="B1315" s="25" t="s">
        <v>135</v>
      </c>
      <c r="C1315" s="25" t="s">
        <v>4</v>
      </c>
      <c r="D1315" s="51">
        <v>31393</v>
      </c>
    </row>
    <row r="1316" spans="1:4" x14ac:dyDescent="0.2">
      <c r="A1316" s="24">
        <v>43466</v>
      </c>
      <c r="B1316" s="25" t="s">
        <v>136</v>
      </c>
      <c r="C1316" s="25" t="s">
        <v>4</v>
      </c>
      <c r="D1316" s="51">
        <v>9539</v>
      </c>
    </row>
    <row r="1317" spans="1:4" x14ac:dyDescent="0.2">
      <c r="A1317" s="24">
        <v>43466</v>
      </c>
      <c r="B1317" s="25" t="s">
        <v>119</v>
      </c>
      <c r="C1317" s="25" t="s">
        <v>4</v>
      </c>
      <c r="D1317" s="51">
        <v>1004593</v>
      </c>
    </row>
    <row r="1318" spans="1:4" x14ac:dyDescent="0.2">
      <c r="A1318" s="24">
        <v>43466</v>
      </c>
      <c r="B1318" s="25" t="s">
        <v>138</v>
      </c>
      <c r="C1318" s="25" t="s">
        <v>4</v>
      </c>
      <c r="D1318" s="51">
        <v>18</v>
      </c>
    </row>
    <row r="1319" spans="1:4" x14ac:dyDescent="0.2">
      <c r="A1319" s="24">
        <v>43466</v>
      </c>
      <c r="B1319" s="25" t="s">
        <v>139</v>
      </c>
      <c r="C1319" s="25" t="s">
        <v>4</v>
      </c>
      <c r="D1319" s="51">
        <v>725</v>
      </c>
    </row>
    <row r="1320" spans="1:4" x14ac:dyDescent="0.2">
      <c r="A1320" s="24">
        <v>43466</v>
      </c>
      <c r="B1320" s="25" t="s">
        <v>120</v>
      </c>
      <c r="C1320" s="25" t="s">
        <v>4</v>
      </c>
      <c r="D1320" s="51">
        <v>85279</v>
      </c>
    </row>
    <row r="1321" spans="1:4" x14ac:dyDescent="0.2">
      <c r="A1321" s="24">
        <v>43466</v>
      </c>
      <c r="B1321" s="25" t="s">
        <v>121</v>
      </c>
      <c r="C1321" s="25" t="s">
        <v>4</v>
      </c>
      <c r="D1321" s="51">
        <v>38510</v>
      </c>
    </row>
    <row r="1322" spans="1:4" x14ac:dyDescent="0.2">
      <c r="A1322" s="24">
        <v>43466</v>
      </c>
      <c r="B1322" s="25" t="s">
        <v>140</v>
      </c>
      <c r="C1322" s="25" t="s">
        <v>4</v>
      </c>
      <c r="D1322" s="51">
        <v>7041</v>
      </c>
    </row>
    <row r="1323" spans="1:4" x14ac:dyDescent="0.2">
      <c r="A1323" s="24">
        <v>43466</v>
      </c>
      <c r="B1323" s="25" t="s">
        <v>141</v>
      </c>
      <c r="C1323" s="25" t="s">
        <v>4</v>
      </c>
      <c r="D1323" s="51">
        <v>48037</v>
      </c>
    </row>
    <row r="1324" spans="1:4" x14ac:dyDescent="0.2">
      <c r="A1324" s="24">
        <v>43466</v>
      </c>
      <c r="B1324" s="25" t="s">
        <v>122</v>
      </c>
      <c r="C1324" s="25" t="s">
        <v>4</v>
      </c>
      <c r="D1324" s="51">
        <v>205934</v>
      </c>
    </row>
    <row r="1325" spans="1:4" x14ac:dyDescent="0.2">
      <c r="A1325" s="24">
        <v>43466</v>
      </c>
      <c r="B1325" s="25" t="s">
        <v>123</v>
      </c>
      <c r="C1325" s="25" t="s">
        <v>4</v>
      </c>
      <c r="D1325" s="51">
        <v>3970989</v>
      </c>
    </row>
    <row r="1326" spans="1:4" x14ac:dyDescent="0.2">
      <c r="A1326" s="24">
        <v>43466</v>
      </c>
      <c r="B1326" s="25" t="s">
        <v>117</v>
      </c>
      <c r="C1326" s="25" t="s">
        <v>8</v>
      </c>
      <c r="D1326" s="51">
        <v>1027527</v>
      </c>
    </row>
    <row r="1327" spans="1:4" x14ac:dyDescent="0.2">
      <c r="A1327" s="24">
        <v>43466</v>
      </c>
      <c r="B1327" s="25" t="s">
        <v>137</v>
      </c>
      <c r="C1327" s="25" t="s">
        <v>8</v>
      </c>
      <c r="D1327" s="51">
        <v>58537</v>
      </c>
    </row>
    <row r="1328" spans="1:4" x14ac:dyDescent="0.2">
      <c r="A1328" s="24">
        <v>43466</v>
      </c>
      <c r="B1328" s="25" t="s">
        <v>118</v>
      </c>
      <c r="C1328" s="25" t="s">
        <v>8</v>
      </c>
      <c r="D1328" s="51">
        <v>196867</v>
      </c>
    </row>
    <row r="1329" spans="1:4" x14ac:dyDescent="0.2">
      <c r="A1329" s="24">
        <v>43466</v>
      </c>
      <c r="B1329" s="25" t="s">
        <v>119</v>
      </c>
      <c r="C1329" s="25" t="s">
        <v>8</v>
      </c>
      <c r="D1329" s="51">
        <v>26120</v>
      </c>
    </row>
    <row r="1330" spans="1:4" x14ac:dyDescent="0.2">
      <c r="A1330" s="24">
        <v>43466</v>
      </c>
      <c r="B1330" s="25" t="s">
        <v>139</v>
      </c>
      <c r="C1330" s="25" t="s">
        <v>8</v>
      </c>
      <c r="D1330" s="51">
        <v>8</v>
      </c>
    </row>
    <row r="1331" spans="1:4" x14ac:dyDescent="0.2">
      <c r="A1331" s="24">
        <v>43466</v>
      </c>
      <c r="B1331" s="25" t="s">
        <v>120</v>
      </c>
      <c r="C1331" s="25" t="s">
        <v>8</v>
      </c>
      <c r="D1331" s="51">
        <v>5535</v>
      </c>
    </row>
    <row r="1332" spans="1:4" x14ac:dyDescent="0.2">
      <c r="A1332" s="24">
        <v>43466</v>
      </c>
      <c r="B1332" s="25" t="s">
        <v>121</v>
      </c>
      <c r="C1332" s="25" t="s">
        <v>8</v>
      </c>
      <c r="D1332" s="51">
        <v>2397</v>
      </c>
    </row>
    <row r="1333" spans="1:4" x14ac:dyDescent="0.2">
      <c r="A1333" s="24">
        <v>43466</v>
      </c>
      <c r="B1333" s="25" t="s">
        <v>122</v>
      </c>
      <c r="C1333" s="25" t="s">
        <v>8</v>
      </c>
      <c r="D1333" s="51">
        <v>496</v>
      </c>
    </row>
    <row r="1334" spans="1:4" x14ac:dyDescent="0.2">
      <c r="A1334" s="24">
        <v>43466</v>
      </c>
      <c r="B1334" s="25" t="s">
        <v>123</v>
      </c>
      <c r="C1334" s="25" t="s">
        <v>8</v>
      </c>
      <c r="D1334" s="51">
        <v>222000</v>
      </c>
    </row>
    <row r="1335" spans="1:4" x14ac:dyDescent="0.2">
      <c r="A1335" s="24">
        <v>43466</v>
      </c>
      <c r="B1335" s="25" t="s">
        <v>124</v>
      </c>
      <c r="C1335" s="25" t="s">
        <v>8</v>
      </c>
      <c r="D1335" s="51">
        <v>61360</v>
      </c>
    </row>
    <row r="1336" spans="1:4" x14ac:dyDescent="0.2">
      <c r="A1336" s="24">
        <v>43466</v>
      </c>
      <c r="B1336" s="25" t="s">
        <v>125</v>
      </c>
      <c r="C1336" s="25" t="s">
        <v>8</v>
      </c>
      <c r="D1336" s="51">
        <v>19149</v>
      </c>
    </row>
    <row r="1337" spans="1:4" x14ac:dyDescent="0.2">
      <c r="A1337" s="24">
        <v>43466</v>
      </c>
      <c r="B1337" s="25" t="s">
        <v>117</v>
      </c>
      <c r="C1337" s="25" t="s">
        <v>26</v>
      </c>
      <c r="D1337" s="51">
        <v>440804</v>
      </c>
    </row>
    <row r="1338" spans="1:4" x14ac:dyDescent="0.2">
      <c r="A1338" s="24">
        <v>43466</v>
      </c>
      <c r="B1338" s="25" t="s">
        <v>137</v>
      </c>
      <c r="C1338" s="25" t="s">
        <v>26</v>
      </c>
      <c r="D1338" s="51">
        <v>18576</v>
      </c>
    </row>
    <row r="1339" spans="1:4" x14ac:dyDescent="0.2">
      <c r="A1339" s="24">
        <v>43466</v>
      </c>
      <c r="B1339" s="25" t="s">
        <v>118</v>
      </c>
      <c r="C1339" s="25" t="s">
        <v>26</v>
      </c>
      <c r="D1339" s="51">
        <v>42875</v>
      </c>
    </row>
    <row r="1340" spans="1:4" x14ac:dyDescent="0.2">
      <c r="A1340" s="24">
        <v>43466</v>
      </c>
      <c r="B1340" s="25" t="s">
        <v>119</v>
      </c>
      <c r="C1340" s="25" t="s">
        <v>26</v>
      </c>
      <c r="D1340" s="51">
        <v>18357</v>
      </c>
    </row>
    <row r="1341" spans="1:4" x14ac:dyDescent="0.2">
      <c r="A1341" s="24">
        <v>43466</v>
      </c>
      <c r="B1341" s="25" t="s">
        <v>139</v>
      </c>
      <c r="C1341" s="25" t="s">
        <v>26</v>
      </c>
      <c r="D1341" s="51">
        <v>4</v>
      </c>
    </row>
    <row r="1342" spans="1:4" x14ac:dyDescent="0.2">
      <c r="A1342" s="24">
        <v>43466</v>
      </c>
      <c r="B1342" s="25" t="s">
        <v>120</v>
      </c>
      <c r="C1342" s="25" t="s">
        <v>26</v>
      </c>
      <c r="D1342" s="51">
        <v>896</v>
      </c>
    </row>
    <row r="1343" spans="1:4" x14ac:dyDescent="0.2">
      <c r="A1343" s="24">
        <v>43466</v>
      </c>
      <c r="B1343" s="25" t="s">
        <v>121</v>
      </c>
      <c r="C1343" s="25" t="s">
        <v>26</v>
      </c>
      <c r="D1343" s="51">
        <v>593</v>
      </c>
    </row>
    <row r="1344" spans="1:4" x14ac:dyDescent="0.2">
      <c r="A1344" s="24">
        <v>43466</v>
      </c>
      <c r="B1344" s="25" t="s">
        <v>122</v>
      </c>
      <c r="C1344" s="25" t="s">
        <v>26</v>
      </c>
      <c r="D1344" s="51">
        <v>560</v>
      </c>
    </row>
    <row r="1345" spans="1:4" x14ac:dyDescent="0.2">
      <c r="A1345" s="24">
        <v>43466</v>
      </c>
      <c r="B1345" s="25" t="s">
        <v>123</v>
      </c>
      <c r="C1345" s="25" t="s">
        <v>26</v>
      </c>
      <c r="D1345" s="51">
        <v>100259</v>
      </c>
    </row>
    <row r="1346" spans="1:4" x14ac:dyDescent="0.2">
      <c r="A1346" s="24">
        <v>43466</v>
      </c>
      <c r="B1346" s="25" t="s">
        <v>127</v>
      </c>
      <c r="C1346" s="25" t="s">
        <v>26</v>
      </c>
      <c r="D1346" s="51">
        <v>1740</v>
      </c>
    </row>
    <row r="1347" spans="1:4" x14ac:dyDescent="0.2">
      <c r="A1347" s="24">
        <v>43466</v>
      </c>
      <c r="B1347" s="25" t="s">
        <v>128</v>
      </c>
      <c r="C1347" s="25" t="s">
        <v>26</v>
      </c>
      <c r="D1347" s="51">
        <v>569</v>
      </c>
    </row>
    <row r="1348" spans="1:4" x14ac:dyDescent="0.2">
      <c r="A1348" s="24">
        <v>43466</v>
      </c>
      <c r="B1348" s="25" t="s">
        <v>117</v>
      </c>
      <c r="C1348" s="25" t="s">
        <v>2</v>
      </c>
      <c r="D1348" s="51">
        <v>23174619</v>
      </c>
    </row>
    <row r="1349" spans="1:4" x14ac:dyDescent="0.2">
      <c r="A1349" s="24">
        <v>43466</v>
      </c>
      <c r="B1349" s="25" t="s">
        <v>137</v>
      </c>
      <c r="C1349" s="25" t="s">
        <v>2</v>
      </c>
      <c r="D1349" s="51">
        <v>559514</v>
      </c>
    </row>
    <row r="1350" spans="1:4" x14ac:dyDescent="0.2">
      <c r="A1350" s="24">
        <v>43466</v>
      </c>
      <c r="B1350" s="25" t="s">
        <v>118</v>
      </c>
      <c r="C1350" s="25" t="s">
        <v>2</v>
      </c>
      <c r="D1350" s="51">
        <v>1511478</v>
      </c>
    </row>
    <row r="1351" spans="1:4" x14ac:dyDescent="0.2">
      <c r="A1351" s="24">
        <v>43466</v>
      </c>
      <c r="B1351" s="25" t="s">
        <v>119</v>
      </c>
      <c r="C1351" s="25" t="s">
        <v>2</v>
      </c>
      <c r="D1351" s="51">
        <v>1291370</v>
      </c>
    </row>
    <row r="1352" spans="1:4" x14ac:dyDescent="0.2">
      <c r="A1352" s="24">
        <v>43466</v>
      </c>
      <c r="B1352" s="25" t="s">
        <v>138</v>
      </c>
      <c r="C1352" s="25" t="s">
        <v>2</v>
      </c>
      <c r="D1352" s="51">
        <v>15</v>
      </c>
    </row>
    <row r="1353" spans="1:4" x14ac:dyDescent="0.2">
      <c r="A1353" s="24">
        <v>43466</v>
      </c>
      <c r="B1353" s="25" t="s">
        <v>139</v>
      </c>
      <c r="C1353" s="25" t="s">
        <v>2</v>
      </c>
      <c r="D1353" s="51">
        <v>493</v>
      </c>
    </row>
    <row r="1354" spans="1:4" x14ac:dyDescent="0.2">
      <c r="A1354" s="24">
        <v>43466</v>
      </c>
      <c r="B1354" s="25" t="s">
        <v>120</v>
      </c>
      <c r="C1354" s="25" t="s">
        <v>2</v>
      </c>
      <c r="D1354" s="51">
        <v>274738</v>
      </c>
    </row>
    <row r="1355" spans="1:4" x14ac:dyDescent="0.2">
      <c r="A1355" s="24">
        <v>43466</v>
      </c>
      <c r="B1355" s="25" t="s">
        <v>121</v>
      </c>
      <c r="C1355" s="25" t="s">
        <v>2</v>
      </c>
      <c r="D1355" s="51">
        <v>29386</v>
      </c>
    </row>
    <row r="1356" spans="1:4" x14ac:dyDescent="0.2">
      <c r="A1356" s="24">
        <v>43466</v>
      </c>
      <c r="B1356" s="25" t="s">
        <v>122</v>
      </c>
      <c r="C1356" s="25" t="s">
        <v>2</v>
      </c>
      <c r="D1356" s="51">
        <v>88704</v>
      </c>
    </row>
    <row r="1357" spans="1:4" x14ac:dyDescent="0.2">
      <c r="A1357" s="24">
        <v>43466</v>
      </c>
      <c r="B1357" s="25" t="s">
        <v>123</v>
      </c>
      <c r="C1357" s="25" t="s">
        <v>2</v>
      </c>
      <c r="D1357" s="51">
        <v>2671807</v>
      </c>
    </row>
    <row r="1358" spans="1:4" x14ac:dyDescent="0.2">
      <c r="A1358" s="24">
        <v>43466</v>
      </c>
      <c r="B1358" s="25" t="s">
        <v>129</v>
      </c>
      <c r="C1358" s="25" t="s">
        <v>2</v>
      </c>
      <c r="D1358" s="51">
        <v>250355</v>
      </c>
    </row>
    <row r="1359" spans="1:4" x14ac:dyDescent="0.2">
      <c r="A1359" s="24">
        <v>43466</v>
      </c>
      <c r="B1359" s="25" t="s">
        <v>130</v>
      </c>
      <c r="C1359" s="25" t="s">
        <v>2</v>
      </c>
      <c r="D1359" s="51">
        <v>73085</v>
      </c>
    </row>
    <row r="1360" spans="1:4" x14ac:dyDescent="0.2">
      <c r="A1360" s="24">
        <v>43497</v>
      </c>
      <c r="B1360" s="25" t="s">
        <v>117</v>
      </c>
      <c r="C1360" s="25" t="s">
        <v>4</v>
      </c>
      <c r="D1360" s="51">
        <v>15426206</v>
      </c>
    </row>
    <row r="1361" spans="1:4" x14ac:dyDescent="0.2">
      <c r="A1361" s="24">
        <v>43497</v>
      </c>
      <c r="B1361" s="25" t="s">
        <v>131</v>
      </c>
      <c r="C1361" s="25" t="s">
        <v>4</v>
      </c>
      <c r="D1361" s="51">
        <v>99772</v>
      </c>
    </row>
    <row r="1362" spans="1:4" x14ac:dyDescent="0.2">
      <c r="A1362" s="24">
        <v>43497</v>
      </c>
      <c r="B1362" s="25" t="s">
        <v>132</v>
      </c>
      <c r="C1362" s="25" t="s">
        <v>4</v>
      </c>
      <c r="D1362" s="51">
        <v>54290</v>
      </c>
    </row>
    <row r="1363" spans="1:4" x14ac:dyDescent="0.2">
      <c r="A1363" s="24">
        <v>43497</v>
      </c>
      <c r="B1363" s="25" t="s">
        <v>133</v>
      </c>
      <c r="C1363" s="25" t="s">
        <v>4</v>
      </c>
      <c r="D1363" s="51">
        <v>17375</v>
      </c>
    </row>
    <row r="1364" spans="1:4" x14ac:dyDescent="0.2">
      <c r="A1364" s="24">
        <v>43497</v>
      </c>
      <c r="B1364" s="25" t="s">
        <v>118</v>
      </c>
      <c r="C1364" s="25" t="s">
        <v>4</v>
      </c>
      <c r="D1364" s="51">
        <v>1357664</v>
      </c>
    </row>
    <row r="1365" spans="1:4" x14ac:dyDescent="0.2">
      <c r="A1365" s="24">
        <v>43497</v>
      </c>
      <c r="B1365" s="25" t="s">
        <v>134</v>
      </c>
      <c r="C1365" s="25" t="s">
        <v>4</v>
      </c>
      <c r="D1365" s="51">
        <v>21631</v>
      </c>
    </row>
    <row r="1366" spans="1:4" x14ac:dyDescent="0.2">
      <c r="A1366" s="24">
        <v>43497</v>
      </c>
      <c r="B1366" s="25" t="s">
        <v>135</v>
      </c>
      <c r="C1366" s="25" t="s">
        <v>4</v>
      </c>
      <c r="D1366" s="51">
        <v>15276</v>
      </c>
    </row>
    <row r="1367" spans="1:4" x14ac:dyDescent="0.2">
      <c r="A1367" s="24">
        <v>43497</v>
      </c>
      <c r="B1367" s="25" t="s">
        <v>136</v>
      </c>
      <c r="C1367" s="25" t="s">
        <v>4</v>
      </c>
      <c r="D1367" s="51">
        <v>4340</v>
      </c>
    </row>
    <row r="1368" spans="1:4" x14ac:dyDescent="0.2">
      <c r="A1368" s="24">
        <v>43497</v>
      </c>
      <c r="B1368" s="25" t="s">
        <v>119</v>
      </c>
      <c r="C1368" s="25" t="s">
        <v>4</v>
      </c>
      <c r="D1368" s="51">
        <v>1415444</v>
      </c>
    </row>
    <row r="1369" spans="1:4" x14ac:dyDescent="0.2">
      <c r="A1369" s="24">
        <v>43497</v>
      </c>
      <c r="B1369" s="25" t="s">
        <v>138</v>
      </c>
      <c r="C1369" s="25" t="s">
        <v>4</v>
      </c>
      <c r="D1369" s="51">
        <v>46</v>
      </c>
    </row>
    <row r="1370" spans="1:4" x14ac:dyDescent="0.2">
      <c r="A1370" s="24">
        <v>43497</v>
      </c>
      <c r="B1370" s="25" t="s">
        <v>139</v>
      </c>
      <c r="C1370" s="25" t="s">
        <v>4</v>
      </c>
      <c r="D1370" s="51">
        <v>659</v>
      </c>
    </row>
    <row r="1371" spans="1:4" x14ac:dyDescent="0.2">
      <c r="A1371" s="24">
        <v>43497</v>
      </c>
      <c r="B1371" s="25" t="s">
        <v>120</v>
      </c>
      <c r="C1371" s="25" t="s">
        <v>4</v>
      </c>
      <c r="D1371" s="51">
        <v>87689</v>
      </c>
    </row>
    <row r="1372" spans="1:4" x14ac:dyDescent="0.2">
      <c r="A1372" s="24">
        <v>43497</v>
      </c>
      <c r="B1372" s="25" t="s">
        <v>121</v>
      </c>
      <c r="C1372" s="25" t="s">
        <v>4</v>
      </c>
      <c r="D1372" s="51">
        <v>40466</v>
      </c>
    </row>
    <row r="1373" spans="1:4" x14ac:dyDescent="0.2">
      <c r="A1373" s="24">
        <v>43497</v>
      </c>
      <c r="B1373" s="25" t="s">
        <v>140</v>
      </c>
      <c r="C1373" s="25" t="s">
        <v>4</v>
      </c>
      <c r="D1373" s="51">
        <v>8098</v>
      </c>
    </row>
    <row r="1374" spans="1:4" x14ac:dyDescent="0.2">
      <c r="A1374" s="24">
        <v>43497</v>
      </c>
      <c r="B1374" s="25" t="s">
        <v>141</v>
      </c>
      <c r="C1374" s="25" t="s">
        <v>4</v>
      </c>
      <c r="D1374" s="51">
        <v>0</v>
      </c>
    </row>
    <row r="1375" spans="1:4" x14ac:dyDescent="0.2">
      <c r="A1375" s="24">
        <v>43497</v>
      </c>
      <c r="B1375" s="25" t="s">
        <v>122</v>
      </c>
      <c r="C1375" s="25" t="s">
        <v>4</v>
      </c>
      <c r="D1375" s="51">
        <v>3034805</v>
      </c>
    </row>
    <row r="1376" spans="1:4" x14ac:dyDescent="0.2">
      <c r="A1376" s="24">
        <v>43497</v>
      </c>
      <c r="B1376" s="25" t="s">
        <v>123</v>
      </c>
      <c r="C1376" s="25" t="s">
        <v>4</v>
      </c>
      <c r="D1376" s="51">
        <v>4130053</v>
      </c>
    </row>
    <row r="1377" spans="1:4" x14ac:dyDescent="0.2">
      <c r="A1377" s="24">
        <v>43497</v>
      </c>
      <c r="B1377" s="25" t="s">
        <v>117</v>
      </c>
      <c r="C1377" s="25" t="s">
        <v>8</v>
      </c>
      <c r="D1377" s="51">
        <v>876044</v>
      </c>
    </row>
    <row r="1378" spans="1:4" x14ac:dyDescent="0.2">
      <c r="A1378" s="24">
        <v>43497</v>
      </c>
      <c r="B1378" s="25" t="s">
        <v>137</v>
      </c>
      <c r="C1378" s="25" t="s">
        <v>8</v>
      </c>
      <c r="D1378" s="51">
        <v>47051</v>
      </c>
    </row>
    <row r="1379" spans="1:4" x14ac:dyDescent="0.2">
      <c r="A1379" s="24">
        <v>43497</v>
      </c>
      <c r="B1379" s="25" t="s">
        <v>118</v>
      </c>
      <c r="C1379" s="25" t="s">
        <v>8</v>
      </c>
      <c r="D1379" s="51">
        <v>67142</v>
      </c>
    </row>
    <row r="1380" spans="1:4" x14ac:dyDescent="0.2">
      <c r="A1380" s="24">
        <v>43497</v>
      </c>
      <c r="B1380" s="25" t="s">
        <v>119</v>
      </c>
      <c r="C1380" s="25" t="s">
        <v>8</v>
      </c>
      <c r="D1380" s="51">
        <v>23079</v>
      </c>
    </row>
    <row r="1381" spans="1:4" x14ac:dyDescent="0.2">
      <c r="A1381" s="24">
        <v>43497</v>
      </c>
      <c r="B1381" s="25" t="s">
        <v>139</v>
      </c>
      <c r="C1381" s="25" t="s">
        <v>8</v>
      </c>
      <c r="D1381" s="51">
        <v>11</v>
      </c>
    </row>
    <row r="1382" spans="1:4" x14ac:dyDescent="0.2">
      <c r="A1382" s="24">
        <v>43497</v>
      </c>
      <c r="B1382" s="25" t="s">
        <v>120</v>
      </c>
      <c r="C1382" s="25" t="s">
        <v>8</v>
      </c>
      <c r="D1382" s="51">
        <v>4613</v>
      </c>
    </row>
    <row r="1383" spans="1:4" x14ac:dyDescent="0.2">
      <c r="A1383" s="24">
        <v>43497</v>
      </c>
      <c r="B1383" s="25" t="s">
        <v>121</v>
      </c>
      <c r="C1383" s="25" t="s">
        <v>8</v>
      </c>
      <c r="D1383" s="51">
        <v>2254</v>
      </c>
    </row>
    <row r="1384" spans="1:4" x14ac:dyDescent="0.2">
      <c r="A1384" s="24">
        <v>43497</v>
      </c>
      <c r="B1384" s="25" t="s">
        <v>122</v>
      </c>
      <c r="C1384" s="25" t="s">
        <v>8</v>
      </c>
      <c r="D1384" s="51">
        <v>3433</v>
      </c>
    </row>
    <row r="1385" spans="1:4" x14ac:dyDescent="0.2">
      <c r="A1385" s="24">
        <v>43497</v>
      </c>
      <c r="B1385" s="25" t="s">
        <v>123</v>
      </c>
      <c r="C1385" s="25" t="s">
        <v>8</v>
      </c>
      <c r="D1385" s="51">
        <v>191521</v>
      </c>
    </row>
    <row r="1386" spans="1:4" x14ac:dyDescent="0.2">
      <c r="A1386" s="24">
        <v>43497</v>
      </c>
      <c r="B1386" s="25" t="s">
        <v>124</v>
      </c>
      <c r="C1386" s="25" t="s">
        <v>8</v>
      </c>
      <c r="D1386" s="51">
        <v>45285</v>
      </c>
    </row>
    <row r="1387" spans="1:4" x14ac:dyDescent="0.2">
      <c r="A1387" s="24">
        <v>43497</v>
      </c>
      <c r="B1387" s="25" t="s">
        <v>125</v>
      </c>
      <c r="C1387" s="25" t="s">
        <v>8</v>
      </c>
      <c r="D1387" s="51">
        <v>6282</v>
      </c>
    </row>
    <row r="1388" spans="1:4" x14ac:dyDescent="0.2">
      <c r="A1388" s="24">
        <v>43497</v>
      </c>
      <c r="B1388" s="25" t="s">
        <v>117</v>
      </c>
      <c r="C1388" s="25" t="s">
        <v>26</v>
      </c>
      <c r="D1388" s="51">
        <v>613130</v>
      </c>
    </row>
    <row r="1389" spans="1:4" x14ac:dyDescent="0.2">
      <c r="A1389" s="24">
        <v>43497</v>
      </c>
      <c r="B1389" s="25" t="s">
        <v>137</v>
      </c>
      <c r="C1389" s="25" t="s">
        <v>26</v>
      </c>
      <c r="D1389" s="51">
        <v>25195</v>
      </c>
    </row>
    <row r="1390" spans="1:4" x14ac:dyDescent="0.2">
      <c r="A1390" s="24">
        <v>43497</v>
      </c>
      <c r="B1390" s="25" t="s">
        <v>118</v>
      </c>
      <c r="C1390" s="25" t="s">
        <v>26</v>
      </c>
      <c r="D1390" s="51">
        <v>42123</v>
      </c>
    </row>
    <row r="1391" spans="1:4" x14ac:dyDescent="0.2">
      <c r="A1391" s="24">
        <v>43497</v>
      </c>
      <c r="B1391" s="25" t="s">
        <v>119</v>
      </c>
      <c r="C1391" s="25" t="s">
        <v>26</v>
      </c>
      <c r="D1391" s="51">
        <v>29066</v>
      </c>
    </row>
    <row r="1392" spans="1:4" x14ac:dyDescent="0.2">
      <c r="A1392" s="24">
        <v>43497</v>
      </c>
      <c r="B1392" s="25" t="s">
        <v>139</v>
      </c>
      <c r="C1392" s="25" t="s">
        <v>26</v>
      </c>
      <c r="D1392" s="51">
        <v>6</v>
      </c>
    </row>
    <row r="1393" spans="1:4" x14ac:dyDescent="0.2">
      <c r="A1393" s="24">
        <v>43497</v>
      </c>
      <c r="B1393" s="25" t="s">
        <v>120</v>
      </c>
      <c r="C1393" s="25" t="s">
        <v>26</v>
      </c>
      <c r="D1393" s="51">
        <v>1354</v>
      </c>
    </row>
    <row r="1394" spans="1:4" x14ac:dyDescent="0.2">
      <c r="A1394" s="24">
        <v>43497</v>
      </c>
      <c r="B1394" s="25" t="s">
        <v>121</v>
      </c>
      <c r="C1394" s="25" t="s">
        <v>26</v>
      </c>
      <c r="D1394" s="51">
        <v>1147</v>
      </c>
    </row>
    <row r="1395" spans="1:4" x14ac:dyDescent="0.2">
      <c r="A1395" s="24">
        <v>43497</v>
      </c>
      <c r="B1395" s="25" t="s">
        <v>122</v>
      </c>
      <c r="C1395" s="25" t="s">
        <v>26</v>
      </c>
      <c r="D1395" s="51">
        <v>8614</v>
      </c>
    </row>
    <row r="1396" spans="1:4" x14ac:dyDescent="0.2">
      <c r="A1396" s="24">
        <v>43497</v>
      </c>
      <c r="B1396" s="25" t="s">
        <v>123</v>
      </c>
      <c r="C1396" s="25" t="s">
        <v>26</v>
      </c>
      <c r="D1396" s="51">
        <v>164339</v>
      </c>
    </row>
    <row r="1397" spans="1:4" x14ac:dyDescent="0.2">
      <c r="A1397" s="24">
        <v>43497</v>
      </c>
      <c r="B1397" s="25" t="s">
        <v>127</v>
      </c>
      <c r="C1397" s="25" t="s">
        <v>26</v>
      </c>
      <c r="D1397" s="51">
        <v>2796</v>
      </c>
    </row>
    <row r="1398" spans="1:4" x14ac:dyDescent="0.2">
      <c r="A1398" s="24">
        <v>43497</v>
      </c>
      <c r="B1398" s="25" t="s">
        <v>128</v>
      </c>
      <c r="C1398" s="25" t="s">
        <v>26</v>
      </c>
      <c r="D1398" s="51">
        <v>580</v>
      </c>
    </row>
    <row r="1399" spans="1:4" x14ac:dyDescent="0.2">
      <c r="A1399" s="24">
        <v>43497</v>
      </c>
      <c r="B1399" s="25" t="s">
        <v>117</v>
      </c>
      <c r="C1399" s="25" t="s">
        <v>2</v>
      </c>
      <c r="D1399" s="51">
        <v>24235381</v>
      </c>
    </row>
    <row r="1400" spans="1:4" x14ac:dyDescent="0.2">
      <c r="A1400" s="24">
        <v>43497</v>
      </c>
      <c r="B1400" s="25" t="s">
        <v>137</v>
      </c>
      <c r="C1400" s="25" t="s">
        <v>2</v>
      </c>
      <c r="D1400" s="51">
        <v>612866</v>
      </c>
    </row>
    <row r="1401" spans="1:4" x14ac:dyDescent="0.2">
      <c r="A1401" s="24">
        <v>43497</v>
      </c>
      <c r="B1401" s="25" t="s">
        <v>118</v>
      </c>
      <c r="C1401" s="25" t="s">
        <v>2</v>
      </c>
      <c r="D1401" s="51">
        <v>1030042</v>
      </c>
    </row>
    <row r="1402" spans="1:4" x14ac:dyDescent="0.2">
      <c r="A1402" s="24">
        <v>43497</v>
      </c>
      <c r="B1402" s="25" t="s">
        <v>119</v>
      </c>
      <c r="C1402" s="25" t="s">
        <v>2</v>
      </c>
      <c r="D1402" s="51">
        <v>1692708</v>
      </c>
    </row>
    <row r="1403" spans="1:4" x14ac:dyDescent="0.2">
      <c r="A1403" s="24">
        <v>43497</v>
      </c>
      <c r="B1403" s="25" t="s">
        <v>138</v>
      </c>
      <c r="C1403" s="25" t="s">
        <v>2</v>
      </c>
      <c r="D1403" s="51">
        <v>15</v>
      </c>
    </row>
    <row r="1404" spans="1:4" x14ac:dyDescent="0.2">
      <c r="A1404" s="24">
        <v>43497</v>
      </c>
      <c r="B1404" s="25" t="s">
        <v>139</v>
      </c>
      <c r="C1404" s="25" t="s">
        <v>2</v>
      </c>
      <c r="D1404" s="51">
        <v>502</v>
      </c>
    </row>
    <row r="1405" spans="1:4" x14ac:dyDescent="0.2">
      <c r="A1405" s="24">
        <v>43497</v>
      </c>
      <c r="B1405" s="25" t="s">
        <v>120</v>
      </c>
      <c r="C1405" s="25" t="s">
        <v>2</v>
      </c>
      <c r="D1405" s="51">
        <v>299251</v>
      </c>
    </row>
    <row r="1406" spans="1:4" x14ac:dyDescent="0.2">
      <c r="A1406" s="24">
        <v>43497</v>
      </c>
      <c r="B1406" s="25" t="s">
        <v>121</v>
      </c>
      <c r="C1406" s="25" t="s">
        <v>2</v>
      </c>
      <c r="D1406" s="51">
        <v>32805</v>
      </c>
    </row>
    <row r="1407" spans="1:4" x14ac:dyDescent="0.2">
      <c r="A1407" s="24">
        <v>43497</v>
      </c>
      <c r="B1407" s="25" t="s">
        <v>122</v>
      </c>
      <c r="C1407" s="25" t="s">
        <v>2</v>
      </c>
      <c r="D1407" s="51">
        <v>1203113</v>
      </c>
    </row>
    <row r="1408" spans="1:4" x14ac:dyDescent="0.2">
      <c r="A1408" s="24">
        <v>43497</v>
      </c>
      <c r="B1408" s="25" t="s">
        <v>123</v>
      </c>
      <c r="C1408" s="25" t="s">
        <v>2</v>
      </c>
      <c r="D1408" s="51">
        <v>2837854</v>
      </c>
    </row>
    <row r="1409" spans="1:4" x14ac:dyDescent="0.2">
      <c r="A1409" s="24">
        <v>43497</v>
      </c>
      <c r="B1409" s="25" t="s">
        <v>129</v>
      </c>
      <c r="C1409" s="25" t="s">
        <v>2</v>
      </c>
      <c r="D1409" s="51">
        <v>235026</v>
      </c>
    </row>
    <row r="1410" spans="1:4" x14ac:dyDescent="0.2">
      <c r="A1410" s="24">
        <v>43497</v>
      </c>
      <c r="B1410" s="25" t="s">
        <v>130</v>
      </c>
      <c r="C1410" s="25" t="s">
        <v>2</v>
      </c>
      <c r="D1410" s="51">
        <v>39201</v>
      </c>
    </row>
    <row r="1411" spans="1:4" x14ac:dyDescent="0.2">
      <c r="A1411" s="24">
        <v>43525</v>
      </c>
      <c r="B1411" s="25" t="s">
        <v>117</v>
      </c>
      <c r="C1411" s="25" t="s">
        <v>4</v>
      </c>
      <c r="D1411" s="51">
        <v>16865038</v>
      </c>
    </row>
    <row r="1412" spans="1:4" x14ac:dyDescent="0.2">
      <c r="A1412" s="24">
        <v>43525</v>
      </c>
      <c r="B1412" s="25" t="s">
        <v>131</v>
      </c>
      <c r="C1412" s="25" t="s">
        <v>4</v>
      </c>
      <c r="D1412" s="51">
        <v>104426</v>
      </c>
    </row>
    <row r="1413" spans="1:4" x14ac:dyDescent="0.2">
      <c r="A1413" s="24">
        <v>43525</v>
      </c>
      <c r="B1413" s="25" t="s">
        <v>132</v>
      </c>
      <c r="C1413" s="25" t="s">
        <v>4</v>
      </c>
      <c r="D1413" s="51">
        <v>56005</v>
      </c>
    </row>
    <row r="1414" spans="1:4" x14ac:dyDescent="0.2">
      <c r="A1414" s="24">
        <v>43525</v>
      </c>
      <c r="B1414" s="25" t="s">
        <v>133</v>
      </c>
      <c r="C1414" s="25" t="s">
        <v>4</v>
      </c>
      <c r="D1414" s="51">
        <v>18478</v>
      </c>
    </row>
    <row r="1415" spans="1:4" x14ac:dyDescent="0.2">
      <c r="A1415" s="24">
        <v>43525</v>
      </c>
      <c r="B1415" s="25" t="s">
        <v>118</v>
      </c>
      <c r="C1415" s="25" t="s">
        <v>4</v>
      </c>
      <c r="D1415" s="51">
        <v>1388228</v>
      </c>
    </row>
    <row r="1416" spans="1:4" x14ac:dyDescent="0.2">
      <c r="A1416" s="24">
        <v>43525</v>
      </c>
      <c r="B1416" s="25" t="s">
        <v>134</v>
      </c>
      <c r="C1416" s="25" t="s">
        <v>4</v>
      </c>
      <c r="D1416" s="51">
        <v>24315</v>
      </c>
    </row>
    <row r="1417" spans="1:4" x14ac:dyDescent="0.2">
      <c r="A1417" s="24">
        <v>43525</v>
      </c>
      <c r="B1417" s="25" t="s">
        <v>135</v>
      </c>
      <c r="C1417" s="25" t="s">
        <v>4</v>
      </c>
      <c r="D1417" s="51">
        <v>16792</v>
      </c>
    </row>
    <row r="1418" spans="1:4" x14ac:dyDescent="0.2">
      <c r="A1418" s="24">
        <v>43525</v>
      </c>
      <c r="B1418" s="25" t="s">
        <v>136</v>
      </c>
      <c r="C1418" s="25" t="s">
        <v>4</v>
      </c>
      <c r="D1418" s="51">
        <v>4803</v>
      </c>
    </row>
    <row r="1419" spans="1:4" x14ac:dyDescent="0.2">
      <c r="A1419" s="24">
        <v>43525</v>
      </c>
      <c r="B1419" s="25" t="s">
        <v>119</v>
      </c>
      <c r="C1419" s="25" t="s">
        <v>4</v>
      </c>
      <c r="D1419" s="51">
        <v>2273012</v>
      </c>
    </row>
    <row r="1420" spans="1:4" x14ac:dyDescent="0.2">
      <c r="A1420" s="24">
        <v>43525</v>
      </c>
      <c r="B1420" s="25" t="s">
        <v>138</v>
      </c>
      <c r="C1420" s="25" t="s">
        <v>4</v>
      </c>
      <c r="D1420" s="51">
        <v>90</v>
      </c>
    </row>
    <row r="1421" spans="1:4" x14ac:dyDescent="0.2">
      <c r="A1421" s="24">
        <v>43525</v>
      </c>
      <c r="B1421" s="25" t="s">
        <v>139</v>
      </c>
      <c r="C1421" s="25" t="s">
        <v>4</v>
      </c>
      <c r="D1421" s="51">
        <v>989</v>
      </c>
    </row>
    <row r="1422" spans="1:4" x14ac:dyDescent="0.2">
      <c r="A1422" s="24">
        <v>43525</v>
      </c>
      <c r="B1422" s="25" t="s">
        <v>120</v>
      </c>
      <c r="C1422" s="25" t="s">
        <v>4</v>
      </c>
      <c r="D1422" s="51">
        <v>94200</v>
      </c>
    </row>
    <row r="1423" spans="1:4" x14ac:dyDescent="0.2">
      <c r="A1423" s="24">
        <v>43525</v>
      </c>
      <c r="B1423" s="25" t="s">
        <v>121</v>
      </c>
      <c r="C1423" s="25" t="s">
        <v>4</v>
      </c>
      <c r="D1423" s="51">
        <v>43399</v>
      </c>
    </row>
    <row r="1424" spans="1:4" x14ac:dyDescent="0.2">
      <c r="A1424" s="24">
        <v>43525</v>
      </c>
      <c r="B1424" s="25" t="s">
        <v>140</v>
      </c>
      <c r="C1424" s="25" t="s">
        <v>4</v>
      </c>
      <c r="D1424" s="51">
        <v>9767</v>
      </c>
    </row>
    <row r="1425" spans="1:4" x14ac:dyDescent="0.2">
      <c r="A1425" s="24">
        <v>43525</v>
      </c>
      <c r="B1425" s="25" t="s">
        <v>141</v>
      </c>
      <c r="C1425" s="25" t="s">
        <v>4</v>
      </c>
      <c r="D1425" s="51">
        <v>0</v>
      </c>
    </row>
    <row r="1426" spans="1:4" x14ac:dyDescent="0.2">
      <c r="A1426" s="24">
        <v>43525</v>
      </c>
      <c r="B1426" s="25" t="s">
        <v>122</v>
      </c>
      <c r="C1426" s="25" t="s">
        <v>4</v>
      </c>
      <c r="D1426" s="51">
        <v>3406548</v>
      </c>
    </row>
    <row r="1427" spans="1:4" x14ac:dyDescent="0.2">
      <c r="A1427" s="24">
        <v>43525</v>
      </c>
      <c r="B1427" s="25" t="s">
        <v>123</v>
      </c>
      <c r="C1427" s="25" t="s">
        <v>4</v>
      </c>
      <c r="D1427" s="51">
        <v>4436133</v>
      </c>
    </row>
    <row r="1428" spans="1:4" x14ac:dyDescent="0.2">
      <c r="A1428" s="24">
        <v>43525</v>
      </c>
      <c r="B1428" s="25" t="s">
        <v>117</v>
      </c>
      <c r="C1428" s="25" t="s">
        <v>8</v>
      </c>
      <c r="D1428" s="51">
        <v>891646</v>
      </c>
    </row>
    <row r="1429" spans="1:4" x14ac:dyDescent="0.2">
      <c r="A1429" s="24">
        <v>43525</v>
      </c>
      <c r="B1429" s="25" t="s">
        <v>137</v>
      </c>
      <c r="C1429" s="25" t="s">
        <v>8</v>
      </c>
      <c r="D1429" s="51">
        <v>52039</v>
      </c>
    </row>
    <row r="1430" spans="1:4" x14ac:dyDescent="0.2">
      <c r="A1430" s="24">
        <v>43525</v>
      </c>
      <c r="B1430" s="25" t="s">
        <v>118</v>
      </c>
      <c r="C1430" s="25" t="s">
        <v>8</v>
      </c>
      <c r="D1430" s="51">
        <v>69720</v>
      </c>
    </row>
    <row r="1431" spans="1:4" x14ac:dyDescent="0.2">
      <c r="A1431" s="24">
        <v>43525</v>
      </c>
      <c r="B1431" s="25" t="s">
        <v>119</v>
      </c>
      <c r="C1431" s="25" t="s">
        <v>8</v>
      </c>
      <c r="D1431" s="51">
        <v>28579</v>
      </c>
    </row>
    <row r="1432" spans="1:4" x14ac:dyDescent="0.2">
      <c r="A1432" s="24">
        <v>43525</v>
      </c>
      <c r="B1432" s="25" t="s">
        <v>138</v>
      </c>
      <c r="C1432" s="25" t="s">
        <v>8</v>
      </c>
      <c r="D1432" s="51">
        <v>6</v>
      </c>
    </row>
    <row r="1433" spans="1:4" x14ac:dyDescent="0.2">
      <c r="A1433" s="24">
        <v>43525</v>
      </c>
      <c r="B1433" s="25" t="s">
        <v>139</v>
      </c>
      <c r="C1433" s="25" t="s">
        <v>8</v>
      </c>
      <c r="D1433" s="51">
        <v>13</v>
      </c>
    </row>
    <row r="1434" spans="1:4" x14ac:dyDescent="0.2">
      <c r="A1434" s="24">
        <v>43525</v>
      </c>
      <c r="B1434" s="25" t="s">
        <v>120</v>
      </c>
      <c r="C1434" s="25" t="s">
        <v>8</v>
      </c>
      <c r="D1434" s="51">
        <v>4519</v>
      </c>
    </row>
    <row r="1435" spans="1:4" x14ac:dyDescent="0.2">
      <c r="A1435" s="24">
        <v>43525</v>
      </c>
      <c r="B1435" s="25" t="s">
        <v>121</v>
      </c>
      <c r="C1435" s="25" t="s">
        <v>8</v>
      </c>
      <c r="D1435" s="51">
        <v>2303</v>
      </c>
    </row>
    <row r="1436" spans="1:4" x14ac:dyDescent="0.2">
      <c r="A1436" s="24">
        <v>43525</v>
      </c>
      <c r="B1436" s="25" t="s">
        <v>122</v>
      </c>
      <c r="C1436" s="25" t="s">
        <v>8</v>
      </c>
      <c r="D1436" s="51">
        <v>3635</v>
      </c>
    </row>
    <row r="1437" spans="1:4" x14ac:dyDescent="0.2">
      <c r="A1437" s="24">
        <v>43525</v>
      </c>
      <c r="B1437" s="25" t="s">
        <v>123</v>
      </c>
      <c r="C1437" s="25" t="s">
        <v>8</v>
      </c>
      <c r="D1437" s="51">
        <v>195448</v>
      </c>
    </row>
    <row r="1438" spans="1:4" x14ac:dyDescent="0.2">
      <c r="A1438" s="24">
        <v>43525</v>
      </c>
      <c r="B1438" s="25" t="s">
        <v>124</v>
      </c>
      <c r="C1438" s="25" t="s">
        <v>8</v>
      </c>
      <c r="D1438" s="51">
        <v>46412</v>
      </c>
    </row>
    <row r="1439" spans="1:4" x14ac:dyDescent="0.2">
      <c r="A1439" s="24">
        <v>43525</v>
      </c>
      <c r="B1439" s="25" t="s">
        <v>125</v>
      </c>
      <c r="C1439" s="25" t="s">
        <v>8</v>
      </c>
      <c r="D1439" s="51">
        <v>6437</v>
      </c>
    </row>
    <row r="1440" spans="1:4" x14ac:dyDescent="0.2">
      <c r="A1440" s="24">
        <v>43525</v>
      </c>
      <c r="B1440" s="25" t="s">
        <v>117</v>
      </c>
      <c r="C1440" s="25" t="s">
        <v>26</v>
      </c>
      <c r="D1440" s="51">
        <v>696793</v>
      </c>
    </row>
    <row r="1441" spans="1:4" x14ac:dyDescent="0.2">
      <c r="A1441" s="24">
        <v>43525</v>
      </c>
      <c r="B1441" s="25" t="s">
        <v>137</v>
      </c>
      <c r="C1441" s="25" t="s">
        <v>26</v>
      </c>
      <c r="D1441" s="51">
        <v>32869</v>
      </c>
    </row>
    <row r="1442" spans="1:4" x14ac:dyDescent="0.2">
      <c r="A1442" s="24">
        <v>43525</v>
      </c>
      <c r="B1442" s="25" t="s">
        <v>118</v>
      </c>
      <c r="C1442" s="25" t="s">
        <v>26</v>
      </c>
      <c r="D1442" s="51">
        <v>45828</v>
      </c>
    </row>
    <row r="1443" spans="1:4" x14ac:dyDescent="0.2">
      <c r="A1443" s="24">
        <v>43525</v>
      </c>
      <c r="B1443" s="25" t="s">
        <v>119</v>
      </c>
      <c r="C1443" s="25" t="s">
        <v>26</v>
      </c>
      <c r="D1443" s="51">
        <v>43393</v>
      </c>
    </row>
    <row r="1444" spans="1:4" x14ac:dyDescent="0.2">
      <c r="A1444" s="24">
        <v>43525</v>
      </c>
      <c r="B1444" s="25" t="s">
        <v>138</v>
      </c>
      <c r="C1444" s="25" t="s">
        <v>26</v>
      </c>
      <c r="D1444" s="51">
        <v>1</v>
      </c>
    </row>
    <row r="1445" spans="1:4" x14ac:dyDescent="0.2">
      <c r="A1445" s="24">
        <v>43525</v>
      </c>
      <c r="B1445" s="25" t="s">
        <v>139</v>
      </c>
      <c r="C1445" s="25" t="s">
        <v>26</v>
      </c>
      <c r="D1445" s="51">
        <v>15</v>
      </c>
    </row>
    <row r="1446" spans="1:4" x14ac:dyDescent="0.2">
      <c r="A1446" s="24">
        <v>43525</v>
      </c>
      <c r="B1446" s="25" t="s">
        <v>120</v>
      </c>
      <c r="C1446" s="25" t="s">
        <v>26</v>
      </c>
      <c r="D1446" s="51">
        <v>1817</v>
      </c>
    </row>
    <row r="1447" spans="1:4" x14ac:dyDescent="0.2">
      <c r="A1447" s="24">
        <v>43525</v>
      </c>
      <c r="B1447" s="25" t="s">
        <v>121</v>
      </c>
      <c r="C1447" s="25" t="s">
        <v>26</v>
      </c>
      <c r="D1447" s="51">
        <v>1409</v>
      </c>
    </row>
    <row r="1448" spans="1:4" x14ac:dyDescent="0.2">
      <c r="A1448" s="24">
        <v>43525</v>
      </c>
      <c r="B1448" s="25" t="s">
        <v>122</v>
      </c>
      <c r="C1448" s="25" t="s">
        <v>26</v>
      </c>
      <c r="D1448" s="51">
        <v>9944</v>
      </c>
    </row>
    <row r="1449" spans="1:4" x14ac:dyDescent="0.2">
      <c r="A1449" s="24">
        <v>43525</v>
      </c>
      <c r="B1449" s="25" t="s">
        <v>123</v>
      </c>
      <c r="C1449" s="25" t="s">
        <v>26</v>
      </c>
      <c r="D1449" s="51">
        <v>173382</v>
      </c>
    </row>
    <row r="1450" spans="1:4" x14ac:dyDescent="0.2">
      <c r="A1450" s="24">
        <v>43525</v>
      </c>
      <c r="B1450" s="25" t="s">
        <v>127</v>
      </c>
      <c r="C1450" s="25" t="s">
        <v>26</v>
      </c>
      <c r="D1450" s="51">
        <v>3569</v>
      </c>
    </row>
    <row r="1451" spans="1:4" x14ac:dyDescent="0.2">
      <c r="A1451" s="24">
        <v>43525</v>
      </c>
      <c r="B1451" s="25" t="s">
        <v>128</v>
      </c>
      <c r="C1451" s="25" t="s">
        <v>26</v>
      </c>
      <c r="D1451" s="51">
        <v>1046</v>
      </c>
    </row>
    <row r="1452" spans="1:4" x14ac:dyDescent="0.2">
      <c r="A1452" s="24">
        <v>43525</v>
      </c>
      <c r="B1452" s="25" t="s">
        <v>117</v>
      </c>
      <c r="C1452" s="25" t="s">
        <v>2</v>
      </c>
      <c r="D1452" s="51">
        <v>26870901</v>
      </c>
    </row>
    <row r="1453" spans="1:4" x14ac:dyDescent="0.2">
      <c r="A1453" s="24">
        <v>43525</v>
      </c>
      <c r="B1453" s="25" t="s">
        <v>137</v>
      </c>
      <c r="C1453" s="25" t="s">
        <v>2</v>
      </c>
      <c r="D1453" s="51">
        <v>715994</v>
      </c>
    </row>
    <row r="1454" spans="1:4" x14ac:dyDescent="0.2">
      <c r="A1454" s="24">
        <v>43525</v>
      </c>
      <c r="B1454" s="25" t="s">
        <v>118</v>
      </c>
      <c r="C1454" s="25" t="s">
        <v>2</v>
      </c>
      <c r="D1454" s="51">
        <v>1091466</v>
      </c>
    </row>
    <row r="1455" spans="1:4" x14ac:dyDescent="0.2">
      <c r="A1455" s="24">
        <v>43525</v>
      </c>
      <c r="B1455" s="25" t="s">
        <v>119</v>
      </c>
      <c r="C1455" s="25" t="s">
        <v>2</v>
      </c>
      <c r="D1455" s="51">
        <v>2792174</v>
      </c>
    </row>
    <row r="1456" spans="1:4" x14ac:dyDescent="0.2">
      <c r="A1456" s="24">
        <v>43525</v>
      </c>
      <c r="B1456" s="25" t="s">
        <v>138</v>
      </c>
      <c r="C1456" s="25" t="s">
        <v>2</v>
      </c>
      <c r="D1456" s="51">
        <v>54</v>
      </c>
    </row>
    <row r="1457" spans="1:4" x14ac:dyDescent="0.2">
      <c r="A1457" s="24">
        <v>43525</v>
      </c>
      <c r="B1457" s="25" t="s">
        <v>139</v>
      </c>
      <c r="C1457" s="25" t="s">
        <v>2</v>
      </c>
      <c r="D1457" s="51">
        <v>685</v>
      </c>
    </row>
    <row r="1458" spans="1:4" x14ac:dyDescent="0.2">
      <c r="A1458" s="24">
        <v>43525</v>
      </c>
      <c r="B1458" s="25" t="s">
        <v>120</v>
      </c>
      <c r="C1458" s="25" t="s">
        <v>2</v>
      </c>
      <c r="D1458" s="51">
        <v>330137</v>
      </c>
    </row>
    <row r="1459" spans="1:4" x14ac:dyDescent="0.2">
      <c r="A1459" s="24">
        <v>43525</v>
      </c>
      <c r="B1459" s="25" t="s">
        <v>121</v>
      </c>
      <c r="C1459" s="25" t="s">
        <v>2</v>
      </c>
      <c r="D1459" s="51">
        <v>34783</v>
      </c>
    </row>
    <row r="1460" spans="1:4" x14ac:dyDescent="0.2">
      <c r="A1460" s="24">
        <v>43525</v>
      </c>
      <c r="B1460" s="25" t="s">
        <v>122</v>
      </c>
      <c r="C1460" s="25" t="s">
        <v>2</v>
      </c>
      <c r="D1460" s="51">
        <v>1321749</v>
      </c>
    </row>
    <row r="1461" spans="1:4" x14ac:dyDescent="0.2">
      <c r="A1461" s="24">
        <v>43525</v>
      </c>
      <c r="B1461" s="25" t="s">
        <v>123</v>
      </c>
      <c r="C1461" s="25" t="s">
        <v>2</v>
      </c>
      <c r="D1461" s="51">
        <v>3059039</v>
      </c>
    </row>
    <row r="1462" spans="1:4" x14ac:dyDescent="0.2">
      <c r="A1462" s="24">
        <v>43525</v>
      </c>
      <c r="B1462" s="25" t="s">
        <v>129</v>
      </c>
      <c r="C1462" s="25" t="s">
        <v>2</v>
      </c>
      <c r="D1462" s="51">
        <v>268079</v>
      </c>
    </row>
    <row r="1463" spans="1:4" x14ac:dyDescent="0.2">
      <c r="A1463" s="24">
        <v>43525</v>
      </c>
      <c r="B1463" s="25" t="s">
        <v>130</v>
      </c>
      <c r="C1463" s="25" t="s">
        <v>2</v>
      </c>
      <c r="D1463" s="51">
        <v>45205</v>
      </c>
    </row>
    <row r="1464" spans="1:4" x14ac:dyDescent="0.2">
      <c r="A1464" s="24">
        <v>43556</v>
      </c>
      <c r="B1464" s="25" t="s">
        <v>117</v>
      </c>
      <c r="C1464" s="25" t="s">
        <v>4</v>
      </c>
      <c r="D1464" s="51">
        <v>14959627</v>
      </c>
    </row>
    <row r="1465" spans="1:4" x14ac:dyDescent="0.2">
      <c r="A1465" s="24">
        <v>43556</v>
      </c>
      <c r="B1465" s="25" t="s">
        <v>131</v>
      </c>
      <c r="C1465" s="25" t="s">
        <v>4</v>
      </c>
      <c r="D1465" s="51">
        <v>93026</v>
      </c>
    </row>
    <row r="1466" spans="1:4" x14ac:dyDescent="0.2">
      <c r="A1466" s="24">
        <v>43556</v>
      </c>
      <c r="B1466" s="25" t="s">
        <v>132</v>
      </c>
      <c r="C1466" s="25" t="s">
        <v>4</v>
      </c>
      <c r="D1466" s="51">
        <v>48668</v>
      </c>
    </row>
    <row r="1467" spans="1:4" x14ac:dyDescent="0.2">
      <c r="A1467" s="24">
        <v>43556</v>
      </c>
      <c r="B1467" s="25" t="s">
        <v>133</v>
      </c>
      <c r="C1467" s="25" t="s">
        <v>4</v>
      </c>
      <c r="D1467" s="51">
        <v>17329</v>
      </c>
    </row>
    <row r="1468" spans="1:4" x14ac:dyDescent="0.2">
      <c r="A1468" s="24">
        <v>43556</v>
      </c>
      <c r="B1468" s="25" t="s">
        <v>118</v>
      </c>
      <c r="C1468" s="25" t="s">
        <v>4</v>
      </c>
      <c r="D1468" s="51">
        <v>1449736</v>
      </c>
    </row>
    <row r="1469" spans="1:4" x14ac:dyDescent="0.2">
      <c r="A1469" s="24">
        <v>43556</v>
      </c>
      <c r="B1469" s="25" t="s">
        <v>134</v>
      </c>
      <c r="C1469" s="25" t="s">
        <v>4</v>
      </c>
      <c r="D1469" s="51">
        <v>27868</v>
      </c>
    </row>
    <row r="1470" spans="1:4" x14ac:dyDescent="0.2">
      <c r="A1470" s="24">
        <v>43556</v>
      </c>
      <c r="B1470" s="25" t="s">
        <v>135</v>
      </c>
      <c r="C1470" s="25" t="s">
        <v>4</v>
      </c>
      <c r="D1470" s="51">
        <v>21897</v>
      </c>
    </row>
    <row r="1471" spans="1:4" x14ac:dyDescent="0.2">
      <c r="A1471" s="24">
        <v>43556</v>
      </c>
      <c r="B1471" s="25" t="s">
        <v>136</v>
      </c>
      <c r="C1471" s="25" t="s">
        <v>4</v>
      </c>
      <c r="D1471" s="51">
        <v>6122</v>
      </c>
    </row>
    <row r="1472" spans="1:4" x14ac:dyDescent="0.2">
      <c r="A1472" s="24">
        <v>43556</v>
      </c>
      <c r="B1472" s="25" t="s">
        <v>119</v>
      </c>
      <c r="C1472" s="25" t="s">
        <v>4</v>
      </c>
      <c r="D1472" s="51">
        <v>1834882</v>
      </c>
    </row>
    <row r="1473" spans="1:4" x14ac:dyDescent="0.2">
      <c r="A1473" s="24">
        <v>43556</v>
      </c>
      <c r="B1473" s="25" t="s">
        <v>138</v>
      </c>
      <c r="C1473" s="25" t="s">
        <v>4</v>
      </c>
      <c r="D1473" s="51">
        <v>48</v>
      </c>
    </row>
    <row r="1474" spans="1:4" x14ac:dyDescent="0.2">
      <c r="A1474" s="24">
        <v>43556</v>
      </c>
      <c r="B1474" s="25" t="s">
        <v>139</v>
      </c>
      <c r="C1474" s="25" t="s">
        <v>4</v>
      </c>
      <c r="D1474" s="51">
        <v>773</v>
      </c>
    </row>
    <row r="1475" spans="1:4" x14ac:dyDescent="0.2">
      <c r="A1475" s="24">
        <v>43556</v>
      </c>
      <c r="B1475" s="25" t="s">
        <v>120</v>
      </c>
      <c r="C1475" s="25" t="s">
        <v>4</v>
      </c>
      <c r="D1475" s="51">
        <v>85255</v>
      </c>
    </row>
    <row r="1476" spans="1:4" x14ac:dyDescent="0.2">
      <c r="A1476" s="24">
        <v>43556</v>
      </c>
      <c r="B1476" s="25" t="s">
        <v>121</v>
      </c>
      <c r="C1476" s="25" t="s">
        <v>4</v>
      </c>
      <c r="D1476" s="51">
        <v>38720</v>
      </c>
    </row>
    <row r="1477" spans="1:4" x14ac:dyDescent="0.2">
      <c r="A1477" s="24">
        <v>43556</v>
      </c>
      <c r="B1477" s="25" t="s">
        <v>140</v>
      </c>
      <c r="C1477" s="25" t="s">
        <v>4</v>
      </c>
      <c r="D1477" s="51">
        <v>9784</v>
      </c>
    </row>
    <row r="1478" spans="1:4" x14ac:dyDescent="0.2">
      <c r="A1478" s="24">
        <v>43556</v>
      </c>
      <c r="B1478" s="25" t="s">
        <v>122</v>
      </c>
      <c r="C1478" s="25" t="s">
        <v>4</v>
      </c>
      <c r="D1478" s="51">
        <v>1735455</v>
      </c>
    </row>
    <row r="1479" spans="1:4" x14ac:dyDescent="0.2">
      <c r="A1479" s="24">
        <v>43556</v>
      </c>
      <c r="B1479" s="25" t="s">
        <v>123</v>
      </c>
      <c r="C1479" s="25" t="s">
        <v>4</v>
      </c>
      <c r="D1479" s="51">
        <v>4113032</v>
      </c>
    </row>
    <row r="1480" spans="1:4" x14ac:dyDescent="0.2">
      <c r="A1480" s="24">
        <v>43556</v>
      </c>
      <c r="B1480" s="25" t="s">
        <v>117</v>
      </c>
      <c r="C1480" s="25" t="s">
        <v>8</v>
      </c>
      <c r="D1480" s="51">
        <v>917392</v>
      </c>
    </row>
    <row r="1481" spans="1:4" x14ac:dyDescent="0.2">
      <c r="A1481" s="24">
        <v>43556</v>
      </c>
      <c r="B1481" s="25" t="s">
        <v>137</v>
      </c>
      <c r="C1481" s="25" t="s">
        <v>8</v>
      </c>
      <c r="D1481" s="51">
        <v>54154</v>
      </c>
    </row>
    <row r="1482" spans="1:4" x14ac:dyDescent="0.2">
      <c r="A1482" s="24">
        <v>43556</v>
      </c>
      <c r="B1482" s="25" t="s">
        <v>118</v>
      </c>
      <c r="C1482" s="25" t="s">
        <v>8</v>
      </c>
      <c r="D1482" s="51">
        <v>149389</v>
      </c>
    </row>
    <row r="1483" spans="1:4" x14ac:dyDescent="0.2">
      <c r="A1483" s="24">
        <v>43556</v>
      </c>
      <c r="B1483" s="25" t="s">
        <v>119</v>
      </c>
      <c r="C1483" s="25" t="s">
        <v>8</v>
      </c>
      <c r="D1483" s="51">
        <v>25473</v>
      </c>
    </row>
    <row r="1484" spans="1:4" x14ac:dyDescent="0.2">
      <c r="A1484" s="24">
        <v>43556</v>
      </c>
      <c r="B1484" s="25" t="s">
        <v>139</v>
      </c>
      <c r="C1484" s="25" t="s">
        <v>8</v>
      </c>
      <c r="D1484" s="51">
        <v>12</v>
      </c>
    </row>
    <row r="1485" spans="1:4" x14ac:dyDescent="0.2">
      <c r="A1485" s="24">
        <v>43556</v>
      </c>
      <c r="B1485" s="25" t="s">
        <v>120</v>
      </c>
      <c r="C1485" s="25" t="s">
        <v>8</v>
      </c>
      <c r="D1485" s="51">
        <v>4575</v>
      </c>
    </row>
    <row r="1486" spans="1:4" x14ac:dyDescent="0.2">
      <c r="A1486" s="24">
        <v>43556</v>
      </c>
      <c r="B1486" s="25" t="s">
        <v>121</v>
      </c>
      <c r="C1486" s="25" t="s">
        <v>8</v>
      </c>
      <c r="D1486" s="51">
        <v>2306</v>
      </c>
    </row>
    <row r="1487" spans="1:4" x14ac:dyDescent="0.2">
      <c r="A1487" s="24">
        <v>43556</v>
      </c>
      <c r="B1487" s="25" t="s">
        <v>122</v>
      </c>
      <c r="C1487" s="25" t="s">
        <v>8</v>
      </c>
      <c r="D1487" s="51">
        <v>1955</v>
      </c>
    </row>
    <row r="1488" spans="1:4" x14ac:dyDescent="0.2">
      <c r="A1488" s="24">
        <v>43556</v>
      </c>
      <c r="B1488" s="25" t="s">
        <v>123</v>
      </c>
      <c r="C1488" s="25" t="s">
        <v>8</v>
      </c>
      <c r="D1488" s="51">
        <v>211530</v>
      </c>
    </row>
    <row r="1489" spans="1:4" x14ac:dyDescent="0.2">
      <c r="A1489" s="24">
        <v>43556</v>
      </c>
      <c r="B1489" s="25" t="s">
        <v>124</v>
      </c>
      <c r="C1489" s="25" t="s">
        <v>8</v>
      </c>
      <c r="D1489" s="51">
        <v>49727</v>
      </c>
    </row>
    <row r="1490" spans="1:4" x14ac:dyDescent="0.2">
      <c r="A1490" s="24">
        <v>43556</v>
      </c>
      <c r="B1490" s="25" t="s">
        <v>125</v>
      </c>
      <c r="C1490" s="25" t="s">
        <v>8</v>
      </c>
      <c r="D1490" s="51">
        <v>15970</v>
      </c>
    </row>
    <row r="1491" spans="1:4" x14ac:dyDescent="0.2">
      <c r="A1491" s="24">
        <v>43556</v>
      </c>
      <c r="B1491" s="25" t="s">
        <v>117</v>
      </c>
      <c r="C1491" s="25" t="s">
        <v>26</v>
      </c>
      <c r="D1491" s="51">
        <v>610905</v>
      </c>
    </row>
    <row r="1492" spans="1:4" x14ac:dyDescent="0.2">
      <c r="A1492" s="24">
        <v>43556</v>
      </c>
      <c r="B1492" s="25" t="s">
        <v>137</v>
      </c>
      <c r="C1492" s="25" t="s">
        <v>26</v>
      </c>
      <c r="D1492" s="51">
        <v>31478</v>
      </c>
    </row>
    <row r="1493" spans="1:4" x14ac:dyDescent="0.2">
      <c r="A1493" s="24">
        <v>43556</v>
      </c>
      <c r="B1493" s="25" t="s">
        <v>118</v>
      </c>
      <c r="C1493" s="25" t="s">
        <v>26</v>
      </c>
      <c r="D1493" s="51">
        <v>57364</v>
      </c>
    </row>
    <row r="1494" spans="1:4" x14ac:dyDescent="0.2">
      <c r="A1494" s="24">
        <v>43556</v>
      </c>
      <c r="B1494" s="25" t="s">
        <v>119</v>
      </c>
      <c r="C1494" s="25" t="s">
        <v>26</v>
      </c>
      <c r="D1494" s="51">
        <v>33409</v>
      </c>
    </row>
    <row r="1495" spans="1:4" x14ac:dyDescent="0.2">
      <c r="A1495" s="24">
        <v>43556</v>
      </c>
      <c r="B1495" s="25" t="s">
        <v>139</v>
      </c>
      <c r="C1495" s="25" t="s">
        <v>26</v>
      </c>
      <c r="D1495" s="51">
        <v>5</v>
      </c>
    </row>
    <row r="1496" spans="1:4" x14ac:dyDescent="0.2">
      <c r="A1496" s="24">
        <v>43556</v>
      </c>
      <c r="B1496" s="25" t="s">
        <v>120</v>
      </c>
      <c r="C1496" s="25" t="s">
        <v>26</v>
      </c>
      <c r="D1496" s="51">
        <v>1496</v>
      </c>
    </row>
    <row r="1497" spans="1:4" x14ac:dyDescent="0.2">
      <c r="A1497" s="24">
        <v>43556</v>
      </c>
      <c r="B1497" s="25" t="s">
        <v>121</v>
      </c>
      <c r="C1497" s="25" t="s">
        <v>26</v>
      </c>
      <c r="D1497" s="51">
        <v>1259</v>
      </c>
    </row>
    <row r="1498" spans="1:4" x14ac:dyDescent="0.2">
      <c r="A1498" s="24">
        <v>43556</v>
      </c>
      <c r="B1498" s="25" t="s">
        <v>122</v>
      </c>
      <c r="C1498" s="25" t="s">
        <v>26</v>
      </c>
      <c r="D1498" s="51">
        <v>5178</v>
      </c>
    </row>
    <row r="1499" spans="1:4" x14ac:dyDescent="0.2">
      <c r="A1499" s="24">
        <v>43556</v>
      </c>
      <c r="B1499" s="25" t="s">
        <v>123</v>
      </c>
      <c r="C1499" s="25" t="s">
        <v>26</v>
      </c>
      <c r="D1499" s="51">
        <v>159245</v>
      </c>
    </row>
    <row r="1500" spans="1:4" x14ac:dyDescent="0.2">
      <c r="A1500" s="24">
        <v>43556</v>
      </c>
      <c r="B1500" s="25" t="s">
        <v>127</v>
      </c>
      <c r="C1500" s="25" t="s">
        <v>26</v>
      </c>
      <c r="D1500" s="51">
        <v>3567</v>
      </c>
    </row>
    <row r="1501" spans="1:4" x14ac:dyDescent="0.2">
      <c r="A1501" s="24">
        <v>43556</v>
      </c>
      <c r="B1501" s="25" t="s">
        <v>128</v>
      </c>
      <c r="C1501" s="25" t="s">
        <v>26</v>
      </c>
      <c r="D1501" s="51">
        <v>1620</v>
      </c>
    </row>
    <row r="1502" spans="1:4" x14ac:dyDescent="0.2">
      <c r="A1502" s="24">
        <v>43556</v>
      </c>
      <c r="B1502" s="25" t="s">
        <v>117</v>
      </c>
      <c r="C1502" s="25" t="s">
        <v>2</v>
      </c>
      <c r="D1502" s="51">
        <v>24276410</v>
      </c>
    </row>
    <row r="1503" spans="1:4" x14ac:dyDescent="0.2">
      <c r="A1503" s="24">
        <v>43556</v>
      </c>
      <c r="B1503" s="25" t="s">
        <v>137</v>
      </c>
      <c r="C1503" s="25" t="s">
        <v>2</v>
      </c>
      <c r="D1503" s="51">
        <v>710888</v>
      </c>
    </row>
    <row r="1504" spans="1:4" x14ac:dyDescent="0.2">
      <c r="A1504" s="24">
        <v>43556</v>
      </c>
      <c r="B1504" s="25" t="s">
        <v>118</v>
      </c>
      <c r="C1504" s="25" t="s">
        <v>2</v>
      </c>
      <c r="D1504" s="51">
        <v>1331399</v>
      </c>
    </row>
    <row r="1505" spans="1:4" x14ac:dyDescent="0.2">
      <c r="A1505" s="24">
        <v>43556</v>
      </c>
      <c r="B1505" s="25" t="s">
        <v>119</v>
      </c>
      <c r="C1505" s="25" t="s">
        <v>2</v>
      </c>
      <c r="D1505" s="51">
        <v>2257676</v>
      </c>
    </row>
    <row r="1506" spans="1:4" x14ac:dyDescent="0.2">
      <c r="A1506" s="24">
        <v>43556</v>
      </c>
      <c r="B1506" s="25" t="s">
        <v>138</v>
      </c>
      <c r="C1506" s="25" t="s">
        <v>2</v>
      </c>
      <c r="D1506" s="51">
        <v>23</v>
      </c>
    </row>
    <row r="1507" spans="1:4" x14ac:dyDescent="0.2">
      <c r="A1507" s="24">
        <v>43556</v>
      </c>
      <c r="B1507" s="25" t="s">
        <v>139</v>
      </c>
      <c r="C1507" s="25" t="s">
        <v>2</v>
      </c>
      <c r="D1507" s="51">
        <v>658</v>
      </c>
    </row>
    <row r="1508" spans="1:4" x14ac:dyDescent="0.2">
      <c r="A1508" s="24">
        <v>43556</v>
      </c>
      <c r="B1508" s="25" t="s">
        <v>120</v>
      </c>
      <c r="C1508" s="25" t="s">
        <v>2</v>
      </c>
      <c r="D1508" s="51">
        <v>304321</v>
      </c>
    </row>
    <row r="1509" spans="1:4" x14ac:dyDescent="0.2">
      <c r="A1509" s="24">
        <v>43556</v>
      </c>
      <c r="B1509" s="25" t="s">
        <v>121</v>
      </c>
      <c r="C1509" s="25" t="s">
        <v>2</v>
      </c>
      <c r="D1509" s="51">
        <v>31756</v>
      </c>
    </row>
    <row r="1510" spans="1:4" x14ac:dyDescent="0.2">
      <c r="A1510" s="24">
        <v>43556</v>
      </c>
      <c r="B1510" s="25" t="s">
        <v>122</v>
      </c>
      <c r="C1510" s="25" t="s">
        <v>2</v>
      </c>
      <c r="D1510" s="51">
        <v>690414</v>
      </c>
    </row>
    <row r="1511" spans="1:4" x14ac:dyDescent="0.2">
      <c r="A1511" s="24">
        <v>43556</v>
      </c>
      <c r="B1511" s="25" t="s">
        <v>123</v>
      </c>
      <c r="C1511" s="25" t="s">
        <v>2</v>
      </c>
      <c r="D1511" s="51">
        <v>2898742</v>
      </c>
    </row>
    <row r="1512" spans="1:4" x14ac:dyDescent="0.2">
      <c r="A1512" s="24">
        <v>43556</v>
      </c>
      <c r="B1512" s="25" t="s">
        <v>129</v>
      </c>
      <c r="C1512" s="25" t="s">
        <v>2</v>
      </c>
      <c r="D1512" s="51">
        <v>241881</v>
      </c>
    </row>
    <row r="1513" spans="1:4" x14ac:dyDescent="0.2">
      <c r="A1513" s="24">
        <v>43556</v>
      </c>
      <c r="B1513" s="25" t="s">
        <v>130</v>
      </c>
      <c r="C1513" s="25" t="s">
        <v>2</v>
      </c>
      <c r="D1513" s="51">
        <v>66510</v>
      </c>
    </row>
    <row r="1514" spans="1:4" x14ac:dyDescent="0.2">
      <c r="A1514" s="24">
        <v>43586</v>
      </c>
      <c r="B1514" s="25" t="s">
        <v>117</v>
      </c>
      <c r="C1514" s="25" t="s">
        <v>4</v>
      </c>
      <c r="D1514" s="51">
        <v>16827324</v>
      </c>
    </row>
    <row r="1515" spans="1:4" x14ac:dyDescent="0.2">
      <c r="A1515" s="24">
        <v>43586</v>
      </c>
      <c r="B1515" s="25" t="s">
        <v>131</v>
      </c>
      <c r="C1515" s="25" t="s">
        <v>4</v>
      </c>
      <c r="D1515" s="51">
        <v>93036</v>
      </c>
    </row>
    <row r="1516" spans="1:4" x14ac:dyDescent="0.2">
      <c r="A1516" s="24">
        <v>43586</v>
      </c>
      <c r="B1516" s="25" t="s">
        <v>132</v>
      </c>
      <c r="C1516" s="25" t="s">
        <v>4</v>
      </c>
      <c r="D1516" s="51">
        <v>49965</v>
      </c>
    </row>
    <row r="1517" spans="1:4" x14ac:dyDescent="0.2">
      <c r="A1517" s="24">
        <v>43586</v>
      </c>
      <c r="B1517" s="25" t="s">
        <v>133</v>
      </c>
      <c r="C1517" s="25" t="s">
        <v>4</v>
      </c>
      <c r="D1517" s="51">
        <v>16623</v>
      </c>
    </row>
    <row r="1518" spans="1:4" x14ac:dyDescent="0.2">
      <c r="A1518" s="24">
        <v>43586</v>
      </c>
      <c r="B1518" s="25" t="s">
        <v>118</v>
      </c>
      <c r="C1518" s="25" t="s">
        <v>4</v>
      </c>
      <c r="D1518" s="51">
        <v>1256375</v>
      </c>
    </row>
    <row r="1519" spans="1:4" x14ac:dyDescent="0.2">
      <c r="A1519" s="24">
        <v>43586</v>
      </c>
      <c r="B1519" s="25" t="s">
        <v>134</v>
      </c>
      <c r="C1519" s="25" t="s">
        <v>4</v>
      </c>
      <c r="D1519" s="51">
        <v>20657</v>
      </c>
    </row>
    <row r="1520" spans="1:4" x14ac:dyDescent="0.2">
      <c r="A1520" s="24">
        <v>43586</v>
      </c>
      <c r="B1520" s="25" t="s">
        <v>135</v>
      </c>
      <c r="C1520" s="25" t="s">
        <v>4</v>
      </c>
      <c r="D1520" s="51">
        <v>14135</v>
      </c>
    </row>
    <row r="1521" spans="1:4" x14ac:dyDescent="0.2">
      <c r="A1521" s="24">
        <v>43586</v>
      </c>
      <c r="B1521" s="25" t="s">
        <v>136</v>
      </c>
      <c r="C1521" s="25" t="s">
        <v>4</v>
      </c>
      <c r="D1521" s="51">
        <v>3968</v>
      </c>
    </row>
    <row r="1522" spans="1:4" x14ac:dyDescent="0.2">
      <c r="A1522" s="24">
        <v>43586</v>
      </c>
      <c r="B1522" s="25" t="s">
        <v>119</v>
      </c>
      <c r="C1522" s="25" t="s">
        <v>4</v>
      </c>
      <c r="D1522" s="51">
        <v>1882427</v>
      </c>
    </row>
    <row r="1523" spans="1:4" x14ac:dyDescent="0.2">
      <c r="A1523" s="24">
        <v>43586</v>
      </c>
      <c r="B1523" s="25" t="s">
        <v>138</v>
      </c>
      <c r="C1523" s="25" t="s">
        <v>4</v>
      </c>
      <c r="D1523" s="51">
        <v>68</v>
      </c>
    </row>
    <row r="1524" spans="1:4" x14ac:dyDescent="0.2">
      <c r="A1524" s="24">
        <v>43586</v>
      </c>
      <c r="B1524" s="25" t="s">
        <v>139</v>
      </c>
      <c r="C1524" s="25" t="s">
        <v>4</v>
      </c>
      <c r="D1524" s="51">
        <v>787</v>
      </c>
    </row>
    <row r="1525" spans="1:4" x14ac:dyDescent="0.2">
      <c r="A1525" s="24">
        <v>43586</v>
      </c>
      <c r="B1525" s="25" t="s">
        <v>120</v>
      </c>
      <c r="C1525" s="25" t="s">
        <v>4</v>
      </c>
      <c r="D1525" s="51">
        <v>99204</v>
      </c>
    </row>
    <row r="1526" spans="1:4" x14ac:dyDescent="0.2">
      <c r="A1526" s="24">
        <v>43586</v>
      </c>
      <c r="B1526" s="25" t="s">
        <v>121</v>
      </c>
      <c r="C1526" s="25" t="s">
        <v>4</v>
      </c>
      <c r="D1526" s="51">
        <v>44534</v>
      </c>
    </row>
    <row r="1527" spans="1:4" x14ac:dyDescent="0.2">
      <c r="A1527" s="24">
        <v>43586</v>
      </c>
      <c r="B1527" s="25" t="s">
        <v>140</v>
      </c>
      <c r="C1527" s="25" t="s">
        <v>4</v>
      </c>
      <c r="D1527" s="51">
        <v>11130</v>
      </c>
    </row>
    <row r="1528" spans="1:4" x14ac:dyDescent="0.2">
      <c r="A1528" s="24">
        <v>43586</v>
      </c>
      <c r="B1528" s="25" t="s">
        <v>122</v>
      </c>
      <c r="C1528" s="25" t="s">
        <v>4</v>
      </c>
      <c r="D1528" s="51">
        <v>3592972</v>
      </c>
    </row>
    <row r="1529" spans="1:4" x14ac:dyDescent="0.2">
      <c r="A1529" s="24">
        <v>43586</v>
      </c>
      <c r="B1529" s="25" t="s">
        <v>123</v>
      </c>
      <c r="C1529" s="25" t="s">
        <v>4</v>
      </c>
      <c r="D1529" s="51">
        <v>4586037</v>
      </c>
    </row>
    <row r="1530" spans="1:4" x14ac:dyDescent="0.2">
      <c r="A1530" s="24">
        <v>43586</v>
      </c>
      <c r="B1530" s="25" t="s">
        <v>117</v>
      </c>
      <c r="C1530" s="25" t="s">
        <v>8</v>
      </c>
      <c r="D1530" s="51">
        <v>787055</v>
      </c>
    </row>
    <row r="1531" spans="1:4" x14ac:dyDescent="0.2">
      <c r="A1531" s="24">
        <v>43586</v>
      </c>
      <c r="B1531" s="25" t="s">
        <v>137</v>
      </c>
      <c r="C1531" s="25" t="s">
        <v>8</v>
      </c>
      <c r="D1531" s="51">
        <v>51727</v>
      </c>
    </row>
    <row r="1532" spans="1:4" x14ac:dyDescent="0.2">
      <c r="A1532" s="24">
        <v>43586</v>
      </c>
      <c r="B1532" s="25" t="s">
        <v>118</v>
      </c>
      <c r="C1532" s="25" t="s">
        <v>8</v>
      </c>
      <c r="D1532" s="51">
        <v>66200</v>
      </c>
    </row>
    <row r="1533" spans="1:4" x14ac:dyDescent="0.2">
      <c r="A1533" s="24">
        <v>43586</v>
      </c>
      <c r="B1533" s="25" t="s">
        <v>119</v>
      </c>
      <c r="C1533" s="25" t="s">
        <v>8</v>
      </c>
      <c r="D1533" s="51">
        <v>24888</v>
      </c>
    </row>
    <row r="1534" spans="1:4" x14ac:dyDescent="0.2">
      <c r="A1534" s="24">
        <v>43586</v>
      </c>
      <c r="B1534" s="25" t="s">
        <v>138</v>
      </c>
      <c r="C1534" s="25" t="s">
        <v>8</v>
      </c>
      <c r="D1534" s="51">
        <v>178</v>
      </c>
    </row>
    <row r="1535" spans="1:4" x14ac:dyDescent="0.2">
      <c r="A1535" s="24">
        <v>43586</v>
      </c>
      <c r="B1535" s="25" t="s">
        <v>139</v>
      </c>
      <c r="C1535" s="25" t="s">
        <v>8</v>
      </c>
      <c r="D1535" s="51">
        <v>22</v>
      </c>
    </row>
    <row r="1536" spans="1:4" x14ac:dyDescent="0.2">
      <c r="A1536" s="24">
        <v>43586</v>
      </c>
      <c r="B1536" s="25" t="s">
        <v>120</v>
      </c>
      <c r="C1536" s="25" t="s">
        <v>8</v>
      </c>
      <c r="D1536" s="51">
        <v>5002</v>
      </c>
    </row>
    <row r="1537" spans="1:4" x14ac:dyDescent="0.2">
      <c r="A1537" s="24">
        <v>43586</v>
      </c>
      <c r="B1537" s="25" t="s">
        <v>121</v>
      </c>
      <c r="C1537" s="25" t="s">
        <v>8</v>
      </c>
      <c r="D1537" s="51">
        <v>2331</v>
      </c>
    </row>
    <row r="1538" spans="1:4" x14ac:dyDescent="0.2">
      <c r="A1538" s="24">
        <v>43586</v>
      </c>
      <c r="B1538" s="25" t="s">
        <v>122</v>
      </c>
      <c r="C1538" s="25" t="s">
        <v>8</v>
      </c>
      <c r="D1538" s="51">
        <v>3720</v>
      </c>
    </row>
    <row r="1539" spans="1:4" x14ac:dyDescent="0.2">
      <c r="A1539" s="24">
        <v>43586</v>
      </c>
      <c r="B1539" s="25" t="s">
        <v>123</v>
      </c>
      <c r="C1539" s="25" t="s">
        <v>8</v>
      </c>
      <c r="D1539" s="51">
        <v>201703</v>
      </c>
    </row>
    <row r="1540" spans="1:4" x14ac:dyDescent="0.2">
      <c r="A1540" s="24">
        <v>43586</v>
      </c>
      <c r="B1540" s="25" t="s">
        <v>124</v>
      </c>
      <c r="C1540" s="25" t="s">
        <v>8</v>
      </c>
      <c r="D1540" s="51">
        <v>31501</v>
      </c>
    </row>
    <row r="1541" spans="1:4" x14ac:dyDescent="0.2">
      <c r="A1541" s="24">
        <v>43586</v>
      </c>
      <c r="B1541" s="25" t="s">
        <v>125</v>
      </c>
      <c r="C1541" s="25" t="s">
        <v>8</v>
      </c>
      <c r="D1541" s="51">
        <v>5522</v>
      </c>
    </row>
    <row r="1542" spans="1:4" x14ac:dyDescent="0.2">
      <c r="A1542" s="24">
        <v>43586</v>
      </c>
      <c r="B1542" s="25" t="s">
        <v>117</v>
      </c>
      <c r="C1542" s="25" t="s">
        <v>26</v>
      </c>
      <c r="D1542" s="51">
        <v>625322</v>
      </c>
    </row>
    <row r="1543" spans="1:4" x14ac:dyDescent="0.2">
      <c r="A1543" s="24">
        <v>43586</v>
      </c>
      <c r="B1543" s="25" t="s">
        <v>137</v>
      </c>
      <c r="C1543" s="25" t="s">
        <v>26</v>
      </c>
      <c r="D1543" s="51">
        <v>34183</v>
      </c>
    </row>
    <row r="1544" spans="1:4" x14ac:dyDescent="0.2">
      <c r="A1544" s="24">
        <v>43586</v>
      </c>
      <c r="B1544" s="25" t="s">
        <v>118</v>
      </c>
      <c r="C1544" s="25" t="s">
        <v>26</v>
      </c>
      <c r="D1544" s="51">
        <v>37874</v>
      </c>
    </row>
    <row r="1545" spans="1:4" x14ac:dyDescent="0.2">
      <c r="A1545" s="24">
        <v>43586</v>
      </c>
      <c r="B1545" s="25" t="s">
        <v>119</v>
      </c>
      <c r="C1545" s="25" t="s">
        <v>26</v>
      </c>
      <c r="D1545" s="51">
        <v>36161</v>
      </c>
    </row>
    <row r="1546" spans="1:4" x14ac:dyDescent="0.2">
      <c r="A1546" s="24">
        <v>43586</v>
      </c>
      <c r="B1546" s="25" t="s">
        <v>138</v>
      </c>
      <c r="C1546" s="25" t="s">
        <v>26</v>
      </c>
      <c r="D1546" s="51">
        <v>9</v>
      </c>
    </row>
    <row r="1547" spans="1:4" x14ac:dyDescent="0.2">
      <c r="A1547" s="24">
        <v>43586</v>
      </c>
      <c r="B1547" s="25" t="s">
        <v>139</v>
      </c>
      <c r="C1547" s="25" t="s">
        <v>26</v>
      </c>
      <c r="D1547" s="51">
        <v>13</v>
      </c>
    </row>
    <row r="1548" spans="1:4" x14ac:dyDescent="0.2">
      <c r="A1548" s="24">
        <v>43586</v>
      </c>
      <c r="B1548" s="25" t="s">
        <v>120</v>
      </c>
      <c r="C1548" s="25" t="s">
        <v>26</v>
      </c>
      <c r="D1548" s="51">
        <v>1537</v>
      </c>
    </row>
    <row r="1549" spans="1:4" x14ac:dyDescent="0.2">
      <c r="A1549" s="24">
        <v>43586</v>
      </c>
      <c r="B1549" s="25" t="s">
        <v>121</v>
      </c>
      <c r="C1549" s="25" t="s">
        <v>26</v>
      </c>
      <c r="D1549" s="51">
        <v>1393</v>
      </c>
    </row>
    <row r="1550" spans="1:4" x14ac:dyDescent="0.2">
      <c r="A1550" s="24">
        <v>43586</v>
      </c>
      <c r="B1550" s="25" t="s">
        <v>122</v>
      </c>
      <c r="C1550" s="25" t="s">
        <v>26</v>
      </c>
      <c r="D1550" s="51">
        <v>11280</v>
      </c>
    </row>
    <row r="1551" spans="1:4" x14ac:dyDescent="0.2">
      <c r="A1551" s="24">
        <v>43586</v>
      </c>
      <c r="B1551" s="25" t="s">
        <v>123</v>
      </c>
      <c r="C1551" s="25" t="s">
        <v>26</v>
      </c>
      <c r="D1551" s="51">
        <v>161232</v>
      </c>
    </row>
    <row r="1552" spans="1:4" x14ac:dyDescent="0.2">
      <c r="A1552" s="24">
        <v>43586</v>
      </c>
      <c r="B1552" s="25" t="s">
        <v>127</v>
      </c>
      <c r="C1552" s="25" t="s">
        <v>26</v>
      </c>
      <c r="D1552" s="51">
        <v>2534</v>
      </c>
    </row>
    <row r="1553" spans="1:4" x14ac:dyDescent="0.2">
      <c r="A1553" s="24">
        <v>43586</v>
      </c>
      <c r="B1553" s="25" t="s">
        <v>128</v>
      </c>
      <c r="C1553" s="25" t="s">
        <v>26</v>
      </c>
      <c r="D1553" s="51">
        <v>632</v>
      </c>
    </row>
    <row r="1554" spans="1:4" x14ac:dyDescent="0.2">
      <c r="A1554" s="24">
        <v>43586</v>
      </c>
      <c r="B1554" s="25" t="s">
        <v>117</v>
      </c>
      <c r="C1554" s="25" t="s">
        <v>142</v>
      </c>
      <c r="D1554" s="51">
        <v>219429</v>
      </c>
    </row>
    <row r="1555" spans="1:4" x14ac:dyDescent="0.2">
      <c r="A1555" s="24">
        <v>43586</v>
      </c>
      <c r="B1555" s="25" t="s">
        <v>137</v>
      </c>
      <c r="C1555" s="25" t="s">
        <v>142</v>
      </c>
      <c r="D1555" s="51">
        <v>7887</v>
      </c>
    </row>
    <row r="1556" spans="1:4" x14ac:dyDescent="0.2">
      <c r="A1556" s="24">
        <v>43586</v>
      </c>
      <c r="B1556" s="25" t="s">
        <v>118</v>
      </c>
      <c r="C1556" s="25" t="s">
        <v>142</v>
      </c>
      <c r="D1556" s="51">
        <v>6186</v>
      </c>
    </row>
    <row r="1557" spans="1:4" x14ac:dyDescent="0.2">
      <c r="A1557" s="24">
        <v>43586</v>
      </c>
      <c r="B1557" s="25" t="s">
        <v>119</v>
      </c>
      <c r="C1557" s="25" t="s">
        <v>142</v>
      </c>
      <c r="D1557" s="51">
        <v>19058</v>
      </c>
    </row>
    <row r="1558" spans="1:4" x14ac:dyDescent="0.2">
      <c r="A1558" s="24">
        <v>43586</v>
      </c>
      <c r="B1558" s="25" t="s">
        <v>139</v>
      </c>
      <c r="C1558" s="25" t="s">
        <v>142</v>
      </c>
      <c r="D1558" s="51">
        <v>5</v>
      </c>
    </row>
    <row r="1559" spans="1:4" x14ac:dyDescent="0.2">
      <c r="A1559" s="24">
        <v>43586</v>
      </c>
      <c r="B1559" s="25" t="s">
        <v>120</v>
      </c>
      <c r="C1559" s="25" t="s">
        <v>142</v>
      </c>
      <c r="D1559" s="51">
        <v>3142</v>
      </c>
    </row>
    <row r="1560" spans="1:4" x14ac:dyDescent="0.2">
      <c r="A1560" s="24">
        <v>43586</v>
      </c>
      <c r="B1560" s="25" t="s">
        <v>121</v>
      </c>
      <c r="C1560" s="25" t="s">
        <v>142</v>
      </c>
      <c r="D1560" s="51">
        <v>333</v>
      </c>
    </row>
    <row r="1561" spans="1:4" x14ac:dyDescent="0.2">
      <c r="A1561" s="24">
        <v>43586</v>
      </c>
      <c r="B1561" s="25" t="s">
        <v>122</v>
      </c>
      <c r="C1561" s="25" t="s">
        <v>142</v>
      </c>
      <c r="D1561" s="51">
        <v>13436</v>
      </c>
    </row>
    <row r="1562" spans="1:4" x14ac:dyDescent="0.2">
      <c r="A1562" s="24">
        <v>43586</v>
      </c>
      <c r="B1562" s="25" t="s">
        <v>123</v>
      </c>
      <c r="C1562" s="25" t="s">
        <v>142</v>
      </c>
      <c r="D1562" s="51">
        <v>24600</v>
      </c>
    </row>
    <row r="1563" spans="1:4" x14ac:dyDescent="0.2">
      <c r="A1563" s="24">
        <v>43586</v>
      </c>
      <c r="B1563" s="25" t="s">
        <v>129</v>
      </c>
      <c r="C1563" s="25" t="s">
        <v>142</v>
      </c>
      <c r="D1563" s="51">
        <v>1696</v>
      </c>
    </row>
    <row r="1564" spans="1:4" x14ac:dyDescent="0.2">
      <c r="A1564" s="24">
        <v>43586</v>
      </c>
      <c r="B1564" s="25" t="s">
        <v>130</v>
      </c>
      <c r="C1564" s="25" t="s">
        <v>142</v>
      </c>
      <c r="D1564" s="51">
        <v>332</v>
      </c>
    </row>
    <row r="1565" spans="1:4" x14ac:dyDescent="0.2">
      <c r="A1565" s="24">
        <v>43586</v>
      </c>
      <c r="B1565" s="25" t="s">
        <v>117</v>
      </c>
      <c r="C1565" s="25" t="s">
        <v>2</v>
      </c>
      <c r="D1565" s="51">
        <v>27859455</v>
      </c>
    </row>
    <row r="1566" spans="1:4" x14ac:dyDescent="0.2">
      <c r="A1566" s="24">
        <v>43586</v>
      </c>
      <c r="B1566" s="25" t="s">
        <v>137</v>
      </c>
      <c r="C1566" s="25" t="s">
        <v>2</v>
      </c>
      <c r="D1566" s="51">
        <v>893575</v>
      </c>
    </row>
    <row r="1567" spans="1:4" x14ac:dyDescent="0.2">
      <c r="A1567" s="24">
        <v>43586</v>
      </c>
      <c r="B1567" s="25" t="s">
        <v>118</v>
      </c>
      <c r="C1567" s="25" t="s">
        <v>2</v>
      </c>
      <c r="D1567" s="51">
        <v>972256</v>
      </c>
    </row>
    <row r="1568" spans="1:4" x14ac:dyDescent="0.2">
      <c r="A1568" s="24">
        <v>43586</v>
      </c>
      <c r="B1568" s="25" t="s">
        <v>119</v>
      </c>
      <c r="C1568" s="25" t="s">
        <v>2</v>
      </c>
      <c r="D1568" s="51">
        <v>2479155</v>
      </c>
    </row>
    <row r="1569" spans="1:4" x14ac:dyDescent="0.2">
      <c r="A1569" s="24">
        <v>43586</v>
      </c>
      <c r="B1569" s="25" t="s">
        <v>138</v>
      </c>
      <c r="C1569" s="25" t="s">
        <v>2</v>
      </c>
      <c r="D1569" s="51">
        <v>38</v>
      </c>
    </row>
    <row r="1570" spans="1:4" x14ac:dyDescent="0.2">
      <c r="A1570" s="24">
        <v>43586</v>
      </c>
      <c r="B1570" s="25" t="s">
        <v>139</v>
      </c>
      <c r="C1570" s="25" t="s">
        <v>2</v>
      </c>
      <c r="D1570" s="51">
        <v>626</v>
      </c>
    </row>
    <row r="1571" spans="1:4" x14ac:dyDescent="0.2">
      <c r="A1571" s="24">
        <v>43586</v>
      </c>
      <c r="B1571" s="25" t="s">
        <v>120</v>
      </c>
      <c r="C1571" s="25" t="s">
        <v>2</v>
      </c>
      <c r="D1571" s="51">
        <v>366432</v>
      </c>
    </row>
    <row r="1572" spans="1:4" x14ac:dyDescent="0.2">
      <c r="A1572" s="24">
        <v>43586</v>
      </c>
      <c r="B1572" s="25" t="s">
        <v>121</v>
      </c>
      <c r="C1572" s="25" t="s">
        <v>2</v>
      </c>
      <c r="D1572" s="51">
        <v>38389</v>
      </c>
    </row>
    <row r="1573" spans="1:4" x14ac:dyDescent="0.2">
      <c r="A1573" s="24">
        <v>43586</v>
      </c>
      <c r="B1573" s="25" t="s">
        <v>122</v>
      </c>
      <c r="C1573" s="25" t="s">
        <v>2</v>
      </c>
      <c r="D1573" s="51">
        <v>1461690</v>
      </c>
    </row>
    <row r="1574" spans="1:4" x14ac:dyDescent="0.2">
      <c r="A1574" s="24">
        <v>43586</v>
      </c>
      <c r="B1574" s="25" t="s">
        <v>123</v>
      </c>
      <c r="C1574" s="25" t="s">
        <v>2</v>
      </c>
      <c r="D1574" s="51">
        <v>3208060</v>
      </c>
    </row>
    <row r="1575" spans="1:4" x14ac:dyDescent="0.2">
      <c r="A1575" s="24">
        <v>43586</v>
      </c>
      <c r="B1575" s="25" t="s">
        <v>129</v>
      </c>
      <c r="C1575" s="25" t="s">
        <v>2</v>
      </c>
      <c r="D1575" s="51">
        <v>236129</v>
      </c>
    </row>
    <row r="1576" spans="1:4" x14ac:dyDescent="0.2">
      <c r="A1576" s="24">
        <v>43586</v>
      </c>
      <c r="B1576" s="25" t="s">
        <v>130</v>
      </c>
      <c r="C1576" s="25" t="s">
        <v>2</v>
      </c>
      <c r="D1576" s="51">
        <v>46316</v>
      </c>
    </row>
    <row r="1577" spans="1:4" x14ac:dyDescent="0.2">
      <c r="A1577" s="24">
        <v>43617</v>
      </c>
      <c r="B1577" s="25" t="s">
        <v>117</v>
      </c>
      <c r="C1577" s="25" t="s">
        <v>4</v>
      </c>
      <c r="D1577" s="51">
        <v>14504498</v>
      </c>
    </row>
    <row r="1578" spans="1:4" x14ac:dyDescent="0.2">
      <c r="A1578" s="24">
        <v>43617</v>
      </c>
      <c r="B1578" s="25" t="s">
        <v>131</v>
      </c>
      <c r="C1578" s="25" t="s">
        <v>4</v>
      </c>
      <c r="D1578" s="51">
        <v>80555</v>
      </c>
    </row>
    <row r="1579" spans="1:4" x14ac:dyDescent="0.2">
      <c r="A1579" s="24">
        <v>43617</v>
      </c>
      <c r="B1579" s="25" t="s">
        <v>132</v>
      </c>
      <c r="C1579" s="25" t="s">
        <v>4</v>
      </c>
      <c r="D1579" s="51">
        <v>42267</v>
      </c>
    </row>
    <row r="1580" spans="1:4" x14ac:dyDescent="0.2">
      <c r="A1580" s="24">
        <v>43617</v>
      </c>
      <c r="B1580" s="25" t="s">
        <v>133</v>
      </c>
      <c r="C1580" s="25" t="s">
        <v>4</v>
      </c>
      <c r="D1580" s="51">
        <v>13191</v>
      </c>
    </row>
    <row r="1581" spans="1:4" x14ac:dyDescent="0.2">
      <c r="A1581" s="24">
        <v>43617</v>
      </c>
      <c r="B1581" s="25" t="s">
        <v>118</v>
      </c>
      <c r="C1581" s="25" t="s">
        <v>4</v>
      </c>
      <c r="D1581" s="51">
        <v>1175335</v>
      </c>
    </row>
    <row r="1582" spans="1:4" x14ac:dyDescent="0.2">
      <c r="A1582" s="24">
        <v>43617</v>
      </c>
      <c r="B1582" s="25" t="s">
        <v>134</v>
      </c>
      <c r="C1582" s="25" t="s">
        <v>4</v>
      </c>
      <c r="D1582" s="51">
        <v>19193</v>
      </c>
    </row>
    <row r="1583" spans="1:4" x14ac:dyDescent="0.2">
      <c r="A1583" s="24">
        <v>43617</v>
      </c>
      <c r="B1583" s="25" t="s">
        <v>135</v>
      </c>
      <c r="C1583" s="25" t="s">
        <v>4</v>
      </c>
      <c r="D1583" s="51">
        <v>13566</v>
      </c>
    </row>
    <row r="1584" spans="1:4" x14ac:dyDescent="0.2">
      <c r="A1584" s="24">
        <v>43617</v>
      </c>
      <c r="B1584" s="25" t="s">
        <v>136</v>
      </c>
      <c r="C1584" s="25" t="s">
        <v>4</v>
      </c>
      <c r="D1584" s="51">
        <v>3543</v>
      </c>
    </row>
    <row r="1585" spans="1:4" x14ac:dyDescent="0.2">
      <c r="A1585" s="24">
        <v>43617</v>
      </c>
      <c r="B1585" s="25" t="s">
        <v>119</v>
      </c>
      <c r="C1585" s="25" t="s">
        <v>4</v>
      </c>
      <c r="D1585" s="51">
        <v>1555717</v>
      </c>
    </row>
    <row r="1586" spans="1:4" x14ac:dyDescent="0.2">
      <c r="A1586" s="24">
        <v>43617</v>
      </c>
      <c r="B1586" s="25" t="s">
        <v>138</v>
      </c>
      <c r="C1586" s="25" t="s">
        <v>4</v>
      </c>
      <c r="D1586" s="51">
        <v>50</v>
      </c>
    </row>
    <row r="1587" spans="1:4" x14ac:dyDescent="0.2">
      <c r="A1587" s="24">
        <v>43617</v>
      </c>
      <c r="B1587" s="25" t="s">
        <v>139</v>
      </c>
      <c r="C1587" s="25" t="s">
        <v>4</v>
      </c>
      <c r="D1587" s="51">
        <v>832</v>
      </c>
    </row>
    <row r="1588" spans="1:4" x14ac:dyDescent="0.2">
      <c r="A1588" s="24">
        <v>43617</v>
      </c>
      <c r="B1588" s="25" t="s">
        <v>120</v>
      </c>
      <c r="C1588" s="25" t="s">
        <v>4</v>
      </c>
      <c r="D1588" s="51">
        <v>86459</v>
      </c>
    </row>
    <row r="1589" spans="1:4" x14ac:dyDescent="0.2">
      <c r="A1589" s="24">
        <v>43617</v>
      </c>
      <c r="B1589" s="25" t="s">
        <v>121</v>
      </c>
      <c r="C1589" s="25" t="s">
        <v>4</v>
      </c>
      <c r="D1589" s="51">
        <v>37745</v>
      </c>
    </row>
    <row r="1590" spans="1:4" x14ac:dyDescent="0.2">
      <c r="A1590" s="24">
        <v>43617</v>
      </c>
      <c r="B1590" s="25" t="s">
        <v>140</v>
      </c>
      <c r="C1590" s="25" t="s">
        <v>4</v>
      </c>
      <c r="D1590" s="51">
        <v>9946</v>
      </c>
    </row>
    <row r="1591" spans="1:4" x14ac:dyDescent="0.2">
      <c r="A1591" s="24">
        <v>43617</v>
      </c>
      <c r="B1591" s="25" t="s">
        <v>122</v>
      </c>
      <c r="C1591" s="25" t="s">
        <v>4</v>
      </c>
      <c r="D1591" s="51">
        <v>2754915</v>
      </c>
    </row>
    <row r="1592" spans="1:4" x14ac:dyDescent="0.2">
      <c r="A1592" s="24">
        <v>43617</v>
      </c>
      <c r="B1592" s="25" t="s">
        <v>123</v>
      </c>
      <c r="C1592" s="25" t="s">
        <v>4</v>
      </c>
      <c r="D1592" s="51">
        <v>3942952</v>
      </c>
    </row>
    <row r="1593" spans="1:4" x14ac:dyDescent="0.2">
      <c r="A1593" s="24">
        <v>43617</v>
      </c>
      <c r="B1593" s="25" t="s">
        <v>117</v>
      </c>
      <c r="C1593" s="25" t="s">
        <v>8</v>
      </c>
      <c r="D1593" s="51">
        <v>756440</v>
      </c>
    </row>
    <row r="1594" spans="1:4" x14ac:dyDescent="0.2">
      <c r="A1594" s="24">
        <v>43617</v>
      </c>
      <c r="B1594" s="25" t="s">
        <v>137</v>
      </c>
      <c r="C1594" s="25" t="s">
        <v>8</v>
      </c>
      <c r="D1594" s="51">
        <v>55609</v>
      </c>
    </row>
    <row r="1595" spans="1:4" x14ac:dyDescent="0.2">
      <c r="A1595" s="24">
        <v>43617</v>
      </c>
      <c r="B1595" s="25" t="s">
        <v>118</v>
      </c>
      <c r="C1595" s="25" t="s">
        <v>8</v>
      </c>
      <c r="D1595" s="51">
        <v>101453</v>
      </c>
    </row>
    <row r="1596" spans="1:4" x14ac:dyDescent="0.2">
      <c r="A1596" s="24">
        <v>43617</v>
      </c>
      <c r="B1596" s="25" t="s">
        <v>119</v>
      </c>
      <c r="C1596" s="25" t="s">
        <v>8</v>
      </c>
      <c r="D1596" s="51">
        <v>23397</v>
      </c>
    </row>
    <row r="1597" spans="1:4" x14ac:dyDescent="0.2">
      <c r="A1597" s="24">
        <v>43617</v>
      </c>
      <c r="B1597" s="25" t="s">
        <v>138</v>
      </c>
      <c r="C1597" s="25" t="s">
        <v>8</v>
      </c>
      <c r="D1597" s="51">
        <v>80</v>
      </c>
    </row>
    <row r="1598" spans="1:4" x14ac:dyDescent="0.2">
      <c r="A1598" s="24">
        <v>43617</v>
      </c>
      <c r="B1598" s="25" t="s">
        <v>139</v>
      </c>
      <c r="C1598" s="25" t="s">
        <v>8</v>
      </c>
      <c r="D1598" s="51">
        <v>8</v>
      </c>
    </row>
    <row r="1599" spans="1:4" x14ac:dyDescent="0.2">
      <c r="A1599" s="24">
        <v>43617</v>
      </c>
      <c r="B1599" s="25" t="s">
        <v>120</v>
      </c>
      <c r="C1599" s="25" t="s">
        <v>8</v>
      </c>
      <c r="D1599" s="51">
        <v>4698</v>
      </c>
    </row>
    <row r="1600" spans="1:4" x14ac:dyDescent="0.2">
      <c r="A1600" s="24">
        <v>43617</v>
      </c>
      <c r="B1600" s="25" t="s">
        <v>121</v>
      </c>
      <c r="C1600" s="25" t="s">
        <v>8</v>
      </c>
      <c r="D1600" s="51">
        <v>2020</v>
      </c>
    </row>
    <row r="1601" spans="1:4" x14ac:dyDescent="0.2">
      <c r="A1601" s="24">
        <v>43617</v>
      </c>
      <c r="B1601" s="25" t="s">
        <v>122</v>
      </c>
      <c r="C1601" s="25" t="s">
        <v>8</v>
      </c>
      <c r="D1601" s="51">
        <v>2963</v>
      </c>
    </row>
    <row r="1602" spans="1:4" x14ac:dyDescent="0.2">
      <c r="A1602" s="24">
        <v>43617</v>
      </c>
      <c r="B1602" s="25" t="s">
        <v>123</v>
      </c>
      <c r="C1602" s="25" t="s">
        <v>8</v>
      </c>
      <c r="D1602" s="51">
        <v>178127</v>
      </c>
    </row>
    <row r="1603" spans="1:4" x14ac:dyDescent="0.2">
      <c r="A1603" s="24">
        <v>43617</v>
      </c>
      <c r="B1603" s="25" t="s">
        <v>124</v>
      </c>
      <c r="C1603" s="25" t="s">
        <v>8</v>
      </c>
      <c r="D1603" s="51">
        <v>32282</v>
      </c>
    </row>
    <row r="1604" spans="1:4" x14ac:dyDescent="0.2">
      <c r="A1604" s="24">
        <v>43617</v>
      </c>
      <c r="B1604" s="25" t="s">
        <v>125</v>
      </c>
      <c r="C1604" s="25" t="s">
        <v>8</v>
      </c>
      <c r="D1604" s="51">
        <v>9985</v>
      </c>
    </row>
    <row r="1605" spans="1:4" x14ac:dyDescent="0.2">
      <c r="A1605" s="24">
        <v>43617</v>
      </c>
      <c r="B1605" s="25" t="s">
        <v>117</v>
      </c>
      <c r="C1605" s="25" t="s">
        <v>26</v>
      </c>
      <c r="D1605" s="51">
        <v>640884</v>
      </c>
    </row>
    <row r="1606" spans="1:4" x14ac:dyDescent="0.2">
      <c r="A1606" s="24">
        <v>43617</v>
      </c>
      <c r="B1606" s="25" t="s">
        <v>137</v>
      </c>
      <c r="C1606" s="25" t="s">
        <v>26</v>
      </c>
      <c r="D1606" s="51">
        <v>35044</v>
      </c>
    </row>
    <row r="1607" spans="1:4" x14ac:dyDescent="0.2">
      <c r="A1607" s="24">
        <v>43617</v>
      </c>
      <c r="B1607" s="25" t="s">
        <v>118</v>
      </c>
      <c r="C1607" s="25" t="s">
        <v>26</v>
      </c>
      <c r="D1607" s="51">
        <v>48131</v>
      </c>
    </row>
    <row r="1608" spans="1:4" x14ac:dyDescent="0.2">
      <c r="A1608" s="24">
        <v>43617</v>
      </c>
      <c r="B1608" s="25" t="s">
        <v>119</v>
      </c>
      <c r="C1608" s="25" t="s">
        <v>26</v>
      </c>
      <c r="D1608" s="51">
        <v>35869</v>
      </c>
    </row>
    <row r="1609" spans="1:4" x14ac:dyDescent="0.2">
      <c r="A1609" s="24">
        <v>43617</v>
      </c>
      <c r="B1609" s="25" t="s">
        <v>139</v>
      </c>
      <c r="C1609" s="25" t="s">
        <v>26</v>
      </c>
      <c r="D1609" s="51">
        <v>11</v>
      </c>
    </row>
    <row r="1610" spans="1:4" x14ac:dyDescent="0.2">
      <c r="A1610" s="24">
        <v>43617</v>
      </c>
      <c r="B1610" s="25" t="s">
        <v>120</v>
      </c>
      <c r="C1610" s="25" t="s">
        <v>26</v>
      </c>
      <c r="D1610" s="51">
        <v>1647</v>
      </c>
    </row>
    <row r="1611" spans="1:4" x14ac:dyDescent="0.2">
      <c r="A1611" s="24">
        <v>43617</v>
      </c>
      <c r="B1611" s="25" t="s">
        <v>121</v>
      </c>
      <c r="C1611" s="25" t="s">
        <v>26</v>
      </c>
      <c r="D1611" s="51">
        <v>1098</v>
      </c>
    </row>
    <row r="1612" spans="1:4" x14ac:dyDescent="0.2">
      <c r="A1612" s="24">
        <v>43617</v>
      </c>
      <c r="B1612" s="25" t="s">
        <v>122</v>
      </c>
      <c r="C1612" s="25" t="s">
        <v>26</v>
      </c>
      <c r="D1612" s="51">
        <v>8583</v>
      </c>
    </row>
    <row r="1613" spans="1:4" x14ac:dyDescent="0.2">
      <c r="A1613" s="24">
        <v>43617</v>
      </c>
      <c r="B1613" s="25" t="s">
        <v>123</v>
      </c>
      <c r="C1613" s="25" t="s">
        <v>26</v>
      </c>
      <c r="D1613" s="51">
        <v>161787</v>
      </c>
    </row>
    <row r="1614" spans="1:4" x14ac:dyDescent="0.2">
      <c r="A1614" s="24">
        <v>43617</v>
      </c>
      <c r="B1614" s="25" t="s">
        <v>127</v>
      </c>
      <c r="C1614" s="25" t="s">
        <v>26</v>
      </c>
      <c r="D1614" s="51">
        <v>2841</v>
      </c>
    </row>
    <row r="1615" spans="1:4" x14ac:dyDescent="0.2">
      <c r="A1615" s="24">
        <v>43617</v>
      </c>
      <c r="B1615" s="25" t="s">
        <v>128</v>
      </c>
      <c r="C1615" s="25" t="s">
        <v>26</v>
      </c>
      <c r="D1615" s="51">
        <v>785</v>
      </c>
    </row>
    <row r="1616" spans="1:4" x14ac:dyDescent="0.2">
      <c r="A1616" s="24">
        <v>43617</v>
      </c>
      <c r="B1616" s="25" t="s">
        <v>117</v>
      </c>
      <c r="C1616" s="25" t="s">
        <v>142</v>
      </c>
      <c r="D1616" s="51">
        <v>1144461</v>
      </c>
    </row>
    <row r="1617" spans="1:4" x14ac:dyDescent="0.2">
      <c r="A1617" s="24">
        <v>43617</v>
      </c>
      <c r="B1617" s="25" t="s">
        <v>137</v>
      </c>
      <c r="C1617" s="25" t="s">
        <v>142</v>
      </c>
      <c r="D1617" s="51">
        <v>34882</v>
      </c>
    </row>
    <row r="1618" spans="1:4" x14ac:dyDescent="0.2">
      <c r="A1618" s="24">
        <v>43617</v>
      </c>
      <c r="B1618" s="25" t="s">
        <v>118</v>
      </c>
      <c r="C1618" s="25" t="s">
        <v>142</v>
      </c>
      <c r="D1618" s="51">
        <v>112236</v>
      </c>
    </row>
    <row r="1619" spans="1:4" x14ac:dyDescent="0.2">
      <c r="A1619" s="24">
        <v>43617</v>
      </c>
      <c r="B1619" s="25" t="s">
        <v>119</v>
      </c>
      <c r="C1619" s="25" t="s">
        <v>142</v>
      </c>
      <c r="D1619" s="51">
        <v>145218</v>
      </c>
    </row>
    <row r="1620" spans="1:4" x14ac:dyDescent="0.2">
      <c r="A1620" s="24">
        <v>43617</v>
      </c>
      <c r="B1620" s="25" t="s">
        <v>139</v>
      </c>
      <c r="C1620" s="25" t="s">
        <v>142</v>
      </c>
      <c r="D1620" s="51">
        <v>6</v>
      </c>
    </row>
    <row r="1621" spans="1:4" x14ac:dyDescent="0.2">
      <c r="A1621" s="24">
        <v>43617</v>
      </c>
      <c r="B1621" s="25" t="s">
        <v>120</v>
      </c>
      <c r="C1621" s="25" t="s">
        <v>142</v>
      </c>
      <c r="D1621" s="51">
        <v>10974</v>
      </c>
    </row>
    <row r="1622" spans="1:4" x14ac:dyDescent="0.2">
      <c r="A1622" s="24">
        <v>43617</v>
      </c>
      <c r="B1622" s="25" t="s">
        <v>121</v>
      </c>
      <c r="C1622" s="25" t="s">
        <v>142</v>
      </c>
      <c r="D1622" s="51">
        <v>2296</v>
      </c>
    </row>
    <row r="1623" spans="1:4" x14ac:dyDescent="0.2">
      <c r="A1623" s="24">
        <v>43617</v>
      </c>
      <c r="B1623" s="25" t="s">
        <v>122</v>
      </c>
      <c r="C1623" s="25" t="s">
        <v>142</v>
      </c>
      <c r="D1623" s="51">
        <v>92249</v>
      </c>
    </row>
    <row r="1624" spans="1:4" x14ac:dyDescent="0.2">
      <c r="A1624" s="24">
        <v>43617</v>
      </c>
      <c r="B1624" s="25" t="s">
        <v>123</v>
      </c>
      <c r="C1624" s="25" t="s">
        <v>142</v>
      </c>
      <c r="D1624" s="51">
        <v>143843</v>
      </c>
    </row>
    <row r="1625" spans="1:4" x14ac:dyDescent="0.2">
      <c r="A1625" s="24">
        <v>43617</v>
      </c>
      <c r="B1625" s="25" t="s">
        <v>129</v>
      </c>
      <c r="C1625" s="25" t="s">
        <v>142</v>
      </c>
      <c r="D1625" s="51">
        <v>12588</v>
      </c>
    </row>
    <row r="1626" spans="1:4" x14ac:dyDescent="0.2">
      <c r="A1626" s="24">
        <v>43617</v>
      </c>
      <c r="B1626" s="25" t="s">
        <v>130</v>
      </c>
      <c r="C1626" s="25" t="s">
        <v>142</v>
      </c>
      <c r="D1626" s="51">
        <v>7851</v>
      </c>
    </row>
    <row r="1627" spans="1:4" x14ac:dyDescent="0.2">
      <c r="A1627" s="24">
        <v>43617</v>
      </c>
      <c r="B1627" s="25" t="s">
        <v>117</v>
      </c>
      <c r="C1627" s="25" t="s">
        <v>2</v>
      </c>
      <c r="D1627" s="51">
        <v>23861758</v>
      </c>
    </row>
    <row r="1628" spans="1:4" x14ac:dyDescent="0.2">
      <c r="A1628" s="24">
        <v>43617</v>
      </c>
      <c r="B1628" s="25" t="s">
        <v>137</v>
      </c>
      <c r="C1628" s="25" t="s">
        <v>2</v>
      </c>
      <c r="D1628" s="51">
        <v>867911</v>
      </c>
    </row>
    <row r="1629" spans="1:4" x14ac:dyDescent="0.2">
      <c r="A1629" s="24">
        <v>43617</v>
      </c>
      <c r="B1629" s="25" t="s">
        <v>118</v>
      </c>
      <c r="C1629" s="25" t="s">
        <v>2</v>
      </c>
      <c r="D1629" s="51">
        <v>1044267</v>
      </c>
    </row>
    <row r="1630" spans="1:4" x14ac:dyDescent="0.2">
      <c r="A1630" s="24">
        <v>43617</v>
      </c>
      <c r="B1630" s="25" t="s">
        <v>119</v>
      </c>
      <c r="C1630" s="25" t="s">
        <v>2</v>
      </c>
      <c r="D1630" s="51">
        <v>1808606</v>
      </c>
    </row>
    <row r="1631" spans="1:4" x14ac:dyDescent="0.2">
      <c r="A1631" s="24">
        <v>43617</v>
      </c>
      <c r="B1631" s="25" t="s">
        <v>138</v>
      </c>
      <c r="C1631" s="25" t="s">
        <v>2</v>
      </c>
      <c r="D1631" s="51">
        <v>17</v>
      </c>
    </row>
    <row r="1632" spans="1:4" x14ac:dyDescent="0.2">
      <c r="A1632" s="24">
        <v>43617</v>
      </c>
      <c r="B1632" s="25" t="s">
        <v>139</v>
      </c>
      <c r="C1632" s="25" t="s">
        <v>2</v>
      </c>
      <c r="D1632" s="51">
        <v>671</v>
      </c>
    </row>
    <row r="1633" spans="1:4" x14ac:dyDescent="0.2">
      <c r="A1633" s="24">
        <v>43617</v>
      </c>
      <c r="B1633" s="25" t="s">
        <v>120</v>
      </c>
      <c r="C1633" s="25" t="s">
        <v>2</v>
      </c>
      <c r="D1633" s="51">
        <v>326446</v>
      </c>
    </row>
    <row r="1634" spans="1:4" x14ac:dyDescent="0.2">
      <c r="A1634" s="24">
        <v>43617</v>
      </c>
      <c r="B1634" s="25" t="s">
        <v>121</v>
      </c>
      <c r="C1634" s="25" t="s">
        <v>2</v>
      </c>
      <c r="D1634" s="51">
        <v>32272</v>
      </c>
    </row>
    <row r="1635" spans="1:4" x14ac:dyDescent="0.2">
      <c r="A1635" s="24">
        <v>43617</v>
      </c>
      <c r="B1635" s="25" t="s">
        <v>122</v>
      </c>
      <c r="C1635" s="25" t="s">
        <v>2</v>
      </c>
      <c r="D1635" s="51">
        <v>1090865</v>
      </c>
    </row>
    <row r="1636" spans="1:4" x14ac:dyDescent="0.2">
      <c r="A1636" s="24">
        <v>43617</v>
      </c>
      <c r="B1636" s="25" t="s">
        <v>123</v>
      </c>
      <c r="C1636" s="25" t="s">
        <v>2</v>
      </c>
      <c r="D1636" s="51">
        <v>2807164</v>
      </c>
    </row>
    <row r="1637" spans="1:4" x14ac:dyDescent="0.2">
      <c r="A1637" s="24">
        <v>43617</v>
      </c>
      <c r="B1637" s="25" t="s">
        <v>129</v>
      </c>
      <c r="C1637" s="25" t="s">
        <v>2</v>
      </c>
      <c r="D1637" s="51">
        <v>218974</v>
      </c>
    </row>
    <row r="1638" spans="1:4" x14ac:dyDescent="0.2">
      <c r="A1638" s="24">
        <v>43617</v>
      </c>
      <c r="B1638" s="25" t="s">
        <v>130</v>
      </c>
      <c r="C1638" s="25" t="s">
        <v>2</v>
      </c>
      <c r="D1638" s="51">
        <v>53349</v>
      </c>
    </row>
    <row r="1639" spans="1:4" x14ac:dyDescent="0.2">
      <c r="A1639" s="24">
        <v>43647</v>
      </c>
      <c r="B1639" s="25" t="s">
        <v>117</v>
      </c>
      <c r="C1639" s="25" t="s">
        <v>4</v>
      </c>
      <c r="D1639" s="51">
        <v>15823165</v>
      </c>
    </row>
    <row r="1640" spans="1:4" x14ac:dyDescent="0.2">
      <c r="A1640" s="24">
        <v>43647</v>
      </c>
      <c r="B1640" s="25" t="s">
        <v>131</v>
      </c>
      <c r="C1640" s="25" t="s">
        <v>4</v>
      </c>
      <c r="D1640" s="51">
        <v>87764</v>
      </c>
    </row>
    <row r="1641" spans="1:4" x14ac:dyDescent="0.2">
      <c r="A1641" s="24">
        <v>43647</v>
      </c>
      <c r="B1641" s="25" t="s">
        <v>132</v>
      </c>
      <c r="C1641" s="25" t="s">
        <v>4</v>
      </c>
      <c r="D1641" s="51">
        <v>46970</v>
      </c>
    </row>
    <row r="1642" spans="1:4" x14ac:dyDescent="0.2">
      <c r="A1642" s="24">
        <v>43647</v>
      </c>
      <c r="B1642" s="25" t="s">
        <v>133</v>
      </c>
      <c r="C1642" s="25" t="s">
        <v>4</v>
      </c>
      <c r="D1642" s="51">
        <v>11597</v>
      </c>
    </row>
    <row r="1643" spans="1:4" x14ac:dyDescent="0.2">
      <c r="A1643" s="24">
        <v>43647</v>
      </c>
      <c r="B1643" s="25" t="s">
        <v>118</v>
      </c>
      <c r="C1643" s="25" t="s">
        <v>4</v>
      </c>
      <c r="D1643" s="51">
        <v>1578565</v>
      </c>
    </row>
    <row r="1644" spans="1:4" x14ac:dyDescent="0.2">
      <c r="A1644" s="24">
        <v>43647</v>
      </c>
      <c r="B1644" s="25" t="s">
        <v>134</v>
      </c>
      <c r="C1644" s="25" t="s">
        <v>4</v>
      </c>
      <c r="D1644" s="51">
        <v>29117</v>
      </c>
    </row>
    <row r="1645" spans="1:4" x14ac:dyDescent="0.2">
      <c r="A1645" s="24">
        <v>43647</v>
      </c>
      <c r="B1645" s="25" t="s">
        <v>135</v>
      </c>
      <c r="C1645" s="25" t="s">
        <v>4</v>
      </c>
      <c r="D1645" s="51">
        <v>21315</v>
      </c>
    </row>
    <row r="1646" spans="1:4" x14ac:dyDescent="0.2">
      <c r="A1646" s="24">
        <v>43647</v>
      </c>
      <c r="B1646" s="25" t="s">
        <v>136</v>
      </c>
      <c r="C1646" s="25" t="s">
        <v>4</v>
      </c>
      <c r="D1646" s="51">
        <v>5469</v>
      </c>
    </row>
    <row r="1647" spans="1:4" x14ac:dyDescent="0.2">
      <c r="A1647" s="24">
        <v>43647</v>
      </c>
      <c r="B1647" s="25" t="s">
        <v>119</v>
      </c>
      <c r="C1647" s="25" t="s">
        <v>4</v>
      </c>
      <c r="D1647" s="51">
        <v>1578007</v>
      </c>
    </row>
    <row r="1648" spans="1:4" x14ac:dyDescent="0.2">
      <c r="A1648" s="24">
        <v>43647</v>
      </c>
      <c r="B1648" s="25" t="s">
        <v>138</v>
      </c>
      <c r="C1648" s="25" t="s">
        <v>4</v>
      </c>
      <c r="D1648" s="51">
        <v>61</v>
      </c>
    </row>
    <row r="1649" spans="1:4" x14ac:dyDescent="0.2">
      <c r="A1649" s="24">
        <v>43647</v>
      </c>
      <c r="B1649" s="25" t="s">
        <v>139</v>
      </c>
      <c r="C1649" s="25" t="s">
        <v>4</v>
      </c>
      <c r="D1649" s="51">
        <v>900</v>
      </c>
    </row>
    <row r="1650" spans="1:4" x14ac:dyDescent="0.2">
      <c r="A1650" s="24">
        <v>43647</v>
      </c>
      <c r="B1650" s="25" t="s">
        <v>120</v>
      </c>
      <c r="C1650" s="25" t="s">
        <v>4</v>
      </c>
      <c r="D1650" s="51">
        <v>95618</v>
      </c>
    </row>
    <row r="1651" spans="1:4" x14ac:dyDescent="0.2">
      <c r="A1651" s="24">
        <v>43647</v>
      </c>
      <c r="B1651" s="25" t="s">
        <v>121</v>
      </c>
      <c r="C1651" s="25" t="s">
        <v>4</v>
      </c>
      <c r="D1651" s="51">
        <v>42759</v>
      </c>
    </row>
    <row r="1652" spans="1:4" x14ac:dyDescent="0.2">
      <c r="A1652" s="24">
        <v>43647</v>
      </c>
      <c r="B1652" s="25" t="s">
        <v>140</v>
      </c>
      <c r="C1652" s="25" t="s">
        <v>4</v>
      </c>
      <c r="D1652" s="51">
        <v>22584</v>
      </c>
    </row>
    <row r="1653" spans="1:4" x14ac:dyDescent="0.2">
      <c r="A1653" s="24">
        <v>43647</v>
      </c>
      <c r="B1653" s="25" t="s">
        <v>122</v>
      </c>
      <c r="C1653" s="25" t="s">
        <v>4</v>
      </c>
      <c r="D1653" s="51">
        <v>1644170</v>
      </c>
    </row>
    <row r="1654" spans="1:4" x14ac:dyDescent="0.2">
      <c r="A1654" s="24">
        <v>43647</v>
      </c>
      <c r="B1654" s="25" t="s">
        <v>123</v>
      </c>
      <c r="C1654" s="25" t="s">
        <v>4</v>
      </c>
      <c r="D1654" s="51">
        <v>4334952</v>
      </c>
    </row>
    <row r="1655" spans="1:4" x14ac:dyDescent="0.2">
      <c r="A1655" s="24">
        <v>43647</v>
      </c>
      <c r="B1655" s="25" t="s">
        <v>117</v>
      </c>
      <c r="C1655" s="25" t="s">
        <v>8</v>
      </c>
      <c r="D1655" s="51">
        <v>790593</v>
      </c>
    </row>
    <row r="1656" spans="1:4" x14ac:dyDescent="0.2">
      <c r="A1656" s="24">
        <v>43647</v>
      </c>
      <c r="B1656" s="25" t="s">
        <v>137</v>
      </c>
      <c r="C1656" s="25" t="s">
        <v>8</v>
      </c>
      <c r="D1656" s="51">
        <v>50349</v>
      </c>
    </row>
    <row r="1657" spans="1:4" x14ac:dyDescent="0.2">
      <c r="A1657" s="24">
        <v>43647</v>
      </c>
      <c r="B1657" s="25" t="s">
        <v>118</v>
      </c>
      <c r="C1657" s="25" t="s">
        <v>8</v>
      </c>
      <c r="D1657" s="51">
        <v>148948</v>
      </c>
    </row>
    <row r="1658" spans="1:4" x14ac:dyDescent="0.2">
      <c r="A1658" s="24">
        <v>43647</v>
      </c>
      <c r="B1658" s="25" t="s">
        <v>119</v>
      </c>
      <c r="C1658" s="25" t="s">
        <v>8</v>
      </c>
      <c r="D1658" s="51">
        <v>22642</v>
      </c>
    </row>
    <row r="1659" spans="1:4" x14ac:dyDescent="0.2">
      <c r="A1659" s="24">
        <v>43647</v>
      </c>
      <c r="B1659" s="25" t="s">
        <v>138</v>
      </c>
      <c r="C1659" s="25" t="s">
        <v>8</v>
      </c>
      <c r="D1659" s="51">
        <v>83</v>
      </c>
    </row>
    <row r="1660" spans="1:4" x14ac:dyDescent="0.2">
      <c r="A1660" s="24">
        <v>43647</v>
      </c>
      <c r="B1660" s="25" t="s">
        <v>139</v>
      </c>
      <c r="C1660" s="25" t="s">
        <v>8</v>
      </c>
      <c r="D1660" s="51">
        <v>10</v>
      </c>
    </row>
    <row r="1661" spans="1:4" x14ac:dyDescent="0.2">
      <c r="A1661" s="24">
        <v>43647</v>
      </c>
      <c r="B1661" s="25" t="s">
        <v>120</v>
      </c>
      <c r="C1661" s="25" t="s">
        <v>8</v>
      </c>
      <c r="D1661" s="51">
        <v>4647</v>
      </c>
    </row>
    <row r="1662" spans="1:4" x14ac:dyDescent="0.2">
      <c r="A1662" s="24">
        <v>43647</v>
      </c>
      <c r="B1662" s="25" t="s">
        <v>121</v>
      </c>
      <c r="C1662" s="25" t="s">
        <v>8</v>
      </c>
      <c r="D1662" s="51">
        <v>1954</v>
      </c>
    </row>
    <row r="1663" spans="1:4" x14ac:dyDescent="0.2">
      <c r="A1663" s="24">
        <v>43647</v>
      </c>
      <c r="B1663" s="25" t="s">
        <v>122</v>
      </c>
      <c r="C1663" s="25" t="s">
        <v>8</v>
      </c>
      <c r="D1663" s="51">
        <v>1752</v>
      </c>
    </row>
    <row r="1664" spans="1:4" x14ac:dyDescent="0.2">
      <c r="A1664" s="24">
        <v>43647</v>
      </c>
      <c r="B1664" s="25" t="s">
        <v>123</v>
      </c>
      <c r="C1664" s="25" t="s">
        <v>8</v>
      </c>
      <c r="D1664" s="51">
        <v>185699</v>
      </c>
    </row>
    <row r="1665" spans="1:4" x14ac:dyDescent="0.2">
      <c r="A1665" s="24">
        <v>43647</v>
      </c>
      <c r="B1665" s="25" t="s">
        <v>124</v>
      </c>
      <c r="C1665" s="25" t="s">
        <v>8</v>
      </c>
      <c r="D1665" s="51">
        <v>35865</v>
      </c>
    </row>
    <row r="1666" spans="1:4" x14ac:dyDescent="0.2">
      <c r="A1666" s="24">
        <v>43647</v>
      </c>
      <c r="B1666" s="25" t="s">
        <v>125</v>
      </c>
      <c r="C1666" s="25" t="s">
        <v>8</v>
      </c>
      <c r="D1666" s="51">
        <v>15817</v>
      </c>
    </row>
    <row r="1667" spans="1:4" x14ac:dyDescent="0.2">
      <c r="A1667" s="24">
        <v>43647</v>
      </c>
      <c r="B1667" s="25" t="s">
        <v>117</v>
      </c>
      <c r="C1667" s="25" t="s">
        <v>26</v>
      </c>
      <c r="D1667" s="51">
        <v>669127</v>
      </c>
    </row>
    <row r="1668" spans="1:4" x14ac:dyDescent="0.2">
      <c r="A1668" s="24">
        <v>43647</v>
      </c>
      <c r="B1668" s="25" t="s">
        <v>137</v>
      </c>
      <c r="C1668" s="25" t="s">
        <v>26</v>
      </c>
      <c r="D1668" s="51">
        <v>37082</v>
      </c>
    </row>
    <row r="1669" spans="1:4" x14ac:dyDescent="0.2">
      <c r="A1669" s="24">
        <v>43647</v>
      </c>
      <c r="B1669" s="25" t="s">
        <v>118</v>
      </c>
      <c r="C1669" s="25" t="s">
        <v>26</v>
      </c>
      <c r="D1669" s="51">
        <v>65526</v>
      </c>
    </row>
    <row r="1670" spans="1:4" x14ac:dyDescent="0.2">
      <c r="A1670" s="24">
        <v>43647</v>
      </c>
      <c r="B1670" s="25" t="s">
        <v>119</v>
      </c>
      <c r="C1670" s="25" t="s">
        <v>26</v>
      </c>
      <c r="D1670" s="51">
        <v>33597</v>
      </c>
    </row>
    <row r="1671" spans="1:4" x14ac:dyDescent="0.2">
      <c r="A1671" s="24">
        <v>43647</v>
      </c>
      <c r="B1671" s="25" t="s">
        <v>139</v>
      </c>
      <c r="C1671" s="25" t="s">
        <v>26</v>
      </c>
      <c r="D1671" s="51">
        <v>20</v>
      </c>
    </row>
    <row r="1672" spans="1:4" x14ac:dyDescent="0.2">
      <c r="A1672" s="24">
        <v>43647</v>
      </c>
      <c r="B1672" s="25" t="s">
        <v>120</v>
      </c>
      <c r="C1672" s="25" t="s">
        <v>26</v>
      </c>
      <c r="D1672" s="51">
        <v>1502</v>
      </c>
    </row>
    <row r="1673" spans="1:4" x14ac:dyDescent="0.2">
      <c r="A1673" s="24">
        <v>43647</v>
      </c>
      <c r="B1673" s="25" t="s">
        <v>121</v>
      </c>
      <c r="C1673" s="25" t="s">
        <v>26</v>
      </c>
      <c r="D1673" s="51">
        <v>1291</v>
      </c>
    </row>
    <row r="1674" spans="1:4" x14ac:dyDescent="0.2">
      <c r="A1674" s="24">
        <v>43647</v>
      </c>
      <c r="B1674" s="25" t="s">
        <v>122</v>
      </c>
      <c r="C1674" s="25" t="s">
        <v>26</v>
      </c>
      <c r="D1674" s="51">
        <v>4780</v>
      </c>
    </row>
    <row r="1675" spans="1:4" x14ac:dyDescent="0.2">
      <c r="A1675" s="24">
        <v>43647</v>
      </c>
      <c r="B1675" s="25" t="s">
        <v>123</v>
      </c>
      <c r="C1675" s="25" t="s">
        <v>26</v>
      </c>
      <c r="D1675" s="51">
        <v>169509</v>
      </c>
    </row>
    <row r="1676" spans="1:4" x14ac:dyDescent="0.2">
      <c r="A1676" s="24">
        <v>43647</v>
      </c>
      <c r="B1676" s="25" t="s">
        <v>127</v>
      </c>
      <c r="C1676" s="25" t="s">
        <v>26</v>
      </c>
      <c r="D1676" s="51">
        <v>2885</v>
      </c>
    </row>
    <row r="1677" spans="1:4" x14ac:dyDescent="0.2">
      <c r="A1677" s="24">
        <v>43647</v>
      </c>
      <c r="B1677" s="25" t="s">
        <v>128</v>
      </c>
      <c r="C1677" s="25" t="s">
        <v>26</v>
      </c>
      <c r="D1677" s="51">
        <v>1653</v>
      </c>
    </row>
    <row r="1678" spans="1:4" x14ac:dyDescent="0.2">
      <c r="A1678" s="24">
        <v>43647</v>
      </c>
      <c r="B1678" s="25" t="s">
        <v>117</v>
      </c>
      <c r="C1678" s="25" t="s">
        <v>142</v>
      </c>
      <c r="D1678" s="51">
        <v>1390001</v>
      </c>
    </row>
    <row r="1679" spans="1:4" x14ac:dyDescent="0.2">
      <c r="A1679" s="24">
        <v>43647</v>
      </c>
      <c r="B1679" s="25" t="s">
        <v>137</v>
      </c>
      <c r="C1679" s="25" t="s">
        <v>142</v>
      </c>
      <c r="D1679" s="51">
        <v>36923</v>
      </c>
    </row>
    <row r="1680" spans="1:4" x14ac:dyDescent="0.2">
      <c r="A1680" s="24">
        <v>43647</v>
      </c>
      <c r="B1680" s="25" t="s">
        <v>118</v>
      </c>
      <c r="C1680" s="25" t="s">
        <v>142</v>
      </c>
      <c r="D1680" s="51">
        <v>164783</v>
      </c>
    </row>
    <row r="1681" spans="1:4" x14ac:dyDescent="0.2">
      <c r="A1681" s="24">
        <v>43647</v>
      </c>
      <c r="B1681" s="25" t="s">
        <v>119</v>
      </c>
      <c r="C1681" s="25" t="s">
        <v>142</v>
      </c>
      <c r="D1681" s="51">
        <v>134159</v>
      </c>
    </row>
    <row r="1682" spans="1:4" x14ac:dyDescent="0.2">
      <c r="A1682" s="24">
        <v>43647</v>
      </c>
      <c r="B1682" s="25" t="s">
        <v>138</v>
      </c>
      <c r="C1682" s="25" t="s">
        <v>142</v>
      </c>
      <c r="D1682" s="51">
        <v>1</v>
      </c>
    </row>
    <row r="1683" spans="1:4" x14ac:dyDescent="0.2">
      <c r="A1683" s="24">
        <v>43647</v>
      </c>
      <c r="B1683" s="25" t="s">
        <v>139</v>
      </c>
      <c r="C1683" s="25" t="s">
        <v>142</v>
      </c>
      <c r="D1683" s="51">
        <v>22</v>
      </c>
    </row>
    <row r="1684" spans="1:4" x14ac:dyDescent="0.2">
      <c r="A1684" s="24">
        <v>43647</v>
      </c>
      <c r="B1684" s="25" t="s">
        <v>120</v>
      </c>
      <c r="C1684" s="25" t="s">
        <v>142</v>
      </c>
      <c r="D1684" s="51">
        <v>10328</v>
      </c>
    </row>
    <row r="1685" spans="1:4" x14ac:dyDescent="0.2">
      <c r="A1685" s="24">
        <v>43647</v>
      </c>
      <c r="B1685" s="25" t="s">
        <v>121</v>
      </c>
      <c r="C1685" s="25" t="s">
        <v>142</v>
      </c>
      <c r="D1685" s="51">
        <v>2159</v>
      </c>
    </row>
    <row r="1686" spans="1:4" x14ac:dyDescent="0.2">
      <c r="A1686" s="24">
        <v>43647</v>
      </c>
      <c r="B1686" s="25" t="s">
        <v>122</v>
      </c>
      <c r="C1686" s="25" t="s">
        <v>142</v>
      </c>
      <c r="D1686" s="51">
        <v>45109</v>
      </c>
    </row>
    <row r="1687" spans="1:4" x14ac:dyDescent="0.2">
      <c r="A1687" s="24">
        <v>43647</v>
      </c>
      <c r="B1687" s="25" t="s">
        <v>123</v>
      </c>
      <c r="C1687" s="25" t="s">
        <v>142</v>
      </c>
      <c r="D1687" s="51">
        <v>155990</v>
      </c>
    </row>
    <row r="1688" spans="1:4" x14ac:dyDescent="0.2">
      <c r="A1688" s="24">
        <v>43647</v>
      </c>
      <c r="B1688" s="25" t="s">
        <v>129</v>
      </c>
      <c r="C1688" s="25" t="s">
        <v>142</v>
      </c>
      <c r="D1688" s="51">
        <v>10958</v>
      </c>
    </row>
    <row r="1689" spans="1:4" x14ac:dyDescent="0.2">
      <c r="A1689" s="24">
        <v>43647</v>
      </c>
      <c r="B1689" s="25" t="s">
        <v>130</v>
      </c>
      <c r="C1689" s="25" t="s">
        <v>142</v>
      </c>
      <c r="D1689" s="51">
        <v>8387</v>
      </c>
    </row>
    <row r="1690" spans="1:4" x14ac:dyDescent="0.2">
      <c r="A1690" s="24">
        <v>43647</v>
      </c>
      <c r="B1690" s="25" t="s">
        <v>117</v>
      </c>
      <c r="C1690" s="25" t="s">
        <v>2</v>
      </c>
      <c r="D1690" s="51">
        <v>25768860</v>
      </c>
    </row>
    <row r="1691" spans="1:4" x14ac:dyDescent="0.2">
      <c r="A1691" s="24">
        <v>43647</v>
      </c>
      <c r="B1691" s="25" t="s">
        <v>137</v>
      </c>
      <c r="C1691" s="25" t="s">
        <v>2</v>
      </c>
      <c r="D1691" s="51">
        <v>890275</v>
      </c>
    </row>
    <row r="1692" spans="1:4" x14ac:dyDescent="0.2">
      <c r="A1692" s="24">
        <v>43647</v>
      </c>
      <c r="B1692" s="25" t="s">
        <v>118</v>
      </c>
      <c r="C1692" s="25" t="s">
        <v>2</v>
      </c>
      <c r="D1692" s="51">
        <v>1380506</v>
      </c>
    </row>
    <row r="1693" spans="1:4" x14ac:dyDescent="0.2">
      <c r="A1693" s="24">
        <v>43647</v>
      </c>
      <c r="B1693" s="25" t="s">
        <v>119</v>
      </c>
      <c r="C1693" s="25" t="s">
        <v>2</v>
      </c>
      <c r="D1693" s="51">
        <v>1800701</v>
      </c>
    </row>
    <row r="1694" spans="1:4" x14ac:dyDescent="0.2">
      <c r="A1694" s="24">
        <v>43647</v>
      </c>
      <c r="B1694" s="25" t="s">
        <v>138</v>
      </c>
      <c r="C1694" s="25" t="s">
        <v>2</v>
      </c>
      <c r="D1694" s="51">
        <v>27</v>
      </c>
    </row>
    <row r="1695" spans="1:4" x14ac:dyDescent="0.2">
      <c r="A1695" s="24">
        <v>43647</v>
      </c>
      <c r="B1695" s="25" t="s">
        <v>139</v>
      </c>
      <c r="C1695" s="25" t="s">
        <v>2</v>
      </c>
      <c r="D1695" s="51">
        <v>797</v>
      </c>
    </row>
    <row r="1696" spans="1:4" x14ac:dyDescent="0.2">
      <c r="A1696" s="24">
        <v>43647</v>
      </c>
      <c r="B1696" s="25" t="s">
        <v>120</v>
      </c>
      <c r="C1696" s="25" t="s">
        <v>2</v>
      </c>
      <c r="D1696" s="51">
        <v>351847</v>
      </c>
    </row>
    <row r="1697" spans="1:4" x14ac:dyDescent="0.2">
      <c r="A1697" s="24">
        <v>43647</v>
      </c>
      <c r="B1697" s="25" t="s">
        <v>121</v>
      </c>
      <c r="C1697" s="25" t="s">
        <v>2</v>
      </c>
      <c r="D1697" s="51">
        <v>35294</v>
      </c>
    </row>
    <row r="1698" spans="1:4" x14ac:dyDescent="0.2">
      <c r="A1698" s="24">
        <v>43647</v>
      </c>
      <c r="B1698" s="25" t="s">
        <v>122</v>
      </c>
      <c r="C1698" s="25" t="s">
        <v>2</v>
      </c>
      <c r="D1698" s="51">
        <v>646026</v>
      </c>
    </row>
    <row r="1699" spans="1:4" x14ac:dyDescent="0.2">
      <c r="A1699" s="24">
        <v>43647</v>
      </c>
      <c r="B1699" s="25" t="s">
        <v>123</v>
      </c>
      <c r="C1699" s="25" t="s">
        <v>2</v>
      </c>
      <c r="D1699" s="51">
        <v>2993919</v>
      </c>
    </row>
    <row r="1700" spans="1:4" x14ac:dyDescent="0.2">
      <c r="A1700" s="24">
        <v>43647</v>
      </c>
      <c r="B1700" s="25" t="s">
        <v>129</v>
      </c>
      <c r="C1700" s="25" t="s">
        <v>2</v>
      </c>
      <c r="D1700" s="51">
        <v>212479</v>
      </c>
    </row>
    <row r="1701" spans="1:4" x14ac:dyDescent="0.2">
      <c r="A1701" s="24">
        <v>43647</v>
      </c>
      <c r="B1701" s="25" t="s">
        <v>130</v>
      </c>
      <c r="C1701" s="25" t="s">
        <v>2</v>
      </c>
      <c r="D1701" s="51">
        <v>67391</v>
      </c>
    </row>
    <row r="1702" spans="1:4" x14ac:dyDescent="0.2">
      <c r="A1702" s="24">
        <v>43678</v>
      </c>
      <c r="B1702" s="25" t="s">
        <v>117</v>
      </c>
      <c r="C1702" s="25" t="s">
        <v>4</v>
      </c>
      <c r="D1702" s="51">
        <v>15900861</v>
      </c>
    </row>
    <row r="1703" spans="1:4" x14ac:dyDescent="0.2">
      <c r="A1703" s="24">
        <v>43678</v>
      </c>
      <c r="B1703" s="25" t="s">
        <v>131</v>
      </c>
      <c r="C1703" s="25" t="s">
        <v>4</v>
      </c>
      <c r="D1703" s="51">
        <v>79217</v>
      </c>
    </row>
    <row r="1704" spans="1:4" x14ac:dyDescent="0.2">
      <c r="A1704" s="24">
        <v>43678</v>
      </c>
      <c r="B1704" s="25" t="s">
        <v>132</v>
      </c>
      <c r="C1704" s="25" t="s">
        <v>4</v>
      </c>
      <c r="D1704" s="51">
        <v>40983</v>
      </c>
    </row>
    <row r="1705" spans="1:4" x14ac:dyDescent="0.2">
      <c r="A1705" s="24">
        <v>43678</v>
      </c>
      <c r="B1705" s="25" t="s">
        <v>133</v>
      </c>
      <c r="C1705" s="25" t="s">
        <v>4</v>
      </c>
      <c r="D1705" s="51">
        <v>10600</v>
      </c>
    </row>
    <row r="1706" spans="1:4" x14ac:dyDescent="0.2">
      <c r="A1706" s="24">
        <v>43678</v>
      </c>
      <c r="B1706" s="25" t="s">
        <v>137</v>
      </c>
      <c r="C1706" s="25" t="s">
        <v>4</v>
      </c>
      <c r="D1706" s="51">
        <v>45975</v>
      </c>
    </row>
    <row r="1707" spans="1:4" x14ac:dyDescent="0.2">
      <c r="A1707" s="24">
        <v>43678</v>
      </c>
      <c r="B1707" s="25" t="s">
        <v>118</v>
      </c>
      <c r="C1707" s="25" t="s">
        <v>4</v>
      </c>
      <c r="D1707" s="51">
        <v>1260371</v>
      </c>
    </row>
    <row r="1708" spans="1:4" x14ac:dyDescent="0.2">
      <c r="A1708" s="24">
        <v>43678</v>
      </c>
      <c r="B1708" s="25" t="s">
        <v>134</v>
      </c>
      <c r="C1708" s="25" t="s">
        <v>4</v>
      </c>
      <c r="D1708" s="51">
        <v>19594</v>
      </c>
    </row>
    <row r="1709" spans="1:4" x14ac:dyDescent="0.2">
      <c r="A1709" s="24">
        <v>43678</v>
      </c>
      <c r="B1709" s="25" t="s">
        <v>135</v>
      </c>
      <c r="C1709" s="25" t="s">
        <v>4</v>
      </c>
      <c r="D1709" s="51">
        <v>12843</v>
      </c>
    </row>
    <row r="1710" spans="1:4" x14ac:dyDescent="0.2">
      <c r="A1710" s="24">
        <v>43678</v>
      </c>
      <c r="B1710" s="25" t="s">
        <v>136</v>
      </c>
      <c r="C1710" s="25" t="s">
        <v>4</v>
      </c>
      <c r="D1710" s="51">
        <v>3384</v>
      </c>
    </row>
    <row r="1711" spans="1:4" x14ac:dyDescent="0.2">
      <c r="A1711" s="24">
        <v>43678</v>
      </c>
      <c r="B1711" s="25" t="s">
        <v>119</v>
      </c>
      <c r="C1711" s="25" t="s">
        <v>4</v>
      </c>
      <c r="D1711" s="51">
        <v>1914213</v>
      </c>
    </row>
    <row r="1712" spans="1:4" x14ac:dyDescent="0.2">
      <c r="A1712" s="24">
        <v>43678</v>
      </c>
      <c r="B1712" s="25" t="s">
        <v>138</v>
      </c>
      <c r="C1712" s="25" t="s">
        <v>4</v>
      </c>
      <c r="D1712" s="51">
        <v>113</v>
      </c>
    </row>
    <row r="1713" spans="1:4" x14ac:dyDescent="0.2">
      <c r="A1713" s="24">
        <v>43678</v>
      </c>
      <c r="B1713" s="25" t="s">
        <v>139</v>
      </c>
      <c r="C1713" s="25" t="s">
        <v>4</v>
      </c>
      <c r="D1713" s="51">
        <v>905</v>
      </c>
    </row>
    <row r="1714" spans="1:4" x14ac:dyDescent="0.2">
      <c r="A1714" s="24">
        <v>43678</v>
      </c>
      <c r="B1714" s="25" t="s">
        <v>120</v>
      </c>
      <c r="C1714" s="25" t="s">
        <v>4</v>
      </c>
      <c r="D1714" s="51">
        <v>94889</v>
      </c>
    </row>
    <row r="1715" spans="1:4" x14ac:dyDescent="0.2">
      <c r="A1715" s="24">
        <v>43678</v>
      </c>
      <c r="B1715" s="25" t="s">
        <v>121</v>
      </c>
      <c r="C1715" s="25" t="s">
        <v>4</v>
      </c>
      <c r="D1715" s="51">
        <v>42665</v>
      </c>
    </row>
    <row r="1716" spans="1:4" x14ac:dyDescent="0.2">
      <c r="A1716" s="24">
        <v>43678</v>
      </c>
      <c r="B1716" s="25" t="s">
        <v>140</v>
      </c>
      <c r="C1716" s="25" t="s">
        <v>4</v>
      </c>
      <c r="D1716" s="51">
        <v>23135</v>
      </c>
    </row>
    <row r="1717" spans="1:4" x14ac:dyDescent="0.2">
      <c r="A1717" s="24">
        <v>43678</v>
      </c>
      <c r="B1717" s="25" t="s">
        <v>122</v>
      </c>
      <c r="C1717" s="25" t="s">
        <v>4</v>
      </c>
      <c r="D1717" s="51">
        <v>3182243</v>
      </c>
    </row>
    <row r="1718" spans="1:4" x14ac:dyDescent="0.2">
      <c r="A1718" s="24">
        <v>43678</v>
      </c>
      <c r="B1718" s="25" t="s">
        <v>123</v>
      </c>
      <c r="C1718" s="25" t="s">
        <v>4</v>
      </c>
      <c r="D1718" s="51">
        <v>4320530</v>
      </c>
    </row>
    <row r="1719" spans="1:4" x14ac:dyDescent="0.2">
      <c r="A1719" s="24">
        <v>43678</v>
      </c>
      <c r="B1719" s="25" t="s">
        <v>117</v>
      </c>
      <c r="C1719" s="25" t="s">
        <v>8</v>
      </c>
      <c r="D1719" s="51">
        <v>724780</v>
      </c>
    </row>
    <row r="1720" spans="1:4" x14ac:dyDescent="0.2">
      <c r="A1720" s="24">
        <v>43678</v>
      </c>
      <c r="B1720" s="25" t="s">
        <v>137</v>
      </c>
      <c r="C1720" s="25" t="s">
        <v>8</v>
      </c>
      <c r="D1720" s="51">
        <v>58355</v>
      </c>
    </row>
    <row r="1721" spans="1:4" x14ac:dyDescent="0.2">
      <c r="A1721" s="24">
        <v>43678</v>
      </c>
      <c r="B1721" s="25" t="s">
        <v>118</v>
      </c>
      <c r="C1721" s="25" t="s">
        <v>8</v>
      </c>
      <c r="D1721" s="51">
        <v>80831</v>
      </c>
    </row>
    <row r="1722" spans="1:4" x14ac:dyDescent="0.2">
      <c r="A1722" s="24">
        <v>43678</v>
      </c>
      <c r="B1722" s="25" t="s">
        <v>119</v>
      </c>
      <c r="C1722" s="25" t="s">
        <v>8</v>
      </c>
      <c r="D1722" s="51">
        <v>22873</v>
      </c>
    </row>
    <row r="1723" spans="1:4" x14ac:dyDescent="0.2">
      <c r="A1723" s="24">
        <v>43678</v>
      </c>
      <c r="B1723" s="25" t="s">
        <v>138</v>
      </c>
      <c r="C1723" s="25" t="s">
        <v>8</v>
      </c>
      <c r="D1723" s="51">
        <v>349</v>
      </c>
    </row>
    <row r="1724" spans="1:4" x14ac:dyDescent="0.2">
      <c r="A1724" s="24">
        <v>43678</v>
      </c>
      <c r="B1724" s="25" t="s">
        <v>139</v>
      </c>
      <c r="C1724" s="25" t="s">
        <v>8</v>
      </c>
      <c r="D1724" s="51">
        <v>28</v>
      </c>
    </row>
    <row r="1725" spans="1:4" x14ac:dyDescent="0.2">
      <c r="A1725" s="24">
        <v>43678</v>
      </c>
      <c r="B1725" s="25" t="s">
        <v>120</v>
      </c>
      <c r="C1725" s="25" t="s">
        <v>8</v>
      </c>
      <c r="D1725" s="51">
        <v>3847</v>
      </c>
    </row>
    <row r="1726" spans="1:4" x14ac:dyDescent="0.2">
      <c r="A1726" s="24">
        <v>43678</v>
      </c>
      <c r="B1726" s="25" t="s">
        <v>121</v>
      </c>
      <c r="C1726" s="25" t="s">
        <v>8</v>
      </c>
      <c r="D1726" s="51">
        <v>1954</v>
      </c>
    </row>
    <row r="1727" spans="1:4" x14ac:dyDescent="0.2">
      <c r="A1727" s="24">
        <v>43678</v>
      </c>
      <c r="B1727" s="25" t="s">
        <v>122</v>
      </c>
      <c r="C1727" s="25" t="s">
        <v>8</v>
      </c>
      <c r="D1727" s="51">
        <v>3467</v>
      </c>
    </row>
    <row r="1728" spans="1:4" x14ac:dyDescent="0.2">
      <c r="A1728" s="24">
        <v>43678</v>
      </c>
      <c r="B1728" s="25" t="s">
        <v>123</v>
      </c>
      <c r="C1728" s="25" t="s">
        <v>8</v>
      </c>
      <c r="D1728" s="51">
        <v>168724</v>
      </c>
    </row>
    <row r="1729" spans="1:6" x14ac:dyDescent="0.2">
      <c r="A1729" s="24">
        <v>43678</v>
      </c>
      <c r="B1729" s="25" t="s">
        <v>124</v>
      </c>
      <c r="C1729" s="25" t="s">
        <v>8</v>
      </c>
      <c r="D1729" s="51">
        <v>31988</v>
      </c>
    </row>
    <row r="1730" spans="1:6" x14ac:dyDescent="0.2">
      <c r="A1730" s="24">
        <v>43678</v>
      </c>
      <c r="B1730" s="25" t="s">
        <v>125</v>
      </c>
      <c r="C1730" s="25" t="s">
        <v>8</v>
      </c>
      <c r="D1730" s="51">
        <v>8804</v>
      </c>
    </row>
    <row r="1731" spans="1:6" x14ac:dyDescent="0.2">
      <c r="A1731" s="24">
        <v>43678</v>
      </c>
      <c r="B1731" s="25" t="s">
        <v>117</v>
      </c>
      <c r="C1731" s="25" t="s">
        <v>26</v>
      </c>
      <c r="D1731" s="51">
        <v>673022</v>
      </c>
    </row>
    <row r="1732" spans="1:6" x14ac:dyDescent="0.2">
      <c r="A1732" s="24">
        <v>43678</v>
      </c>
      <c r="B1732" s="25" t="s">
        <v>137</v>
      </c>
      <c r="C1732" s="25" t="s">
        <v>26</v>
      </c>
      <c r="D1732" s="51">
        <v>43751</v>
      </c>
    </row>
    <row r="1733" spans="1:6" x14ac:dyDescent="0.2">
      <c r="A1733" s="24">
        <v>43678</v>
      </c>
      <c r="B1733" s="25" t="s">
        <v>118</v>
      </c>
      <c r="C1733" s="25" t="s">
        <v>26</v>
      </c>
      <c r="D1733" s="51">
        <v>45254</v>
      </c>
    </row>
    <row r="1734" spans="1:6" x14ac:dyDescent="0.2">
      <c r="A1734" s="24">
        <v>43678</v>
      </c>
      <c r="B1734" s="25" t="s">
        <v>119</v>
      </c>
      <c r="C1734" s="25" t="s">
        <v>26</v>
      </c>
      <c r="D1734" s="51">
        <v>41982</v>
      </c>
    </row>
    <row r="1735" spans="1:6" x14ac:dyDescent="0.2">
      <c r="A1735" s="24">
        <v>43678</v>
      </c>
      <c r="B1735" s="25" t="s">
        <v>139</v>
      </c>
      <c r="C1735" s="25" t="s">
        <v>26</v>
      </c>
      <c r="D1735" s="51">
        <v>15</v>
      </c>
    </row>
    <row r="1736" spans="1:6" x14ac:dyDescent="0.2">
      <c r="A1736" s="24">
        <v>43678</v>
      </c>
      <c r="B1736" s="25" t="s">
        <v>120</v>
      </c>
      <c r="C1736" s="25" t="s">
        <v>26</v>
      </c>
      <c r="D1736" s="51">
        <v>1651</v>
      </c>
    </row>
    <row r="1737" spans="1:6" x14ac:dyDescent="0.2">
      <c r="A1737" s="24">
        <v>43678</v>
      </c>
      <c r="B1737" s="25" t="s">
        <v>121</v>
      </c>
      <c r="C1737" s="25" t="s">
        <v>26</v>
      </c>
      <c r="D1737" s="51">
        <v>1325</v>
      </c>
    </row>
    <row r="1738" spans="1:6" x14ac:dyDescent="0.2">
      <c r="A1738" s="24">
        <v>43678</v>
      </c>
      <c r="B1738" s="25" t="s">
        <v>122</v>
      </c>
      <c r="C1738" s="25" t="s">
        <v>26</v>
      </c>
      <c r="D1738" s="51">
        <v>10457</v>
      </c>
    </row>
    <row r="1739" spans="1:6" x14ac:dyDescent="0.2">
      <c r="A1739" s="24">
        <v>43678</v>
      </c>
      <c r="B1739" s="25" t="s">
        <v>123</v>
      </c>
      <c r="C1739" s="25" t="s">
        <v>26</v>
      </c>
      <c r="D1739" s="51">
        <v>168039</v>
      </c>
    </row>
    <row r="1740" spans="1:6" x14ac:dyDescent="0.2">
      <c r="A1740" s="24">
        <v>43678</v>
      </c>
      <c r="B1740" s="25" t="s">
        <v>127</v>
      </c>
      <c r="C1740" s="25" t="s">
        <v>26</v>
      </c>
      <c r="D1740" s="51">
        <v>2823</v>
      </c>
    </row>
    <row r="1741" spans="1:6" x14ac:dyDescent="0.2">
      <c r="A1741" s="24">
        <v>43678</v>
      </c>
      <c r="B1741" s="25" t="s">
        <v>128</v>
      </c>
      <c r="C1741" s="25" t="s">
        <v>26</v>
      </c>
      <c r="D1741" s="51">
        <v>727</v>
      </c>
    </row>
    <row r="1742" spans="1:6" x14ac:dyDescent="0.2">
      <c r="A1742" s="24">
        <v>43678</v>
      </c>
      <c r="B1742" s="25" t="s">
        <v>117</v>
      </c>
      <c r="C1742" s="25" t="s">
        <v>142</v>
      </c>
      <c r="D1742" s="51">
        <v>1437608</v>
      </c>
      <c r="F1742" s="52"/>
    </row>
    <row r="1743" spans="1:6" x14ac:dyDescent="0.2">
      <c r="A1743" s="24">
        <v>43678</v>
      </c>
      <c r="B1743" s="25" t="s">
        <v>137</v>
      </c>
      <c r="C1743" s="25" t="s">
        <v>142</v>
      </c>
      <c r="D1743" s="51">
        <v>56587</v>
      </c>
    </row>
    <row r="1744" spans="1:6" x14ac:dyDescent="0.2">
      <c r="A1744" s="24">
        <v>43678</v>
      </c>
      <c r="B1744" s="25" t="s">
        <v>118</v>
      </c>
      <c r="C1744" s="25" t="s">
        <v>142</v>
      </c>
      <c r="D1744" s="51">
        <v>85909</v>
      </c>
    </row>
    <row r="1745" spans="1:4" x14ac:dyDescent="0.2">
      <c r="A1745" s="24">
        <v>43678</v>
      </c>
      <c r="B1745" s="25" t="s">
        <v>119</v>
      </c>
      <c r="C1745" s="25" t="s">
        <v>142</v>
      </c>
      <c r="D1745" s="51">
        <v>251912</v>
      </c>
    </row>
    <row r="1746" spans="1:4" x14ac:dyDescent="0.2">
      <c r="A1746" s="24">
        <v>43678</v>
      </c>
      <c r="B1746" s="25" t="s">
        <v>138</v>
      </c>
      <c r="C1746" s="25" t="s">
        <v>142</v>
      </c>
      <c r="D1746" s="51">
        <v>2</v>
      </c>
    </row>
    <row r="1747" spans="1:4" x14ac:dyDescent="0.2">
      <c r="A1747" s="24">
        <v>43678</v>
      </c>
      <c r="B1747" s="25" t="s">
        <v>139</v>
      </c>
      <c r="C1747" s="25" t="s">
        <v>142</v>
      </c>
      <c r="D1747" s="51">
        <v>11</v>
      </c>
    </row>
    <row r="1748" spans="1:4" x14ac:dyDescent="0.2">
      <c r="A1748" s="24">
        <v>43678</v>
      </c>
      <c r="B1748" s="25" t="s">
        <v>120</v>
      </c>
      <c r="C1748" s="25" t="s">
        <v>142</v>
      </c>
      <c r="D1748" s="51">
        <v>9627</v>
      </c>
    </row>
    <row r="1749" spans="1:4" x14ac:dyDescent="0.2">
      <c r="A1749" s="24">
        <v>43678</v>
      </c>
      <c r="B1749" s="25" t="s">
        <v>121</v>
      </c>
      <c r="C1749" s="25" t="s">
        <v>142</v>
      </c>
      <c r="D1749" s="51">
        <v>1974</v>
      </c>
    </row>
    <row r="1750" spans="1:4" x14ac:dyDescent="0.2">
      <c r="A1750" s="24">
        <v>43678</v>
      </c>
      <c r="B1750" s="25" t="s">
        <v>122</v>
      </c>
      <c r="C1750" s="25" t="s">
        <v>142</v>
      </c>
      <c r="D1750" s="51">
        <v>93320</v>
      </c>
    </row>
    <row r="1751" spans="1:4" x14ac:dyDescent="0.2">
      <c r="A1751" s="24">
        <v>43678</v>
      </c>
      <c r="B1751" s="25" t="s">
        <v>123</v>
      </c>
      <c r="C1751" s="25" t="s">
        <v>142</v>
      </c>
      <c r="D1751" s="51">
        <v>135069</v>
      </c>
    </row>
    <row r="1752" spans="1:4" x14ac:dyDescent="0.2">
      <c r="A1752" s="24">
        <v>43678</v>
      </c>
      <c r="B1752" s="25" t="s">
        <v>129</v>
      </c>
      <c r="C1752" s="25" t="s">
        <v>142</v>
      </c>
      <c r="D1752" s="51">
        <v>8621</v>
      </c>
    </row>
    <row r="1753" spans="1:4" x14ac:dyDescent="0.2">
      <c r="A1753" s="24">
        <v>43678</v>
      </c>
      <c r="B1753" s="25" t="s">
        <v>130</v>
      </c>
      <c r="C1753" s="25" t="s">
        <v>142</v>
      </c>
      <c r="D1753" s="51">
        <v>3949</v>
      </c>
    </row>
    <row r="1754" spans="1:4" x14ac:dyDescent="0.2">
      <c r="A1754" s="24">
        <v>43678</v>
      </c>
      <c r="B1754" s="25" t="s">
        <v>117</v>
      </c>
      <c r="C1754" s="25" t="s">
        <v>2</v>
      </c>
      <c r="D1754" s="51">
        <v>25583771</v>
      </c>
    </row>
    <row r="1755" spans="1:4" x14ac:dyDescent="0.2">
      <c r="A1755" s="24">
        <v>43678</v>
      </c>
      <c r="B1755" s="25" t="s">
        <v>137</v>
      </c>
      <c r="C1755" s="25" t="s">
        <v>2</v>
      </c>
      <c r="D1755" s="51">
        <v>1113001</v>
      </c>
    </row>
    <row r="1756" spans="1:4" x14ac:dyDescent="0.2">
      <c r="A1756" s="24">
        <v>43678</v>
      </c>
      <c r="B1756" s="25" t="s">
        <v>118</v>
      </c>
      <c r="C1756" s="25" t="s">
        <v>2</v>
      </c>
      <c r="D1756" s="51">
        <v>948560</v>
      </c>
    </row>
    <row r="1757" spans="1:4" x14ac:dyDescent="0.2">
      <c r="A1757" s="24">
        <v>43678</v>
      </c>
      <c r="B1757" s="25" t="s">
        <v>119</v>
      </c>
      <c r="C1757" s="25" t="s">
        <v>2</v>
      </c>
      <c r="D1757" s="51">
        <v>2374111</v>
      </c>
    </row>
    <row r="1758" spans="1:4" x14ac:dyDescent="0.2">
      <c r="A1758" s="24">
        <v>43678</v>
      </c>
      <c r="B1758" s="25" t="s">
        <v>138</v>
      </c>
      <c r="C1758" s="25" t="s">
        <v>2</v>
      </c>
      <c r="D1758" s="51">
        <v>33</v>
      </c>
    </row>
    <row r="1759" spans="1:4" x14ac:dyDescent="0.2">
      <c r="A1759" s="24">
        <v>43678</v>
      </c>
      <c r="B1759" s="25" t="s">
        <v>139</v>
      </c>
      <c r="C1759" s="25" t="s">
        <v>2</v>
      </c>
      <c r="D1759" s="51">
        <v>939</v>
      </c>
    </row>
    <row r="1760" spans="1:4" x14ac:dyDescent="0.2">
      <c r="A1760" s="24">
        <v>43678</v>
      </c>
      <c r="B1760" s="25" t="s">
        <v>120</v>
      </c>
      <c r="C1760" s="25" t="s">
        <v>2</v>
      </c>
      <c r="D1760" s="51">
        <v>349886</v>
      </c>
    </row>
    <row r="1761" spans="1:4" x14ac:dyDescent="0.2">
      <c r="A1761" s="24">
        <v>43678</v>
      </c>
      <c r="B1761" s="25" t="s">
        <v>121</v>
      </c>
      <c r="C1761" s="25" t="s">
        <v>2</v>
      </c>
      <c r="D1761" s="51">
        <v>35716</v>
      </c>
    </row>
    <row r="1762" spans="1:4" x14ac:dyDescent="0.2">
      <c r="A1762" s="24">
        <v>43678</v>
      </c>
      <c r="B1762" s="25" t="s">
        <v>122</v>
      </c>
      <c r="C1762" s="25" t="s">
        <v>2</v>
      </c>
      <c r="D1762" s="51">
        <v>1273508</v>
      </c>
    </row>
    <row r="1763" spans="1:4" x14ac:dyDescent="0.2">
      <c r="A1763" s="24">
        <v>43678</v>
      </c>
      <c r="B1763" s="25" t="s">
        <v>123</v>
      </c>
      <c r="C1763" s="25" t="s">
        <v>2</v>
      </c>
      <c r="D1763" s="51">
        <v>2993017</v>
      </c>
    </row>
    <row r="1764" spans="1:4" x14ac:dyDescent="0.2">
      <c r="A1764" s="24">
        <v>43678</v>
      </c>
      <c r="B1764" s="25" t="s">
        <v>129</v>
      </c>
      <c r="C1764" s="25" t="s">
        <v>2</v>
      </c>
      <c r="D1764" s="51">
        <v>210421</v>
      </c>
    </row>
    <row r="1765" spans="1:4" x14ac:dyDescent="0.2">
      <c r="A1765" s="24">
        <v>43678</v>
      </c>
      <c r="B1765" s="25" t="s">
        <v>130</v>
      </c>
      <c r="C1765" s="25" t="s">
        <v>2</v>
      </c>
      <c r="D1765" s="51">
        <v>44548</v>
      </c>
    </row>
    <row r="1766" spans="1:4" x14ac:dyDescent="0.2">
      <c r="A1766" s="24">
        <v>43709</v>
      </c>
      <c r="B1766" s="25" t="s">
        <v>117</v>
      </c>
      <c r="C1766" s="25" t="s">
        <v>4</v>
      </c>
      <c r="D1766" s="51">
        <v>15217496</v>
      </c>
    </row>
    <row r="1767" spans="1:4" x14ac:dyDescent="0.2">
      <c r="A1767" s="24">
        <v>43709</v>
      </c>
      <c r="B1767" s="25" t="s">
        <v>131</v>
      </c>
      <c r="C1767" s="25" t="s">
        <v>4</v>
      </c>
      <c r="D1767" s="51">
        <v>69894</v>
      </c>
    </row>
    <row r="1768" spans="1:4" x14ac:dyDescent="0.2">
      <c r="A1768" s="24">
        <v>43709</v>
      </c>
      <c r="B1768" s="25" t="s">
        <v>132</v>
      </c>
      <c r="C1768" s="25" t="s">
        <v>4</v>
      </c>
      <c r="D1768" s="51">
        <v>35769</v>
      </c>
    </row>
    <row r="1769" spans="1:4" x14ac:dyDescent="0.2">
      <c r="A1769" s="24">
        <v>43709</v>
      </c>
      <c r="B1769" s="25" t="s">
        <v>133</v>
      </c>
      <c r="C1769" s="25" t="s">
        <v>4</v>
      </c>
      <c r="D1769" s="51">
        <v>8661</v>
      </c>
    </row>
    <row r="1770" spans="1:4" x14ac:dyDescent="0.2">
      <c r="A1770" s="24">
        <v>43709</v>
      </c>
      <c r="B1770" s="25" t="s">
        <v>137</v>
      </c>
      <c r="C1770" s="25" t="s">
        <v>4</v>
      </c>
      <c r="D1770" s="51">
        <v>286305</v>
      </c>
    </row>
    <row r="1771" spans="1:4" x14ac:dyDescent="0.2">
      <c r="A1771" s="24">
        <v>43709</v>
      </c>
      <c r="B1771" s="25" t="s">
        <v>118</v>
      </c>
      <c r="C1771" s="25" t="s">
        <v>4</v>
      </c>
      <c r="D1771" s="51">
        <v>1230301</v>
      </c>
    </row>
    <row r="1772" spans="1:4" x14ac:dyDescent="0.2">
      <c r="A1772" s="24">
        <v>43709</v>
      </c>
      <c r="B1772" s="25" t="s">
        <v>134</v>
      </c>
      <c r="C1772" s="25" t="s">
        <v>4</v>
      </c>
      <c r="D1772" s="51">
        <v>18939</v>
      </c>
    </row>
    <row r="1773" spans="1:4" x14ac:dyDescent="0.2">
      <c r="A1773" s="24">
        <v>43709</v>
      </c>
      <c r="B1773" s="25" t="s">
        <v>135</v>
      </c>
      <c r="C1773" s="25" t="s">
        <v>4</v>
      </c>
      <c r="D1773" s="51">
        <v>12737</v>
      </c>
    </row>
    <row r="1774" spans="1:4" x14ac:dyDescent="0.2">
      <c r="A1774" s="24">
        <v>43709</v>
      </c>
      <c r="B1774" s="25" t="s">
        <v>136</v>
      </c>
      <c r="C1774" s="25" t="s">
        <v>4</v>
      </c>
      <c r="D1774" s="51">
        <v>3586</v>
      </c>
    </row>
    <row r="1775" spans="1:4" x14ac:dyDescent="0.2">
      <c r="A1775" s="24">
        <v>43709</v>
      </c>
      <c r="B1775" s="25" t="s">
        <v>119</v>
      </c>
      <c r="C1775" s="25" t="s">
        <v>4</v>
      </c>
      <c r="D1775" s="51">
        <v>1651851</v>
      </c>
    </row>
    <row r="1776" spans="1:4" x14ac:dyDescent="0.2">
      <c r="A1776" s="24">
        <v>43709</v>
      </c>
      <c r="B1776" s="25" t="s">
        <v>138</v>
      </c>
      <c r="C1776" s="25" t="s">
        <v>4</v>
      </c>
      <c r="D1776" s="51">
        <v>64</v>
      </c>
    </row>
    <row r="1777" spans="1:4" x14ac:dyDescent="0.2">
      <c r="A1777" s="24">
        <v>43709</v>
      </c>
      <c r="B1777" s="25" t="s">
        <v>139</v>
      </c>
      <c r="C1777" s="25" t="s">
        <v>4</v>
      </c>
      <c r="D1777" s="51">
        <v>965</v>
      </c>
    </row>
    <row r="1778" spans="1:4" x14ac:dyDescent="0.2">
      <c r="A1778" s="24">
        <v>43709</v>
      </c>
      <c r="B1778" s="25" t="s">
        <v>120</v>
      </c>
      <c r="C1778" s="25" t="s">
        <v>4</v>
      </c>
      <c r="D1778" s="51">
        <v>91530</v>
      </c>
    </row>
    <row r="1779" spans="1:4" x14ac:dyDescent="0.2">
      <c r="A1779" s="24">
        <v>43709</v>
      </c>
      <c r="B1779" s="25" t="s">
        <v>121</v>
      </c>
      <c r="C1779" s="25" t="s">
        <v>4</v>
      </c>
      <c r="D1779" s="51">
        <v>39795</v>
      </c>
    </row>
    <row r="1780" spans="1:4" x14ac:dyDescent="0.2">
      <c r="A1780" s="24">
        <v>43709</v>
      </c>
      <c r="B1780" s="25" t="s">
        <v>140</v>
      </c>
      <c r="C1780" s="25" t="s">
        <v>4</v>
      </c>
      <c r="D1780" s="51">
        <v>23624</v>
      </c>
    </row>
    <row r="1781" spans="1:4" x14ac:dyDescent="0.2">
      <c r="A1781" s="24">
        <v>43709</v>
      </c>
      <c r="B1781" s="25" t="s">
        <v>122</v>
      </c>
      <c r="C1781" s="25" t="s">
        <v>4</v>
      </c>
      <c r="D1781" s="51">
        <v>2788612</v>
      </c>
    </row>
    <row r="1782" spans="1:4" x14ac:dyDescent="0.2">
      <c r="A1782" s="24">
        <v>43709</v>
      </c>
      <c r="B1782" s="25" t="s">
        <v>123</v>
      </c>
      <c r="C1782" s="25" t="s">
        <v>4</v>
      </c>
      <c r="D1782" s="51">
        <v>4146158</v>
      </c>
    </row>
    <row r="1783" spans="1:4" x14ac:dyDescent="0.2">
      <c r="A1783" s="24">
        <v>43709</v>
      </c>
      <c r="B1783" s="25" t="s">
        <v>117</v>
      </c>
      <c r="C1783" s="25" t="s">
        <v>8</v>
      </c>
      <c r="D1783" s="51">
        <v>748378</v>
      </c>
    </row>
    <row r="1784" spans="1:4" x14ac:dyDescent="0.2">
      <c r="A1784" s="24">
        <v>43709</v>
      </c>
      <c r="B1784" s="25" t="s">
        <v>137</v>
      </c>
      <c r="C1784" s="25" t="s">
        <v>8</v>
      </c>
      <c r="D1784" s="51">
        <v>81461</v>
      </c>
    </row>
    <row r="1785" spans="1:4" x14ac:dyDescent="0.2">
      <c r="A1785" s="24">
        <v>43709</v>
      </c>
      <c r="B1785" s="25" t="s">
        <v>118</v>
      </c>
      <c r="C1785" s="25" t="s">
        <v>8</v>
      </c>
      <c r="D1785" s="51">
        <v>83066</v>
      </c>
    </row>
    <row r="1786" spans="1:4" x14ac:dyDescent="0.2">
      <c r="A1786" s="24">
        <v>43709</v>
      </c>
      <c r="B1786" s="25" t="s">
        <v>119</v>
      </c>
      <c r="C1786" s="25" t="s">
        <v>8</v>
      </c>
      <c r="D1786" s="51">
        <v>23149</v>
      </c>
    </row>
    <row r="1787" spans="1:4" x14ac:dyDescent="0.2">
      <c r="A1787" s="24">
        <v>43709</v>
      </c>
      <c r="B1787" s="25" t="s">
        <v>138</v>
      </c>
      <c r="C1787" s="25" t="s">
        <v>8</v>
      </c>
      <c r="D1787" s="51">
        <v>273</v>
      </c>
    </row>
    <row r="1788" spans="1:4" x14ac:dyDescent="0.2">
      <c r="A1788" s="24">
        <v>43709</v>
      </c>
      <c r="B1788" s="25" t="s">
        <v>139</v>
      </c>
      <c r="C1788" s="25" t="s">
        <v>8</v>
      </c>
      <c r="D1788" s="51">
        <v>35</v>
      </c>
    </row>
    <row r="1789" spans="1:4" x14ac:dyDescent="0.2">
      <c r="A1789" s="24">
        <v>43709</v>
      </c>
      <c r="B1789" s="25" t="s">
        <v>120</v>
      </c>
      <c r="C1789" s="25" t="s">
        <v>8</v>
      </c>
      <c r="D1789" s="51">
        <v>4019</v>
      </c>
    </row>
    <row r="1790" spans="1:4" x14ac:dyDescent="0.2">
      <c r="A1790" s="24">
        <v>43709</v>
      </c>
      <c r="B1790" s="25" t="s">
        <v>121</v>
      </c>
      <c r="C1790" s="25" t="s">
        <v>8</v>
      </c>
      <c r="D1790" s="51">
        <v>2031</v>
      </c>
    </row>
    <row r="1791" spans="1:4" x14ac:dyDescent="0.2">
      <c r="A1791" s="24">
        <v>43709</v>
      </c>
      <c r="B1791" s="25" t="s">
        <v>122</v>
      </c>
      <c r="C1791" s="25" t="s">
        <v>8</v>
      </c>
      <c r="D1791" s="51">
        <v>2959</v>
      </c>
    </row>
    <row r="1792" spans="1:4" x14ac:dyDescent="0.2">
      <c r="A1792" s="24">
        <v>43709</v>
      </c>
      <c r="B1792" s="25" t="s">
        <v>123</v>
      </c>
      <c r="C1792" s="25" t="s">
        <v>8</v>
      </c>
      <c r="D1792" s="51">
        <v>173519</v>
      </c>
    </row>
    <row r="1793" spans="1:4" x14ac:dyDescent="0.2">
      <c r="A1793" s="24">
        <v>43709</v>
      </c>
      <c r="B1793" s="25" t="s">
        <v>124</v>
      </c>
      <c r="C1793" s="25" t="s">
        <v>8</v>
      </c>
      <c r="D1793" s="51">
        <v>29810</v>
      </c>
    </row>
    <row r="1794" spans="1:4" x14ac:dyDescent="0.2">
      <c r="A1794" s="24">
        <v>43709</v>
      </c>
      <c r="B1794" s="25" t="s">
        <v>125</v>
      </c>
      <c r="C1794" s="25" t="s">
        <v>8</v>
      </c>
      <c r="D1794" s="51">
        <v>7458</v>
      </c>
    </row>
    <row r="1795" spans="1:4" x14ac:dyDescent="0.2">
      <c r="A1795" s="24">
        <v>43709</v>
      </c>
      <c r="B1795" s="25" t="s">
        <v>117</v>
      </c>
      <c r="C1795" s="25" t="s">
        <v>26</v>
      </c>
      <c r="D1795" s="51">
        <v>575721</v>
      </c>
    </row>
    <row r="1796" spans="1:4" x14ac:dyDescent="0.2">
      <c r="A1796" s="24">
        <v>43709</v>
      </c>
      <c r="B1796" s="25" t="s">
        <v>137</v>
      </c>
      <c r="C1796" s="25" t="s">
        <v>26</v>
      </c>
      <c r="D1796" s="51">
        <v>47200</v>
      </c>
    </row>
    <row r="1797" spans="1:4" x14ac:dyDescent="0.2">
      <c r="A1797" s="24">
        <v>43709</v>
      </c>
      <c r="B1797" s="25" t="s">
        <v>118</v>
      </c>
      <c r="C1797" s="25" t="s">
        <v>26</v>
      </c>
      <c r="D1797" s="51">
        <v>36991</v>
      </c>
    </row>
    <row r="1798" spans="1:4" x14ac:dyDescent="0.2">
      <c r="A1798" s="24">
        <v>43709</v>
      </c>
      <c r="B1798" s="25" t="s">
        <v>119</v>
      </c>
      <c r="C1798" s="25" t="s">
        <v>26</v>
      </c>
      <c r="D1798" s="51">
        <v>34294</v>
      </c>
    </row>
    <row r="1799" spans="1:4" x14ac:dyDescent="0.2">
      <c r="A1799" s="24">
        <v>43709</v>
      </c>
      <c r="B1799" s="25" t="s">
        <v>138</v>
      </c>
      <c r="C1799" s="25" t="s">
        <v>26</v>
      </c>
      <c r="D1799" s="51">
        <v>67</v>
      </c>
    </row>
    <row r="1800" spans="1:4" x14ac:dyDescent="0.2">
      <c r="A1800" s="24">
        <v>43709</v>
      </c>
      <c r="B1800" s="25" t="s">
        <v>139</v>
      </c>
      <c r="C1800" s="25" t="s">
        <v>26</v>
      </c>
      <c r="D1800" s="51">
        <v>32</v>
      </c>
    </row>
    <row r="1801" spans="1:4" x14ac:dyDescent="0.2">
      <c r="A1801" s="24">
        <v>43709</v>
      </c>
      <c r="B1801" s="25" t="s">
        <v>120</v>
      </c>
      <c r="C1801" s="25" t="s">
        <v>26</v>
      </c>
      <c r="D1801" s="51">
        <v>1354</v>
      </c>
    </row>
    <row r="1802" spans="1:4" x14ac:dyDescent="0.2">
      <c r="A1802" s="24">
        <v>43709</v>
      </c>
      <c r="B1802" s="25" t="s">
        <v>121</v>
      </c>
      <c r="C1802" s="25" t="s">
        <v>26</v>
      </c>
      <c r="D1802" s="51">
        <v>1094</v>
      </c>
    </row>
    <row r="1803" spans="1:4" x14ac:dyDescent="0.2">
      <c r="A1803" s="24">
        <v>43709</v>
      </c>
      <c r="B1803" s="25" t="s">
        <v>122</v>
      </c>
      <c r="C1803" s="25" t="s">
        <v>26</v>
      </c>
      <c r="D1803" s="51">
        <v>9169</v>
      </c>
    </row>
    <row r="1804" spans="1:4" x14ac:dyDescent="0.2">
      <c r="A1804" s="24">
        <v>43709</v>
      </c>
      <c r="B1804" s="25" t="s">
        <v>123</v>
      </c>
      <c r="C1804" s="25" t="s">
        <v>26</v>
      </c>
      <c r="D1804" s="51">
        <v>148612</v>
      </c>
    </row>
    <row r="1805" spans="1:4" x14ac:dyDescent="0.2">
      <c r="A1805" s="24">
        <v>43709</v>
      </c>
      <c r="B1805" s="25" t="s">
        <v>127</v>
      </c>
      <c r="C1805" s="25" t="s">
        <v>26</v>
      </c>
      <c r="D1805" s="51">
        <v>2291</v>
      </c>
    </row>
    <row r="1806" spans="1:4" x14ac:dyDescent="0.2">
      <c r="A1806" s="24">
        <v>43709</v>
      </c>
      <c r="B1806" s="25" t="s">
        <v>128</v>
      </c>
      <c r="C1806" s="25" t="s">
        <v>26</v>
      </c>
      <c r="D1806" s="51">
        <v>543</v>
      </c>
    </row>
    <row r="1807" spans="1:4" x14ac:dyDescent="0.2">
      <c r="A1807" s="24">
        <v>43709</v>
      </c>
      <c r="B1807" s="25" t="s">
        <v>117</v>
      </c>
      <c r="C1807" s="25" t="s">
        <v>142</v>
      </c>
      <c r="D1807" s="51">
        <v>1395364</v>
      </c>
    </row>
    <row r="1808" spans="1:4" x14ac:dyDescent="0.2">
      <c r="A1808" s="24">
        <v>43709</v>
      </c>
      <c r="B1808" s="25" t="s">
        <v>137</v>
      </c>
      <c r="C1808" s="25" t="s">
        <v>142</v>
      </c>
      <c r="D1808" s="51">
        <v>78623</v>
      </c>
    </row>
    <row r="1809" spans="1:4" x14ac:dyDescent="0.2">
      <c r="A1809" s="24">
        <v>43709</v>
      </c>
      <c r="B1809" s="25" t="s">
        <v>118</v>
      </c>
      <c r="C1809" s="25" t="s">
        <v>142</v>
      </c>
      <c r="D1809" s="51">
        <v>87350</v>
      </c>
    </row>
    <row r="1810" spans="1:4" x14ac:dyDescent="0.2">
      <c r="A1810" s="24">
        <v>43709</v>
      </c>
      <c r="B1810" s="25" t="s">
        <v>119</v>
      </c>
      <c r="C1810" s="25" t="s">
        <v>142</v>
      </c>
      <c r="D1810" s="51">
        <v>188829</v>
      </c>
    </row>
    <row r="1811" spans="1:4" x14ac:dyDescent="0.2">
      <c r="A1811" s="24">
        <v>43709</v>
      </c>
      <c r="B1811" s="25" t="s">
        <v>139</v>
      </c>
      <c r="C1811" s="25" t="s">
        <v>142</v>
      </c>
      <c r="D1811" s="51">
        <v>8</v>
      </c>
    </row>
    <row r="1812" spans="1:4" x14ac:dyDescent="0.2">
      <c r="A1812" s="24">
        <v>43709</v>
      </c>
      <c r="B1812" s="25" t="s">
        <v>120</v>
      </c>
      <c r="C1812" s="25" t="s">
        <v>142</v>
      </c>
      <c r="D1812" s="51">
        <v>9631</v>
      </c>
    </row>
    <row r="1813" spans="1:4" x14ac:dyDescent="0.2">
      <c r="A1813" s="24">
        <v>43709</v>
      </c>
      <c r="B1813" s="25" t="s">
        <v>121</v>
      </c>
      <c r="C1813" s="25" t="s">
        <v>142</v>
      </c>
      <c r="D1813" s="51">
        <v>1872</v>
      </c>
    </row>
    <row r="1814" spans="1:4" x14ac:dyDescent="0.2">
      <c r="A1814" s="24">
        <v>43709</v>
      </c>
      <c r="B1814" s="25" t="s">
        <v>122</v>
      </c>
      <c r="C1814" s="25" t="s">
        <v>142</v>
      </c>
      <c r="D1814" s="51">
        <v>88990</v>
      </c>
    </row>
    <row r="1815" spans="1:4" x14ac:dyDescent="0.2">
      <c r="A1815" s="24">
        <v>43709</v>
      </c>
      <c r="B1815" s="25" t="s">
        <v>123</v>
      </c>
      <c r="C1815" s="25" t="s">
        <v>142</v>
      </c>
      <c r="D1815" s="51">
        <v>127687</v>
      </c>
    </row>
    <row r="1816" spans="1:4" x14ac:dyDescent="0.2">
      <c r="A1816" s="24">
        <v>43709</v>
      </c>
      <c r="B1816" s="25" t="s">
        <v>129</v>
      </c>
      <c r="C1816" s="25" t="s">
        <v>142</v>
      </c>
      <c r="D1816" s="51">
        <v>7742</v>
      </c>
    </row>
    <row r="1817" spans="1:4" x14ac:dyDescent="0.2">
      <c r="A1817" s="24">
        <v>43709</v>
      </c>
      <c r="B1817" s="25" t="s">
        <v>130</v>
      </c>
      <c r="C1817" s="25" t="s">
        <v>142</v>
      </c>
      <c r="D1817" s="51">
        <v>3881</v>
      </c>
    </row>
    <row r="1818" spans="1:4" x14ac:dyDescent="0.2">
      <c r="A1818" s="24">
        <v>43709</v>
      </c>
      <c r="B1818" s="25" t="s">
        <v>117</v>
      </c>
      <c r="C1818" s="25" t="s">
        <v>2</v>
      </c>
      <c r="D1818" s="51">
        <v>24439462</v>
      </c>
    </row>
    <row r="1819" spans="1:4" x14ac:dyDescent="0.2">
      <c r="A1819" s="24">
        <v>43709</v>
      </c>
      <c r="B1819" s="25" t="s">
        <v>137</v>
      </c>
      <c r="C1819" s="25" t="s">
        <v>2</v>
      </c>
      <c r="D1819" s="51">
        <v>1419949</v>
      </c>
    </row>
    <row r="1820" spans="1:4" x14ac:dyDescent="0.2">
      <c r="A1820" s="24">
        <v>43709</v>
      </c>
      <c r="B1820" s="25" t="s">
        <v>118</v>
      </c>
      <c r="C1820" s="25" t="s">
        <v>2</v>
      </c>
      <c r="D1820" s="51">
        <v>958683</v>
      </c>
    </row>
    <row r="1821" spans="1:4" x14ac:dyDescent="0.2">
      <c r="A1821" s="24">
        <v>43709</v>
      </c>
      <c r="B1821" s="25" t="s">
        <v>119</v>
      </c>
      <c r="C1821" s="25" t="s">
        <v>2</v>
      </c>
      <c r="D1821" s="51">
        <v>2030930</v>
      </c>
    </row>
    <row r="1822" spans="1:4" x14ac:dyDescent="0.2">
      <c r="A1822" s="24">
        <v>43709</v>
      </c>
      <c r="B1822" s="25" t="s">
        <v>138</v>
      </c>
      <c r="C1822" s="25" t="s">
        <v>2</v>
      </c>
      <c r="D1822" s="51">
        <v>180</v>
      </c>
    </row>
    <row r="1823" spans="1:4" x14ac:dyDescent="0.2">
      <c r="A1823" s="24">
        <v>43709</v>
      </c>
      <c r="B1823" s="25" t="s">
        <v>139</v>
      </c>
      <c r="C1823" s="25" t="s">
        <v>2</v>
      </c>
      <c r="D1823" s="51">
        <v>835</v>
      </c>
    </row>
    <row r="1824" spans="1:4" x14ac:dyDescent="0.2">
      <c r="A1824" s="24">
        <v>43709</v>
      </c>
      <c r="B1824" s="25" t="s">
        <v>120</v>
      </c>
      <c r="C1824" s="25" t="s">
        <v>2</v>
      </c>
      <c r="D1824" s="51">
        <v>335156</v>
      </c>
    </row>
    <row r="1825" spans="1:4" x14ac:dyDescent="0.2">
      <c r="A1825" s="24">
        <v>43709</v>
      </c>
      <c r="B1825" s="25" t="s">
        <v>121</v>
      </c>
      <c r="C1825" s="25" t="s">
        <v>2</v>
      </c>
      <c r="D1825" s="51">
        <v>34036</v>
      </c>
    </row>
    <row r="1826" spans="1:4" x14ac:dyDescent="0.2">
      <c r="A1826" s="24">
        <v>43709</v>
      </c>
      <c r="B1826" s="25" t="s">
        <v>122</v>
      </c>
      <c r="C1826" s="25" t="s">
        <v>2</v>
      </c>
      <c r="D1826" s="51">
        <v>1156754</v>
      </c>
    </row>
    <row r="1827" spans="1:4" x14ac:dyDescent="0.2">
      <c r="A1827" s="24">
        <v>43709</v>
      </c>
      <c r="B1827" s="25" t="s">
        <v>123</v>
      </c>
      <c r="C1827" s="25" t="s">
        <v>2</v>
      </c>
      <c r="D1827" s="51">
        <v>2906578</v>
      </c>
    </row>
    <row r="1828" spans="1:4" x14ac:dyDescent="0.2">
      <c r="A1828" s="24">
        <v>43709</v>
      </c>
      <c r="B1828" s="25" t="s">
        <v>129</v>
      </c>
      <c r="C1828" s="25" t="s">
        <v>2</v>
      </c>
      <c r="D1828" s="51">
        <v>193064</v>
      </c>
    </row>
    <row r="1829" spans="1:4" x14ac:dyDescent="0.2">
      <c r="A1829" s="24">
        <v>43709</v>
      </c>
      <c r="B1829" s="25" t="s">
        <v>130</v>
      </c>
      <c r="C1829" s="25" t="s">
        <v>2</v>
      </c>
      <c r="D1829" s="51">
        <v>42711</v>
      </c>
    </row>
    <row r="1830" spans="1:4" x14ac:dyDescent="0.2">
      <c r="A1830" s="24">
        <v>43739</v>
      </c>
      <c r="B1830" s="25" t="s">
        <v>117</v>
      </c>
      <c r="C1830" s="25" t="s">
        <v>4</v>
      </c>
      <c r="D1830" s="51">
        <v>15278827</v>
      </c>
    </row>
    <row r="1831" spans="1:4" x14ac:dyDescent="0.2">
      <c r="A1831" s="24">
        <v>43739</v>
      </c>
      <c r="B1831" s="25" t="s">
        <v>131</v>
      </c>
      <c r="C1831" s="25" t="s">
        <v>4</v>
      </c>
      <c r="D1831" s="51">
        <v>68763</v>
      </c>
    </row>
    <row r="1832" spans="1:4" x14ac:dyDescent="0.2">
      <c r="A1832" s="24">
        <v>43739</v>
      </c>
      <c r="B1832" s="25" t="s">
        <v>132</v>
      </c>
      <c r="C1832" s="25" t="s">
        <v>4</v>
      </c>
      <c r="D1832" s="51">
        <v>35689</v>
      </c>
    </row>
    <row r="1833" spans="1:4" x14ac:dyDescent="0.2">
      <c r="A1833" s="24">
        <v>43739</v>
      </c>
      <c r="B1833" s="25" t="s">
        <v>133</v>
      </c>
      <c r="C1833" s="25" t="s">
        <v>4</v>
      </c>
      <c r="D1833" s="51">
        <v>8464</v>
      </c>
    </row>
    <row r="1834" spans="1:4" x14ac:dyDescent="0.2">
      <c r="A1834" s="24">
        <v>43739</v>
      </c>
      <c r="B1834" s="25" t="s">
        <v>137</v>
      </c>
      <c r="C1834" s="25" t="s">
        <v>4</v>
      </c>
      <c r="D1834" s="51">
        <v>1367495</v>
      </c>
    </row>
    <row r="1835" spans="1:4" x14ac:dyDescent="0.2">
      <c r="A1835" s="24">
        <v>43739</v>
      </c>
      <c r="B1835" s="25" t="s">
        <v>118</v>
      </c>
      <c r="C1835" s="25" t="s">
        <v>4</v>
      </c>
      <c r="D1835" s="51">
        <v>1503845</v>
      </c>
    </row>
    <row r="1836" spans="1:4" x14ac:dyDescent="0.2">
      <c r="A1836" s="24">
        <v>43739</v>
      </c>
      <c r="B1836" s="25" t="s">
        <v>134</v>
      </c>
      <c r="C1836" s="25" t="s">
        <v>4</v>
      </c>
      <c r="D1836" s="51">
        <v>23363</v>
      </c>
    </row>
    <row r="1837" spans="1:4" x14ac:dyDescent="0.2">
      <c r="A1837" s="24">
        <v>43739</v>
      </c>
      <c r="B1837" s="25" t="s">
        <v>135</v>
      </c>
      <c r="C1837" s="25" t="s">
        <v>4</v>
      </c>
      <c r="D1837" s="51">
        <v>16736</v>
      </c>
    </row>
    <row r="1838" spans="1:4" x14ac:dyDescent="0.2">
      <c r="A1838" s="24">
        <v>43739</v>
      </c>
      <c r="B1838" s="25" t="s">
        <v>136</v>
      </c>
      <c r="C1838" s="25" t="s">
        <v>4</v>
      </c>
      <c r="D1838" s="51">
        <v>4514</v>
      </c>
    </row>
    <row r="1839" spans="1:4" x14ac:dyDescent="0.2">
      <c r="A1839" s="24">
        <v>43739</v>
      </c>
      <c r="B1839" s="25" t="s">
        <v>119</v>
      </c>
      <c r="C1839" s="25" t="s">
        <v>4</v>
      </c>
      <c r="D1839" s="51">
        <v>1789622</v>
      </c>
    </row>
    <row r="1840" spans="1:4" x14ac:dyDescent="0.2">
      <c r="A1840" s="24">
        <v>43739</v>
      </c>
      <c r="B1840" s="25" t="s">
        <v>138</v>
      </c>
      <c r="C1840" s="25" t="s">
        <v>4</v>
      </c>
      <c r="D1840" s="51">
        <v>94</v>
      </c>
    </row>
    <row r="1841" spans="1:4" x14ac:dyDescent="0.2">
      <c r="A1841" s="24">
        <v>43739</v>
      </c>
      <c r="B1841" s="25" t="s">
        <v>139</v>
      </c>
      <c r="C1841" s="25" t="s">
        <v>4</v>
      </c>
      <c r="D1841" s="51">
        <v>1091</v>
      </c>
    </row>
    <row r="1842" spans="1:4" x14ac:dyDescent="0.2">
      <c r="A1842" s="24">
        <v>43739</v>
      </c>
      <c r="B1842" s="25" t="s">
        <v>120</v>
      </c>
      <c r="C1842" s="25" t="s">
        <v>4</v>
      </c>
      <c r="D1842" s="51">
        <v>96225</v>
      </c>
    </row>
    <row r="1843" spans="1:4" x14ac:dyDescent="0.2">
      <c r="A1843" s="24">
        <v>43739</v>
      </c>
      <c r="B1843" s="25" t="s">
        <v>121</v>
      </c>
      <c r="C1843" s="25" t="s">
        <v>4</v>
      </c>
      <c r="D1843" s="51">
        <v>42777</v>
      </c>
    </row>
    <row r="1844" spans="1:4" x14ac:dyDescent="0.2">
      <c r="A1844" s="24">
        <v>43739</v>
      </c>
      <c r="B1844" s="25" t="s">
        <v>140</v>
      </c>
      <c r="C1844" s="25" t="s">
        <v>4</v>
      </c>
      <c r="D1844" s="51">
        <v>25895</v>
      </c>
    </row>
    <row r="1845" spans="1:4" x14ac:dyDescent="0.2">
      <c r="A1845" s="24">
        <v>43739</v>
      </c>
      <c r="B1845" s="25" t="s">
        <v>122</v>
      </c>
      <c r="C1845" s="25" t="s">
        <v>4</v>
      </c>
      <c r="D1845" s="51">
        <v>1933260</v>
      </c>
    </row>
    <row r="1846" spans="1:4" x14ac:dyDescent="0.2">
      <c r="A1846" s="24">
        <v>43739</v>
      </c>
      <c r="B1846" s="25" t="s">
        <v>123</v>
      </c>
      <c r="C1846" s="25" t="s">
        <v>4</v>
      </c>
      <c r="D1846" s="51">
        <v>4467434</v>
      </c>
    </row>
    <row r="1847" spans="1:4" x14ac:dyDescent="0.2">
      <c r="A1847" s="24">
        <v>43739</v>
      </c>
      <c r="B1847" s="25" t="s">
        <v>117</v>
      </c>
      <c r="C1847" s="25" t="s">
        <v>8</v>
      </c>
      <c r="D1847" s="51">
        <v>782712</v>
      </c>
    </row>
    <row r="1848" spans="1:4" x14ac:dyDescent="0.2">
      <c r="A1848" s="24">
        <v>43739</v>
      </c>
      <c r="B1848" s="25" t="s">
        <v>137</v>
      </c>
      <c r="C1848" s="25" t="s">
        <v>8</v>
      </c>
      <c r="D1848" s="51">
        <v>144705</v>
      </c>
    </row>
    <row r="1849" spans="1:4" x14ac:dyDescent="0.2">
      <c r="A1849" s="24">
        <v>43739</v>
      </c>
      <c r="B1849" s="25" t="s">
        <v>118</v>
      </c>
      <c r="C1849" s="25" t="s">
        <v>8</v>
      </c>
      <c r="D1849" s="51">
        <v>121078</v>
      </c>
    </row>
    <row r="1850" spans="1:4" x14ac:dyDescent="0.2">
      <c r="A1850" s="24">
        <v>43739</v>
      </c>
      <c r="B1850" s="25" t="s">
        <v>119</v>
      </c>
      <c r="C1850" s="25" t="s">
        <v>8</v>
      </c>
      <c r="D1850" s="51">
        <v>23124</v>
      </c>
    </row>
    <row r="1851" spans="1:4" x14ac:dyDescent="0.2">
      <c r="A1851" s="24">
        <v>43739</v>
      </c>
      <c r="B1851" s="25" t="s">
        <v>138</v>
      </c>
      <c r="C1851" s="25" t="s">
        <v>8</v>
      </c>
      <c r="D1851" s="51">
        <v>528</v>
      </c>
    </row>
    <row r="1852" spans="1:4" x14ac:dyDescent="0.2">
      <c r="A1852" s="24">
        <v>43739</v>
      </c>
      <c r="B1852" s="25" t="s">
        <v>139</v>
      </c>
      <c r="C1852" s="25" t="s">
        <v>8</v>
      </c>
      <c r="D1852" s="51">
        <v>76</v>
      </c>
    </row>
    <row r="1853" spans="1:4" x14ac:dyDescent="0.2">
      <c r="A1853" s="24">
        <v>43739</v>
      </c>
      <c r="B1853" s="25" t="s">
        <v>120</v>
      </c>
      <c r="C1853" s="25" t="s">
        <v>8</v>
      </c>
      <c r="D1853" s="51">
        <v>5071</v>
      </c>
    </row>
    <row r="1854" spans="1:4" x14ac:dyDescent="0.2">
      <c r="A1854" s="24">
        <v>43739</v>
      </c>
      <c r="B1854" s="25" t="s">
        <v>121</v>
      </c>
      <c r="C1854" s="25" t="s">
        <v>8</v>
      </c>
      <c r="D1854" s="51">
        <v>2311</v>
      </c>
    </row>
    <row r="1855" spans="1:4" x14ac:dyDescent="0.2">
      <c r="A1855" s="24">
        <v>43739</v>
      </c>
      <c r="B1855" s="25" t="s">
        <v>122</v>
      </c>
      <c r="C1855" s="25" t="s">
        <v>8</v>
      </c>
      <c r="D1855" s="51">
        <v>2381</v>
      </c>
    </row>
    <row r="1856" spans="1:4" x14ac:dyDescent="0.2">
      <c r="A1856" s="24">
        <v>43739</v>
      </c>
      <c r="B1856" s="25" t="s">
        <v>123</v>
      </c>
      <c r="C1856" s="25" t="s">
        <v>8</v>
      </c>
      <c r="D1856" s="51">
        <v>211866</v>
      </c>
    </row>
    <row r="1857" spans="1:4" x14ac:dyDescent="0.2">
      <c r="A1857" s="24">
        <v>43739</v>
      </c>
      <c r="B1857" s="25" t="s">
        <v>124</v>
      </c>
      <c r="C1857" s="25" t="s">
        <v>8</v>
      </c>
      <c r="D1857" s="51">
        <v>36475</v>
      </c>
    </row>
    <row r="1858" spans="1:4" x14ac:dyDescent="0.2">
      <c r="A1858" s="24">
        <v>43739</v>
      </c>
      <c r="B1858" s="25" t="s">
        <v>125</v>
      </c>
      <c r="C1858" s="25" t="s">
        <v>8</v>
      </c>
      <c r="D1858" s="51">
        <v>10120</v>
      </c>
    </row>
    <row r="1859" spans="1:4" x14ac:dyDescent="0.2">
      <c r="A1859" s="24">
        <v>43739</v>
      </c>
      <c r="B1859" s="25" t="s">
        <v>117</v>
      </c>
      <c r="C1859" s="25" t="s">
        <v>26</v>
      </c>
      <c r="D1859" s="51">
        <v>631702</v>
      </c>
    </row>
    <row r="1860" spans="1:4" x14ac:dyDescent="0.2">
      <c r="A1860" s="24">
        <v>43739</v>
      </c>
      <c r="B1860" s="25" t="s">
        <v>137</v>
      </c>
      <c r="C1860" s="25" t="s">
        <v>26</v>
      </c>
      <c r="D1860" s="51">
        <v>82384</v>
      </c>
    </row>
    <row r="1861" spans="1:4" x14ac:dyDescent="0.2">
      <c r="A1861" s="24">
        <v>43739</v>
      </c>
      <c r="B1861" s="25" t="s">
        <v>118</v>
      </c>
      <c r="C1861" s="25" t="s">
        <v>26</v>
      </c>
      <c r="D1861" s="51">
        <v>56750</v>
      </c>
    </row>
    <row r="1862" spans="1:4" x14ac:dyDescent="0.2">
      <c r="A1862" s="24">
        <v>43739</v>
      </c>
      <c r="B1862" s="25" t="s">
        <v>119</v>
      </c>
      <c r="C1862" s="25" t="s">
        <v>26</v>
      </c>
      <c r="D1862" s="51">
        <v>36384</v>
      </c>
    </row>
    <row r="1863" spans="1:4" x14ac:dyDescent="0.2">
      <c r="A1863" s="24">
        <v>43739</v>
      </c>
      <c r="B1863" s="25" t="s">
        <v>138</v>
      </c>
      <c r="C1863" s="25" t="s">
        <v>26</v>
      </c>
      <c r="D1863" s="51">
        <v>13</v>
      </c>
    </row>
    <row r="1864" spans="1:4" x14ac:dyDescent="0.2">
      <c r="A1864" s="24">
        <v>43739</v>
      </c>
      <c r="B1864" s="25" t="s">
        <v>139</v>
      </c>
      <c r="C1864" s="25" t="s">
        <v>26</v>
      </c>
      <c r="D1864" s="51">
        <v>20</v>
      </c>
    </row>
    <row r="1865" spans="1:4" x14ac:dyDescent="0.2">
      <c r="A1865" s="24">
        <v>43739</v>
      </c>
      <c r="B1865" s="25" t="s">
        <v>120</v>
      </c>
      <c r="C1865" s="25" t="s">
        <v>26</v>
      </c>
      <c r="D1865" s="51">
        <v>1756</v>
      </c>
    </row>
    <row r="1866" spans="1:4" x14ac:dyDescent="0.2">
      <c r="A1866" s="24">
        <v>43739</v>
      </c>
      <c r="B1866" s="25" t="s">
        <v>121</v>
      </c>
      <c r="C1866" s="25" t="s">
        <v>26</v>
      </c>
      <c r="D1866" s="51">
        <v>1323</v>
      </c>
    </row>
    <row r="1867" spans="1:4" x14ac:dyDescent="0.2">
      <c r="A1867" s="24">
        <v>43739</v>
      </c>
      <c r="B1867" s="25" t="s">
        <v>122</v>
      </c>
      <c r="C1867" s="25" t="s">
        <v>26</v>
      </c>
      <c r="D1867" s="51">
        <v>6472</v>
      </c>
    </row>
    <row r="1868" spans="1:4" x14ac:dyDescent="0.2">
      <c r="A1868" s="24">
        <v>43739</v>
      </c>
      <c r="B1868" s="25" t="s">
        <v>123</v>
      </c>
      <c r="C1868" s="25" t="s">
        <v>26</v>
      </c>
      <c r="D1868" s="51">
        <v>178727</v>
      </c>
    </row>
    <row r="1869" spans="1:4" x14ac:dyDescent="0.2">
      <c r="A1869" s="24">
        <v>43739</v>
      </c>
      <c r="B1869" s="25" t="s">
        <v>127</v>
      </c>
      <c r="C1869" s="25" t="s">
        <v>26</v>
      </c>
      <c r="D1869" s="51">
        <v>2286</v>
      </c>
    </row>
    <row r="1870" spans="1:4" x14ac:dyDescent="0.2">
      <c r="A1870" s="24">
        <v>43739</v>
      </c>
      <c r="B1870" s="25" t="s">
        <v>128</v>
      </c>
      <c r="C1870" s="25" t="s">
        <v>26</v>
      </c>
      <c r="D1870" s="51">
        <v>848</v>
      </c>
    </row>
    <row r="1871" spans="1:4" x14ac:dyDescent="0.2">
      <c r="A1871" s="24">
        <v>43739</v>
      </c>
      <c r="B1871" s="25" t="s">
        <v>117</v>
      </c>
      <c r="C1871" s="25" t="s">
        <v>142</v>
      </c>
      <c r="D1871" s="51">
        <v>1461547</v>
      </c>
    </row>
    <row r="1872" spans="1:4" x14ac:dyDescent="0.2">
      <c r="A1872" s="24">
        <v>43739</v>
      </c>
      <c r="B1872" s="25" t="s">
        <v>137</v>
      </c>
      <c r="C1872" s="25" t="s">
        <v>142</v>
      </c>
      <c r="D1872" s="51">
        <v>148911</v>
      </c>
    </row>
    <row r="1873" spans="1:4" x14ac:dyDescent="0.2">
      <c r="A1873" s="24">
        <v>43739</v>
      </c>
      <c r="B1873" s="25" t="s">
        <v>118</v>
      </c>
      <c r="C1873" s="25" t="s">
        <v>142</v>
      </c>
      <c r="D1873" s="51">
        <v>139949</v>
      </c>
    </row>
    <row r="1874" spans="1:4" x14ac:dyDescent="0.2">
      <c r="A1874" s="24">
        <v>43739</v>
      </c>
      <c r="B1874" s="25" t="s">
        <v>119</v>
      </c>
      <c r="C1874" s="25" t="s">
        <v>142</v>
      </c>
      <c r="D1874" s="51">
        <v>234295</v>
      </c>
    </row>
    <row r="1875" spans="1:4" x14ac:dyDescent="0.2">
      <c r="A1875" s="24">
        <v>43739</v>
      </c>
      <c r="B1875" s="25" t="s">
        <v>139</v>
      </c>
      <c r="C1875" s="25" t="s">
        <v>142</v>
      </c>
      <c r="D1875" s="51">
        <v>12</v>
      </c>
    </row>
    <row r="1876" spans="1:4" x14ac:dyDescent="0.2">
      <c r="A1876" s="24">
        <v>43739</v>
      </c>
      <c r="B1876" s="25" t="s">
        <v>120</v>
      </c>
      <c r="C1876" s="25" t="s">
        <v>142</v>
      </c>
      <c r="D1876" s="51">
        <v>9796</v>
      </c>
    </row>
    <row r="1877" spans="1:4" x14ac:dyDescent="0.2">
      <c r="A1877" s="24">
        <v>43739</v>
      </c>
      <c r="B1877" s="25" t="s">
        <v>121</v>
      </c>
      <c r="C1877" s="25" t="s">
        <v>142</v>
      </c>
      <c r="D1877" s="51">
        <v>1994</v>
      </c>
    </row>
    <row r="1878" spans="1:4" x14ac:dyDescent="0.2">
      <c r="A1878" s="24">
        <v>43739</v>
      </c>
      <c r="B1878" s="25" t="s">
        <v>122</v>
      </c>
      <c r="C1878" s="25" t="s">
        <v>142</v>
      </c>
      <c r="D1878" s="51">
        <v>58308</v>
      </c>
    </row>
    <row r="1879" spans="1:4" x14ac:dyDescent="0.2">
      <c r="A1879" s="24">
        <v>43739</v>
      </c>
      <c r="B1879" s="25" t="s">
        <v>123</v>
      </c>
      <c r="C1879" s="25" t="s">
        <v>142</v>
      </c>
      <c r="D1879" s="51">
        <v>139063</v>
      </c>
    </row>
    <row r="1880" spans="1:4" x14ac:dyDescent="0.2">
      <c r="A1880" s="24">
        <v>43739</v>
      </c>
      <c r="B1880" s="25" t="s">
        <v>129</v>
      </c>
      <c r="C1880" s="25" t="s">
        <v>142</v>
      </c>
      <c r="D1880" s="51">
        <v>7919</v>
      </c>
    </row>
    <row r="1881" spans="1:4" x14ac:dyDescent="0.2">
      <c r="A1881" s="24">
        <v>43739</v>
      </c>
      <c r="B1881" s="25" t="s">
        <v>130</v>
      </c>
      <c r="C1881" s="25" t="s">
        <v>142</v>
      </c>
      <c r="D1881" s="51">
        <v>5122</v>
      </c>
    </row>
    <row r="1882" spans="1:4" x14ac:dyDescent="0.2">
      <c r="A1882" s="24">
        <v>43739</v>
      </c>
      <c r="B1882" s="25" t="s">
        <v>117</v>
      </c>
      <c r="C1882" s="25" t="s">
        <v>2</v>
      </c>
      <c r="D1882" s="51">
        <v>24651070</v>
      </c>
    </row>
    <row r="1883" spans="1:4" x14ac:dyDescent="0.2">
      <c r="A1883" s="24">
        <v>43739</v>
      </c>
      <c r="B1883" s="25" t="s">
        <v>137</v>
      </c>
      <c r="C1883" s="25" t="s">
        <v>2</v>
      </c>
      <c r="D1883" s="51">
        <v>2485677</v>
      </c>
    </row>
    <row r="1884" spans="1:4" x14ac:dyDescent="0.2">
      <c r="A1884" s="24">
        <v>43739</v>
      </c>
      <c r="B1884" s="25" t="s">
        <v>118</v>
      </c>
      <c r="C1884" s="25" t="s">
        <v>2</v>
      </c>
      <c r="D1884" s="51">
        <v>1238755</v>
      </c>
    </row>
    <row r="1885" spans="1:4" x14ac:dyDescent="0.2">
      <c r="A1885" s="24">
        <v>43739</v>
      </c>
      <c r="B1885" s="25" t="s">
        <v>119</v>
      </c>
      <c r="C1885" s="25" t="s">
        <v>2</v>
      </c>
      <c r="D1885" s="51">
        <v>2075291</v>
      </c>
    </row>
    <row r="1886" spans="1:4" x14ac:dyDescent="0.2">
      <c r="A1886" s="24">
        <v>43739</v>
      </c>
      <c r="B1886" s="25" t="s">
        <v>138</v>
      </c>
      <c r="C1886" s="25" t="s">
        <v>2</v>
      </c>
      <c r="D1886" s="51">
        <v>258</v>
      </c>
    </row>
    <row r="1887" spans="1:4" x14ac:dyDescent="0.2">
      <c r="A1887" s="24">
        <v>43739</v>
      </c>
      <c r="B1887" s="25" t="s">
        <v>139</v>
      </c>
      <c r="C1887" s="25" t="s">
        <v>2</v>
      </c>
      <c r="D1887" s="51">
        <v>895</v>
      </c>
    </row>
    <row r="1888" spans="1:4" x14ac:dyDescent="0.2">
      <c r="A1888" s="24">
        <v>43739</v>
      </c>
      <c r="B1888" s="25" t="s">
        <v>120</v>
      </c>
      <c r="C1888" s="25" t="s">
        <v>2</v>
      </c>
      <c r="D1888" s="51">
        <v>353157</v>
      </c>
    </row>
    <row r="1889" spans="1:4" x14ac:dyDescent="0.2">
      <c r="A1889" s="24">
        <v>43739</v>
      </c>
      <c r="B1889" s="25" t="s">
        <v>121</v>
      </c>
      <c r="C1889" s="25" t="s">
        <v>2</v>
      </c>
      <c r="D1889" s="51">
        <v>36726</v>
      </c>
    </row>
    <row r="1890" spans="1:4" x14ac:dyDescent="0.2">
      <c r="A1890" s="24">
        <v>43739</v>
      </c>
      <c r="B1890" s="25" t="s">
        <v>122</v>
      </c>
      <c r="C1890" s="25" t="s">
        <v>2</v>
      </c>
      <c r="D1890" s="51">
        <v>771963</v>
      </c>
    </row>
    <row r="1891" spans="1:4" x14ac:dyDescent="0.2">
      <c r="A1891" s="24">
        <v>43739</v>
      </c>
      <c r="B1891" s="25" t="s">
        <v>123</v>
      </c>
      <c r="C1891" s="25" t="s">
        <v>2</v>
      </c>
      <c r="D1891" s="51">
        <v>3130129</v>
      </c>
    </row>
    <row r="1892" spans="1:4" x14ac:dyDescent="0.2">
      <c r="A1892" s="24">
        <v>43739</v>
      </c>
      <c r="B1892" s="25" t="s">
        <v>129</v>
      </c>
      <c r="C1892" s="25" t="s">
        <v>2</v>
      </c>
      <c r="D1892" s="51">
        <v>201464</v>
      </c>
    </row>
    <row r="1893" spans="1:4" x14ac:dyDescent="0.2">
      <c r="A1893" s="24">
        <v>43739</v>
      </c>
      <c r="B1893" s="25" t="s">
        <v>130</v>
      </c>
      <c r="C1893" s="25" t="s">
        <v>2</v>
      </c>
      <c r="D1893" s="51">
        <v>53099</v>
      </c>
    </row>
    <row r="1894" spans="1:4" x14ac:dyDescent="0.2">
      <c r="A1894" s="24">
        <v>43770</v>
      </c>
      <c r="B1894" s="25" t="s">
        <v>117</v>
      </c>
      <c r="C1894" s="25" t="s">
        <v>4</v>
      </c>
      <c r="D1894" s="51">
        <v>14719303</v>
      </c>
    </row>
    <row r="1895" spans="1:4" x14ac:dyDescent="0.2">
      <c r="A1895" s="24">
        <v>43770</v>
      </c>
      <c r="B1895" s="25" t="s">
        <v>131</v>
      </c>
      <c r="C1895" s="25" t="s">
        <v>4</v>
      </c>
      <c r="D1895" s="51">
        <v>52753</v>
      </c>
    </row>
    <row r="1896" spans="1:4" x14ac:dyDescent="0.2">
      <c r="A1896" s="24">
        <v>43770</v>
      </c>
      <c r="B1896" s="25" t="s">
        <v>132</v>
      </c>
      <c r="C1896" s="25" t="s">
        <v>4</v>
      </c>
      <c r="D1896" s="51">
        <v>27310</v>
      </c>
    </row>
    <row r="1897" spans="1:4" x14ac:dyDescent="0.2">
      <c r="A1897" s="24">
        <v>43770</v>
      </c>
      <c r="B1897" s="25" t="s">
        <v>133</v>
      </c>
      <c r="C1897" s="25" t="s">
        <v>4</v>
      </c>
      <c r="D1897" s="51">
        <v>7189</v>
      </c>
    </row>
    <row r="1898" spans="1:4" x14ac:dyDescent="0.2">
      <c r="A1898" s="24">
        <v>43770</v>
      </c>
      <c r="B1898" s="25" t="s">
        <v>137</v>
      </c>
      <c r="C1898" s="25" t="s">
        <v>4</v>
      </c>
      <c r="D1898" s="51">
        <v>2036680</v>
      </c>
    </row>
    <row r="1899" spans="1:4" x14ac:dyDescent="0.2">
      <c r="A1899" s="24">
        <v>43770</v>
      </c>
      <c r="B1899" s="25" t="s">
        <v>118</v>
      </c>
      <c r="C1899" s="25" t="s">
        <v>4</v>
      </c>
      <c r="D1899" s="51">
        <v>1273847</v>
      </c>
    </row>
    <row r="1900" spans="1:4" x14ac:dyDescent="0.2">
      <c r="A1900" s="24">
        <v>43770</v>
      </c>
      <c r="B1900" s="25" t="s">
        <v>134</v>
      </c>
      <c r="C1900" s="25" t="s">
        <v>4</v>
      </c>
      <c r="D1900" s="51">
        <v>14456</v>
      </c>
    </row>
    <row r="1901" spans="1:4" x14ac:dyDescent="0.2">
      <c r="A1901" s="24">
        <v>43770</v>
      </c>
      <c r="B1901" s="25" t="s">
        <v>135</v>
      </c>
      <c r="C1901" s="25" t="s">
        <v>4</v>
      </c>
      <c r="D1901" s="51">
        <v>8991</v>
      </c>
    </row>
    <row r="1902" spans="1:4" x14ac:dyDescent="0.2">
      <c r="A1902" s="24">
        <v>43770</v>
      </c>
      <c r="B1902" s="25" t="s">
        <v>136</v>
      </c>
      <c r="C1902" s="25" t="s">
        <v>4</v>
      </c>
      <c r="D1902" s="51">
        <v>2881</v>
      </c>
    </row>
    <row r="1903" spans="1:4" x14ac:dyDescent="0.2">
      <c r="A1903" s="24">
        <v>43770</v>
      </c>
      <c r="B1903" s="25" t="s">
        <v>119</v>
      </c>
      <c r="C1903" s="25" t="s">
        <v>4</v>
      </c>
      <c r="D1903" s="51">
        <v>1511797</v>
      </c>
    </row>
    <row r="1904" spans="1:4" x14ac:dyDescent="0.2">
      <c r="A1904" s="24">
        <v>43770</v>
      </c>
      <c r="B1904" s="25" t="s">
        <v>138</v>
      </c>
      <c r="C1904" s="25" t="s">
        <v>4</v>
      </c>
      <c r="D1904" s="51">
        <v>81</v>
      </c>
    </row>
    <row r="1905" spans="1:4" x14ac:dyDescent="0.2">
      <c r="A1905" s="24">
        <v>43770</v>
      </c>
      <c r="B1905" s="25" t="s">
        <v>139</v>
      </c>
      <c r="C1905" s="25" t="s">
        <v>4</v>
      </c>
      <c r="D1905" s="51">
        <v>998</v>
      </c>
    </row>
    <row r="1906" spans="1:4" x14ac:dyDescent="0.2">
      <c r="A1906" s="24">
        <v>43770</v>
      </c>
      <c r="B1906" s="25" t="s">
        <v>120</v>
      </c>
      <c r="C1906" s="25" t="s">
        <v>4</v>
      </c>
      <c r="D1906" s="51">
        <v>95973</v>
      </c>
    </row>
    <row r="1907" spans="1:4" x14ac:dyDescent="0.2">
      <c r="A1907" s="24">
        <v>43770</v>
      </c>
      <c r="B1907" s="25" t="s">
        <v>121</v>
      </c>
      <c r="C1907" s="25" t="s">
        <v>4</v>
      </c>
      <c r="D1907" s="51">
        <v>42709</v>
      </c>
    </row>
    <row r="1908" spans="1:4" x14ac:dyDescent="0.2">
      <c r="A1908" s="24">
        <v>43770</v>
      </c>
      <c r="B1908" s="25" t="s">
        <v>140</v>
      </c>
      <c r="C1908" s="25" t="s">
        <v>4</v>
      </c>
      <c r="D1908" s="51">
        <v>26304</v>
      </c>
    </row>
    <row r="1909" spans="1:4" x14ac:dyDescent="0.2">
      <c r="A1909" s="24">
        <v>43770</v>
      </c>
      <c r="B1909" s="25" t="s">
        <v>122</v>
      </c>
      <c r="C1909" s="25" t="s">
        <v>4</v>
      </c>
      <c r="D1909" s="51">
        <v>2787603</v>
      </c>
    </row>
    <row r="1910" spans="1:4" x14ac:dyDescent="0.2">
      <c r="A1910" s="24">
        <v>43770</v>
      </c>
      <c r="B1910" s="25" t="s">
        <v>123</v>
      </c>
      <c r="C1910" s="25" t="s">
        <v>4</v>
      </c>
      <c r="D1910" s="51">
        <v>4444174</v>
      </c>
    </row>
    <row r="1911" spans="1:4" x14ac:dyDescent="0.2">
      <c r="A1911" s="24">
        <v>43770</v>
      </c>
      <c r="B1911" s="25" t="s">
        <v>117</v>
      </c>
      <c r="C1911" s="25" t="s">
        <v>8</v>
      </c>
      <c r="D1911" s="51">
        <v>754173</v>
      </c>
    </row>
    <row r="1912" spans="1:4" x14ac:dyDescent="0.2">
      <c r="A1912" s="24">
        <v>43770</v>
      </c>
      <c r="B1912" s="25" t="s">
        <v>137</v>
      </c>
      <c r="C1912" s="25" t="s">
        <v>8</v>
      </c>
      <c r="D1912" s="51">
        <v>169582</v>
      </c>
    </row>
    <row r="1913" spans="1:4" x14ac:dyDescent="0.2">
      <c r="A1913" s="24">
        <v>43770</v>
      </c>
      <c r="B1913" s="25" t="s">
        <v>118</v>
      </c>
      <c r="C1913" s="25" t="s">
        <v>8</v>
      </c>
      <c r="D1913" s="51">
        <v>73879</v>
      </c>
    </row>
    <row r="1914" spans="1:4" x14ac:dyDescent="0.2">
      <c r="A1914" s="24">
        <v>43770</v>
      </c>
      <c r="B1914" s="25" t="s">
        <v>119</v>
      </c>
      <c r="C1914" s="25" t="s">
        <v>8</v>
      </c>
      <c r="D1914" s="51">
        <v>20952</v>
      </c>
    </row>
    <row r="1915" spans="1:4" x14ac:dyDescent="0.2">
      <c r="A1915" s="24">
        <v>43770</v>
      </c>
      <c r="B1915" s="25" t="s">
        <v>138</v>
      </c>
      <c r="C1915" s="25" t="s">
        <v>8</v>
      </c>
      <c r="D1915" s="51">
        <v>431</v>
      </c>
    </row>
    <row r="1916" spans="1:4" x14ac:dyDescent="0.2">
      <c r="A1916" s="24">
        <v>43770</v>
      </c>
      <c r="B1916" s="25" t="s">
        <v>139</v>
      </c>
      <c r="C1916" s="25" t="s">
        <v>8</v>
      </c>
      <c r="D1916" s="51">
        <v>111</v>
      </c>
    </row>
    <row r="1917" spans="1:4" x14ac:dyDescent="0.2">
      <c r="A1917" s="24">
        <v>43770</v>
      </c>
      <c r="B1917" s="25" t="s">
        <v>120</v>
      </c>
      <c r="C1917" s="25" t="s">
        <v>8</v>
      </c>
      <c r="D1917" s="51">
        <v>5303</v>
      </c>
    </row>
    <row r="1918" spans="1:4" x14ac:dyDescent="0.2">
      <c r="A1918" s="24">
        <v>43770</v>
      </c>
      <c r="B1918" s="25" t="s">
        <v>121</v>
      </c>
      <c r="C1918" s="25" t="s">
        <v>8</v>
      </c>
      <c r="D1918" s="51">
        <v>2126</v>
      </c>
    </row>
    <row r="1919" spans="1:4" x14ac:dyDescent="0.2">
      <c r="A1919" s="24">
        <v>43770</v>
      </c>
      <c r="B1919" s="25" t="s">
        <v>122</v>
      </c>
      <c r="C1919" s="25" t="s">
        <v>8</v>
      </c>
      <c r="D1919" s="51">
        <v>3425</v>
      </c>
    </row>
    <row r="1920" spans="1:4" x14ac:dyDescent="0.2">
      <c r="A1920" s="24">
        <v>43770</v>
      </c>
      <c r="B1920" s="25" t="s">
        <v>123</v>
      </c>
      <c r="C1920" s="25" t="s">
        <v>8</v>
      </c>
      <c r="D1920" s="51">
        <v>194361</v>
      </c>
    </row>
    <row r="1921" spans="1:4" x14ac:dyDescent="0.2">
      <c r="A1921" s="24">
        <v>43770</v>
      </c>
      <c r="B1921" s="25" t="s">
        <v>124</v>
      </c>
      <c r="C1921" s="25" t="s">
        <v>8</v>
      </c>
      <c r="D1921" s="51">
        <v>36807</v>
      </c>
    </row>
    <row r="1922" spans="1:4" x14ac:dyDescent="0.2">
      <c r="A1922" s="24">
        <v>43770</v>
      </c>
      <c r="B1922" s="25" t="s">
        <v>125</v>
      </c>
      <c r="C1922" s="25" t="s">
        <v>8</v>
      </c>
      <c r="D1922" s="51">
        <v>5826</v>
      </c>
    </row>
    <row r="1923" spans="1:4" x14ac:dyDescent="0.2">
      <c r="A1923" s="24">
        <v>43770</v>
      </c>
      <c r="B1923" s="25" t="s">
        <v>117</v>
      </c>
      <c r="C1923" s="25" t="s">
        <v>26</v>
      </c>
      <c r="D1923" s="51">
        <v>613974</v>
      </c>
    </row>
    <row r="1924" spans="1:4" x14ac:dyDescent="0.2">
      <c r="A1924" s="24">
        <v>43770</v>
      </c>
      <c r="B1924" s="25" t="s">
        <v>137</v>
      </c>
      <c r="C1924" s="25" t="s">
        <v>26</v>
      </c>
      <c r="D1924" s="51">
        <v>98306</v>
      </c>
    </row>
    <row r="1925" spans="1:4" x14ac:dyDescent="0.2">
      <c r="A1925" s="24">
        <v>43770</v>
      </c>
      <c r="B1925" s="25" t="s">
        <v>118</v>
      </c>
      <c r="C1925" s="25" t="s">
        <v>26</v>
      </c>
      <c r="D1925" s="51">
        <v>46507</v>
      </c>
    </row>
    <row r="1926" spans="1:4" x14ac:dyDescent="0.2">
      <c r="A1926" s="24">
        <v>43770</v>
      </c>
      <c r="B1926" s="25" t="s">
        <v>119</v>
      </c>
      <c r="C1926" s="25" t="s">
        <v>26</v>
      </c>
      <c r="D1926" s="51">
        <v>32785</v>
      </c>
    </row>
    <row r="1927" spans="1:4" x14ac:dyDescent="0.2">
      <c r="A1927" s="24">
        <v>43770</v>
      </c>
      <c r="B1927" s="25" t="s">
        <v>139</v>
      </c>
      <c r="C1927" s="25" t="s">
        <v>26</v>
      </c>
      <c r="D1927" s="51">
        <v>18</v>
      </c>
    </row>
    <row r="1928" spans="1:4" x14ac:dyDescent="0.2">
      <c r="A1928" s="24">
        <v>43770</v>
      </c>
      <c r="B1928" s="25" t="s">
        <v>120</v>
      </c>
      <c r="C1928" s="25" t="s">
        <v>26</v>
      </c>
      <c r="D1928" s="51">
        <v>1751</v>
      </c>
    </row>
    <row r="1929" spans="1:4" x14ac:dyDescent="0.2">
      <c r="A1929" s="24">
        <v>43770</v>
      </c>
      <c r="B1929" s="25" t="s">
        <v>121</v>
      </c>
      <c r="C1929" s="25" t="s">
        <v>26</v>
      </c>
      <c r="D1929" s="51">
        <v>1328</v>
      </c>
    </row>
    <row r="1930" spans="1:4" x14ac:dyDescent="0.2">
      <c r="A1930" s="24">
        <v>43770</v>
      </c>
      <c r="B1930" s="25" t="s">
        <v>122</v>
      </c>
      <c r="C1930" s="25" t="s">
        <v>26</v>
      </c>
      <c r="D1930" s="51">
        <v>9377</v>
      </c>
    </row>
    <row r="1931" spans="1:4" x14ac:dyDescent="0.2">
      <c r="A1931" s="24">
        <v>43770</v>
      </c>
      <c r="B1931" s="25" t="s">
        <v>123</v>
      </c>
      <c r="C1931" s="25" t="s">
        <v>26</v>
      </c>
      <c r="D1931" s="51">
        <v>170285</v>
      </c>
    </row>
    <row r="1932" spans="1:4" x14ac:dyDescent="0.2">
      <c r="A1932" s="24">
        <v>43770</v>
      </c>
      <c r="B1932" s="25" t="s">
        <v>127</v>
      </c>
      <c r="C1932" s="25" t="s">
        <v>26</v>
      </c>
      <c r="D1932" s="51">
        <v>1971</v>
      </c>
    </row>
    <row r="1933" spans="1:4" x14ac:dyDescent="0.2">
      <c r="A1933" s="24">
        <v>43770</v>
      </c>
      <c r="B1933" s="25" t="s">
        <v>128</v>
      </c>
      <c r="C1933" s="25" t="s">
        <v>26</v>
      </c>
      <c r="D1933" s="51">
        <v>508</v>
      </c>
    </row>
    <row r="1934" spans="1:4" x14ac:dyDescent="0.2">
      <c r="A1934" s="24">
        <v>43770</v>
      </c>
      <c r="B1934" s="25" t="s">
        <v>117</v>
      </c>
      <c r="C1934" s="25" t="s">
        <v>142</v>
      </c>
      <c r="D1934" s="51">
        <v>1368787</v>
      </c>
    </row>
    <row r="1935" spans="1:4" x14ac:dyDescent="0.2">
      <c r="A1935" s="24">
        <v>43770</v>
      </c>
      <c r="B1935" s="25" t="s">
        <v>137</v>
      </c>
      <c r="C1935" s="25" t="s">
        <v>142</v>
      </c>
      <c r="D1935" s="51">
        <v>174479</v>
      </c>
    </row>
    <row r="1936" spans="1:4" x14ac:dyDescent="0.2">
      <c r="A1936" s="24">
        <v>43770</v>
      </c>
      <c r="B1936" s="25" t="s">
        <v>118</v>
      </c>
      <c r="C1936" s="25" t="s">
        <v>142</v>
      </c>
      <c r="D1936" s="51">
        <v>92154</v>
      </c>
    </row>
    <row r="1937" spans="1:4" x14ac:dyDescent="0.2">
      <c r="A1937" s="24">
        <v>43770</v>
      </c>
      <c r="B1937" s="25" t="s">
        <v>119</v>
      </c>
      <c r="C1937" s="25" t="s">
        <v>142</v>
      </c>
      <c r="D1937" s="51">
        <v>168049</v>
      </c>
    </row>
    <row r="1938" spans="1:4" x14ac:dyDescent="0.2">
      <c r="A1938" s="24">
        <v>43770</v>
      </c>
      <c r="B1938" s="25" t="s">
        <v>138</v>
      </c>
      <c r="C1938" s="25" t="s">
        <v>142</v>
      </c>
      <c r="D1938" s="51">
        <v>5</v>
      </c>
    </row>
    <row r="1939" spans="1:4" x14ac:dyDescent="0.2">
      <c r="A1939" s="24">
        <v>43770</v>
      </c>
      <c r="B1939" s="25" t="s">
        <v>139</v>
      </c>
      <c r="C1939" s="25" t="s">
        <v>142</v>
      </c>
      <c r="D1939" s="51">
        <v>17</v>
      </c>
    </row>
    <row r="1940" spans="1:4" x14ac:dyDescent="0.2">
      <c r="A1940" s="24">
        <v>43770</v>
      </c>
      <c r="B1940" s="25" t="s">
        <v>120</v>
      </c>
      <c r="C1940" s="25" t="s">
        <v>142</v>
      </c>
      <c r="D1940" s="51">
        <v>9411</v>
      </c>
    </row>
    <row r="1941" spans="1:4" x14ac:dyDescent="0.2">
      <c r="A1941" s="24">
        <v>43770</v>
      </c>
      <c r="B1941" s="25" t="s">
        <v>121</v>
      </c>
      <c r="C1941" s="25" t="s">
        <v>142</v>
      </c>
      <c r="D1941" s="51">
        <v>1906</v>
      </c>
    </row>
    <row r="1942" spans="1:4" x14ac:dyDescent="0.2">
      <c r="A1942" s="24">
        <v>43770</v>
      </c>
      <c r="B1942" s="25" t="s">
        <v>122</v>
      </c>
      <c r="C1942" s="25" t="s">
        <v>142</v>
      </c>
      <c r="D1942" s="51">
        <v>92178</v>
      </c>
    </row>
    <row r="1943" spans="1:4" x14ac:dyDescent="0.2">
      <c r="A1943" s="24">
        <v>43770</v>
      </c>
      <c r="B1943" s="25" t="s">
        <v>123</v>
      </c>
      <c r="C1943" s="25" t="s">
        <v>142</v>
      </c>
      <c r="D1943" s="51">
        <v>130042</v>
      </c>
    </row>
    <row r="1944" spans="1:4" x14ac:dyDescent="0.2">
      <c r="A1944" s="24">
        <v>43770</v>
      </c>
      <c r="B1944" s="25" t="s">
        <v>129</v>
      </c>
      <c r="C1944" s="25" t="s">
        <v>142</v>
      </c>
      <c r="D1944" s="51">
        <v>7271</v>
      </c>
    </row>
    <row r="1945" spans="1:4" x14ac:dyDescent="0.2">
      <c r="A1945" s="24">
        <v>43770</v>
      </c>
      <c r="B1945" s="25" t="s">
        <v>130</v>
      </c>
      <c r="C1945" s="25" t="s">
        <v>142</v>
      </c>
      <c r="D1945" s="51">
        <v>3238</v>
      </c>
    </row>
    <row r="1946" spans="1:4" x14ac:dyDescent="0.2">
      <c r="A1946" s="24">
        <v>43770</v>
      </c>
      <c r="B1946" s="25" t="s">
        <v>117</v>
      </c>
      <c r="C1946" s="25" t="s">
        <v>2</v>
      </c>
      <c r="D1946" s="51">
        <v>23606323</v>
      </c>
    </row>
    <row r="1947" spans="1:4" x14ac:dyDescent="0.2">
      <c r="A1947" s="24">
        <v>43770</v>
      </c>
      <c r="B1947" s="25" t="s">
        <v>137</v>
      </c>
      <c r="C1947" s="25" t="s">
        <v>2</v>
      </c>
      <c r="D1947" s="51">
        <v>3041703</v>
      </c>
    </row>
    <row r="1948" spans="1:4" x14ac:dyDescent="0.2">
      <c r="A1948" s="24">
        <v>43770</v>
      </c>
      <c r="B1948" s="25" t="s">
        <v>118</v>
      </c>
      <c r="C1948" s="25" t="s">
        <v>2</v>
      </c>
      <c r="D1948" s="51">
        <v>975672</v>
      </c>
    </row>
    <row r="1949" spans="1:4" x14ac:dyDescent="0.2">
      <c r="A1949" s="24">
        <v>43770</v>
      </c>
      <c r="B1949" s="25" t="s">
        <v>119</v>
      </c>
      <c r="C1949" s="25" t="s">
        <v>2</v>
      </c>
      <c r="D1949" s="51">
        <v>1706591</v>
      </c>
    </row>
    <row r="1950" spans="1:4" x14ac:dyDescent="0.2">
      <c r="A1950" s="24">
        <v>43770</v>
      </c>
      <c r="B1950" s="25" t="s">
        <v>138</v>
      </c>
      <c r="C1950" s="25" t="s">
        <v>2</v>
      </c>
      <c r="D1950" s="51">
        <v>429</v>
      </c>
    </row>
    <row r="1951" spans="1:4" x14ac:dyDescent="0.2">
      <c r="A1951" s="24">
        <v>43770</v>
      </c>
      <c r="B1951" s="25" t="s">
        <v>139</v>
      </c>
      <c r="C1951" s="25" t="s">
        <v>2</v>
      </c>
      <c r="D1951" s="51">
        <v>1006</v>
      </c>
    </row>
    <row r="1952" spans="1:4" x14ac:dyDescent="0.2">
      <c r="A1952" s="24">
        <v>43770</v>
      </c>
      <c r="B1952" s="25" t="s">
        <v>120</v>
      </c>
      <c r="C1952" s="25" t="s">
        <v>2</v>
      </c>
      <c r="D1952" s="51">
        <v>350623</v>
      </c>
    </row>
    <row r="1953" spans="1:4" x14ac:dyDescent="0.2">
      <c r="A1953" s="24">
        <v>43770</v>
      </c>
      <c r="B1953" s="25" t="s">
        <v>121</v>
      </c>
      <c r="C1953" s="25" t="s">
        <v>2</v>
      </c>
      <c r="D1953" s="51">
        <v>35204</v>
      </c>
    </row>
    <row r="1954" spans="1:4" x14ac:dyDescent="0.2">
      <c r="A1954" s="24">
        <v>43770</v>
      </c>
      <c r="B1954" s="25" t="s">
        <v>122</v>
      </c>
      <c r="C1954" s="25" t="s">
        <v>2</v>
      </c>
      <c r="D1954" s="51">
        <v>1140317</v>
      </c>
    </row>
    <row r="1955" spans="1:4" x14ac:dyDescent="0.2">
      <c r="A1955" s="24">
        <v>43770</v>
      </c>
      <c r="B1955" s="25" t="s">
        <v>123</v>
      </c>
      <c r="C1955" s="25" t="s">
        <v>2</v>
      </c>
      <c r="D1955" s="51">
        <v>3041509</v>
      </c>
    </row>
    <row r="1956" spans="1:4" x14ac:dyDescent="0.2">
      <c r="A1956" s="24">
        <v>43770</v>
      </c>
      <c r="B1956" s="25" t="s">
        <v>129</v>
      </c>
      <c r="C1956" s="25" t="s">
        <v>2</v>
      </c>
      <c r="D1956" s="51">
        <v>199332</v>
      </c>
    </row>
    <row r="1957" spans="1:4" x14ac:dyDescent="0.2">
      <c r="A1957" s="24">
        <v>43770</v>
      </c>
      <c r="B1957" s="25" t="s">
        <v>130</v>
      </c>
      <c r="C1957" s="25" t="s">
        <v>2</v>
      </c>
      <c r="D1957" s="51">
        <v>38441</v>
      </c>
    </row>
    <row r="1958" spans="1:4" x14ac:dyDescent="0.2">
      <c r="A1958" s="24">
        <v>43800</v>
      </c>
      <c r="B1958" s="25" t="s">
        <v>117</v>
      </c>
      <c r="C1958" s="25" t="s">
        <v>4</v>
      </c>
      <c r="D1958" s="51">
        <v>12722252</v>
      </c>
    </row>
    <row r="1959" spans="1:4" x14ac:dyDescent="0.2">
      <c r="A1959" s="24">
        <v>43800</v>
      </c>
      <c r="B1959" s="25" t="s">
        <v>131</v>
      </c>
      <c r="C1959" s="25" t="s">
        <v>4</v>
      </c>
      <c r="D1959" s="51">
        <v>51990</v>
      </c>
    </row>
    <row r="1960" spans="1:4" x14ac:dyDescent="0.2">
      <c r="A1960" s="24">
        <v>43800</v>
      </c>
      <c r="B1960" s="25" t="s">
        <v>132</v>
      </c>
      <c r="C1960" s="25" t="s">
        <v>4</v>
      </c>
      <c r="D1960" s="51">
        <v>27391</v>
      </c>
    </row>
    <row r="1961" spans="1:4" x14ac:dyDescent="0.2">
      <c r="A1961" s="24">
        <v>43800</v>
      </c>
      <c r="B1961" s="25" t="s">
        <v>133</v>
      </c>
      <c r="C1961" s="25" t="s">
        <v>4</v>
      </c>
      <c r="D1961" s="51">
        <v>7586</v>
      </c>
    </row>
    <row r="1962" spans="1:4" x14ac:dyDescent="0.2">
      <c r="A1962" s="24">
        <v>43800</v>
      </c>
      <c r="B1962" s="25" t="s">
        <v>137</v>
      </c>
      <c r="C1962" s="25" t="s">
        <v>4</v>
      </c>
      <c r="D1962" s="51">
        <v>2232214</v>
      </c>
    </row>
    <row r="1963" spans="1:4" x14ac:dyDescent="0.2">
      <c r="A1963" s="24">
        <v>43800</v>
      </c>
      <c r="B1963" s="25" t="s">
        <v>118</v>
      </c>
      <c r="C1963" s="25" t="s">
        <v>4</v>
      </c>
      <c r="D1963" s="51">
        <v>1447321</v>
      </c>
    </row>
    <row r="1964" spans="1:4" x14ac:dyDescent="0.2">
      <c r="A1964" s="24">
        <v>43800</v>
      </c>
      <c r="B1964" s="25" t="s">
        <v>134</v>
      </c>
      <c r="C1964" s="25" t="s">
        <v>4</v>
      </c>
      <c r="D1964" s="51">
        <v>17165</v>
      </c>
    </row>
    <row r="1965" spans="1:4" x14ac:dyDescent="0.2">
      <c r="A1965" s="24">
        <v>43800</v>
      </c>
      <c r="B1965" s="25" t="s">
        <v>135</v>
      </c>
      <c r="C1965" s="25" t="s">
        <v>4</v>
      </c>
      <c r="D1965" s="51">
        <v>13106</v>
      </c>
    </row>
    <row r="1966" spans="1:4" x14ac:dyDescent="0.2">
      <c r="A1966" s="24">
        <v>43800</v>
      </c>
      <c r="B1966" s="25" t="s">
        <v>136</v>
      </c>
      <c r="C1966" s="25" t="s">
        <v>4</v>
      </c>
      <c r="D1966" s="51">
        <v>4314</v>
      </c>
    </row>
    <row r="1967" spans="1:4" x14ac:dyDescent="0.2">
      <c r="A1967" s="24">
        <v>43800</v>
      </c>
      <c r="B1967" s="25" t="s">
        <v>119</v>
      </c>
      <c r="C1967" s="25" t="s">
        <v>4</v>
      </c>
      <c r="D1967" s="51">
        <v>1033031</v>
      </c>
    </row>
    <row r="1968" spans="1:4" x14ac:dyDescent="0.2">
      <c r="A1968" s="24">
        <v>43800</v>
      </c>
      <c r="B1968" s="25" t="s">
        <v>138</v>
      </c>
      <c r="C1968" s="25" t="s">
        <v>4</v>
      </c>
      <c r="D1968" s="51">
        <v>84</v>
      </c>
    </row>
    <row r="1969" spans="1:4" x14ac:dyDescent="0.2">
      <c r="A1969" s="24">
        <v>43800</v>
      </c>
      <c r="B1969" s="25" t="s">
        <v>139</v>
      </c>
      <c r="C1969" s="25" t="s">
        <v>4</v>
      </c>
      <c r="D1969" s="51">
        <v>850</v>
      </c>
    </row>
    <row r="1970" spans="1:4" x14ac:dyDescent="0.2">
      <c r="A1970" s="24">
        <v>43800</v>
      </c>
      <c r="B1970" s="25" t="s">
        <v>120</v>
      </c>
      <c r="C1970" s="25" t="s">
        <v>4</v>
      </c>
      <c r="D1970" s="51">
        <v>89096</v>
      </c>
    </row>
    <row r="1971" spans="1:4" x14ac:dyDescent="0.2">
      <c r="A1971" s="24">
        <v>43800</v>
      </c>
      <c r="B1971" s="25" t="s">
        <v>121</v>
      </c>
      <c r="C1971" s="25" t="s">
        <v>4</v>
      </c>
      <c r="D1971" s="51">
        <v>39503</v>
      </c>
    </row>
    <row r="1972" spans="1:4" x14ac:dyDescent="0.2">
      <c r="A1972" s="24">
        <v>43800</v>
      </c>
      <c r="B1972" s="25" t="s">
        <v>140</v>
      </c>
      <c r="C1972" s="25" t="s">
        <v>4</v>
      </c>
      <c r="D1972" s="51">
        <v>23818</v>
      </c>
    </row>
    <row r="1973" spans="1:4" x14ac:dyDescent="0.2">
      <c r="A1973" s="24">
        <v>43800</v>
      </c>
      <c r="B1973" s="25" t="s">
        <v>122</v>
      </c>
      <c r="C1973" s="25" t="s">
        <v>4</v>
      </c>
      <c r="D1973" s="51">
        <v>1307381</v>
      </c>
    </row>
    <row r="1974" spans="1:4" x14ac:dyDescent="0.2">
      <c r="A1974" s="24">
        <v>43800</v>
      </c>
      <c r="B1974" s="25" t="s">
        <v>123</v>
      </c>
      <c r="C1974" s="25" t="s">
        <v>4</v>
      </c>
      <c r="D1974" s="51">
        <v>4182665</v>
      </c>
    </row>
    <row r="1975" spans="1:4" x14ac:dyDescent="0.2">
      <c r="A1975" s="24">
        <v>43800</v>
      </c>
      <c r="B1975" s="25" t="s">
        <v>117</v>
      </c>
      <c r="C1975" s="25" t="s">
        <v>8</v>
      </c>
      <c r="D1975" s="51">
        <v>830422</v>
      </c>
    </row>
    <row r="1976" spans="1:4" x14ac:dyDescent="0.2">
      <c r="A1976" s="24">
        <v>43800</v>
      </c>
      <c r="B1976" s="25" t="s">
        <v>137</v>
      </c>
      <c r="C1976" s="25" t="s">
        <v>8</v>
      </c>
      <c r="D1976" s="51">
        <v>216150</v>
      </c>
    </row>
    <row r="1977" spans="1:4" x14ac:dyDescent="0.2">
      <c r="A1977" s="24">
        <v>43800</v>
      </c>
      <c r="B1977" s="25" t="s">
        <v>118</v>
      </c>
      <c r="C1977" s="25" t="s">
        <v>8</v>
      </c>
      <c r="D1977" s="51">
        <v>132933</v>
      </c>
    </row>
    <row r="1978" spans="1:4" x14ac:dyDescent="0.2">
      <c r="A1978" s="24">
        <v>43800</v>
      </c>
      <c r="B1978" s="25" t="s">
        <v>119</v>
      </c>
      <c r="C1978" s="25" t="s">
        <v>8</v>
      </c>
      <c r="D1978" s="51">
        <v>23086</v>
      </c>
    </row>
    <row r="1979" spans="1:4" x14ac:dyDescent="0.2">
      <c r="A1979" s="24">
        <v>43800</v>
      </c>
      <c r="B1979" s="25" t="s">
        <v>138</v>
      </c>
      <c r="C1979" s="25" t="s">
        <v>8</v>
      </c>
      <c r="D1979" s="51">
        <v>25</v>
      </c>
    </row>
    <row r="1980" spans="1:4" x14ac:dyDescent="0.2">
      <c r="A1980" s="24">
        <v>43800</v>
      </c>
      <c r="B1980" s="25" t="s">
        <v>139</v>
      </c>
      <c r="C1980" s="25" t="s">
        <v>8</v>
      </c>
      <c r="D1980" s="51">
        <v>79</v>
      </c>
    </row>
    <row r="1981" spans="1:4" x14ac:dyDescent="0.2">
      <c r="A1981" s="24">
        <v>43800</v>
      </c>
      <c r="B1981" s="25" t="s">
        <v>120</v>
      </c>
      <c r="C1981" s="25" t="s">
        <v>8</v>
      </c>
      <c r="D1981" s="51">
        <v>5047</v>
      </c>
    </row>
    <row r="1982" spans="1:4" x14ac:dyDescent="0.2">
      <c r="A1982" s="24">
        <v>43800</v>
      </c>
      <c r="B1982" s="25" t="s">
        <v>121</v>
      </c>
      <c r="C1982" s="25" t="s">
        <v>8</v>
      </c>
      <c r="D1982" s="51">
        <v>2168</v>
      </c>
    </row>
    <row r="1983" spans="1:4" x14ac:dyDescent="0.2">
      <c r="A1983" s="24">
        <v>43800</v>
      </c>
      <c r="B1983" s="25" t="s">
        <v>122</v>
      </c>
      <c r="C1983" s="25" t="s">
        <v>8</v>
      </c>
      <c r="D1983" s="51">
        <v>2510</v>
      </c>
    </row>
    <row r="1984" spans="1:4" x14ac:dyDescent="0.2">
      <c r="A1984" s="24">
        <v>43800</v>
      </c>
      <c r="B1984" s="25" t="s">
        <v>123</v>
      </c>
      <c r="C1984" s="25" t="s">
        <v>8</v>
      </c>
      <c r="D1984" s="51">
        <v>182312</v>
      </c>
    </row>
    <row r="1985" spans="1:4" x14ac:dyDescent="0.2">
      <c r="A1985" s="24">
        <v>43800</v>
      </c>
      <c r="B1985" s="25" t="s">
        <v>124</v>
      </c>
      <c r="C1985" s="25" t="s">
        <v>8</v>
      </c>
      <c r="D1985" s="51">
        <v>47920</v>
      </c>
    </row>
    <row r="1986" spans="1:4" x14ac:dyDescent="0.2">
      <c r="A1986" s="24">
        <v>43800</v>
      </c>
      <c r="B1986" s="25" t="s">
        <v>125</v>
      </c>
      <c r="C1986" s="25" t="s">
        <v>8</v>
      </c>
      <c r="D1986" s="51">
        <v>15074</v>
      </c>
    </row>
    <row r="1987" spans="1:4" x14ac:dyDescent="0.2">
      <c r="A1987" s="24">
        <v>43800</v>
      </c>
      <c r="B1987" s="25" t="s">
        <v>117</v>
      </c>
      <c r="C1987" s="25" t="s">
        <v>26</v>
      </c>
      <c r="D1987" s="51">
        <v>1023861</v>
      </c>
    </row>
    <row r="1988" spans="1:4" x14ac:dyDescent="0.2">
      <c r="A1988" s="24">
        <v>43800</v>
      </c>
      <c r="B1988" s="25" t="s">
        <v>137</v>
      </c>
      <c r="C1988" s="25" t="s">
        <v>26</v>
      </c>
      <c r="D1988" s="51">
        <v>203419</v>
      </c>
    </row>
    <row r="1989" spans="1:4" x14ac:dyDescent="0.2">
      <c r="A1989" s="24">
        <v>43800</v>
      </c>
      <c r="B1989" s="25" t="s">
        <v>118</v>
      </c>
      <c r="C1989" s="25" t="s">
        <v>26</v>
      </c>
      <c r="D1989" s="51">
        <v>118039</v>
      </c>
    </row>
    <row r="1990" spans="1:4" x14ac:dyDescent="0.2">
      <c r="A1990" s="24">
        <v>43800</v>
      </c>
      <c r="B1990" s="25" t="s">
        <v>119</v>
      </c>
      <c r="C1990" s="25" t="s">
        <v>26</v>
      </c>
      <c r="D1990" s="51">
        <v>46274</v>
      </c>
    </row>
    <row r="1991" spans="1:4" x14ac:dyDescent="0.2">
      <c r="A1991" s="24">
        <v>43800</v>
      </c>
      <c r="B1991" s="25" t="s">
        <v>139</v>
      </c>
      <c r="C1991" s="25" t="s">
        <v>26</v>
      </c>
      <c r="D1991" s="51">
        <v>16</v>
      </c>
    </row>
    <row r="1992" spans="1:4" x14ac:dyDescent="0.2">
      <c r="A1992" s="24">
        <v>43800</v>
      </c>
      <c r="B1992" s="25" t="s">
        <v>120</v>
      </c>
      <c r="C1992" s="25" t="s">
        <v>26</v>
      </c>
      <c r="D1992" s="51">
        <v>3226</v>
      </c>
    </row>
    <row r="1993" spans="1:4" x14ac:dyDescent="0.2">
      <c r="A1993" s="24">
        <v>43800</v>
      </c>
      <c r="B1993" s="25" t="s">
        <v>121</v>
      </c>
      <c r="C1993" s="25" t="s">
        <v>26</v>
      </c>
      <c r="D1993" s="51">
        <v>2233</v>
      </c>
    </row>
    <row r="1994" spans="1:4" x14ac:dyDescent="0.2">
      <c r="A1994" s="24">
        <v>43800</v>
      </c>
      <c r="B1994" s="25" t="s">
        <v>122</v>
      </c>
      <c r="C1994" s="25" t="s">
        <v>26</v>
      </c>
      <c r="D1994" s="51">
        <v>7486</v>
      </c>
    </row>
    <row r="1995" spans="1:4" x14ac:dyDescent="0.2">
      <c r="A1995" s="24">
        <v>43800</v>
      </c>
      <c r="B1995" s="25" t="s">
        <v>123</v>
      </c>
      <c r="C1995" s="25" t="s">
        <v>26</v>
      </c>
      <c r="D1995" s="51">
        <v>268570</v>
      </c>
    </row>
    <row r="1996" spans="1:4" x14ac:dyDescent="0.2">
      <c r="A1996" s="24">
        <v>43800</v>
      </c>
      <c r="B1996" s="25" t="s">
        <v>127</v>
      </c>
      <c r="C1996" s="25" t="s">
        <v>26</v>
      </c>
      <c r="D1996" s="51">
        <v>7585</v>
      </c>
    </row>
    <row r="1997" spans="1:4" x14ac:dyDescent="0.2">
      <c r="A1997" s="24">
        <v>43800</v>
      </c>
      <c r="B1997" s="25" t="s">
        <v>128</v>
      </c>
      <c r="C1997" s="25" t="s">
        <v>26</v>
      </c>
      <c r="D1997" s="51">
        <v>2907</v>
      </c>
    </row>
    <row r="1998" spans="1:4" x14ac:dyDescent="0.2">
      <c r="A1998" s="24">
        <v>43800</v>
      </c>
      <c r="B1998" s="25" t="s">
        <v>117</v>
      </c>
      <c r="C1998" s="25" t="s">
        <v>142</v>
      </c>
      <c r="D1998" s="51">
        <v>1240804</v>
      </c>
    </row>
    <row r="1999" spans="1:4" x14ac:dyDescent="0.2">
      <c r="A1999" s="24">
        <v>43800</v>
      </c>
      <c r="B1999" s="25" t="s">
        <v>137</v>
      </c>
      <c r="C1999" s="25" t="s">
        <v>142</v>
      </c>
      <c r="D1999" s="51">
        <v>191824</v>
      </c>
    </row>
    <row r="2000" spans="1:4" x14ac:dyDescent="0.2">
      <c r="A2000" s="24">
        <v>43800</v>
      </c>
      <c r="B2000" s="25" t="s">
        <v>118</v>
      </c>
      <c r="C2000" s="25" t="s">
        <v>142</v>
      </c>
      <c r="D2000" s="51">
        <v>151506</v>
      </c>
    </row>
    <row r="2001" spans="1:4" x14ac:dyDescent="0.2">
      <c r="A2001" s="24">
        <v>43800</v>
      </c>
      <c r="B2001" s="25" t="s">
        <v>119</v>
      </c>
      <c r="C2001" s="25" t="s">
        <v>142</v>
      </c>
      <c r="D2001" s="51">
        <v>117858</v>
      </c>
    </row>
    <row r="2002" spans="1:4" x14ac:dyDescent="0.2">
      <c r="A2002" s="24">
        <v>43800</v>
      </c>
      <c r="B2002" s="25" t="s">
        <v>139</v>
      </c>
      <c r="C2002" s="25" t="s">
        <v>142</v>
      </c>
      <c r="D2002" s="51">
        <v>7</v>
      </c>
    </row>
    <row r="2003" spans="1:4" x14ac:dyDescent="0.2">
      <c r="A2003" s="24">
        <v>43800</v>
      </c>
      <c r="B2003" s="25" t="s">
        <v>120</v>
      </c>
      <c r="C2003" s="25" t="s">
        <v>142</v>
      </c>
      <c r="D2003" s="51">
        <v>9472</v>
      </c>
    </row>
    <row r="2004" spans="1:4" x14ac:dyDescent="0.2">
      <c r="A2004" s="24">
        <v>43800</v>
      </c>
      <c r="B2004" s="25" t="s">
        <v>121</v>
      </c>
      <c r="C2004" s="25" t="s">
        <v>142</v>
      </c>
      <c r="D2004" s="51">
        <v>1910</v>
      </c>
    </row>
    <row r="2005" spans="1:4" x14ac:dyDescent="0.2">
      <c r="A2005" s="24">
        <v>43800</v>
      </c>
      <c r="B2005" s="25" t="s">
        <v>122</v>
      </c>
      <c r="C2005" s="25" t="s">
        <v>142</v>
      </c>
      <c r="D2005" s="51">
        <v>51793</v>
      </c>
    </row>
    <row r="2006" spans="1:4" x14ac:dyDescent="0.2">
      <c r="A2006" s="24">
        <v>43800</v>
      </c>
      <c r="B2006" s="25" t="s">
        <v>123</v>
      </c>
      <c r="C2006" s="25" t="s">
        <v>142</v>
      </c>
      <c r="D2006" s="51">
        <v>140387</v>
      </c>
    </row>
    <row r="2007" spans="1:4" x14ac:dyDescent="0.2">
      <c r="A2007" s="24">
        <v>43800</v>
      </c>
      <c r="B2007" s="25" t="s">
        <v>129</v>
      </c>
      <c r="C2007" s="25" t="s">
        <v>142</v>
      </c>
      <c r="D2007" s="51">
        <v>10143</v>
      </c>
    </row>
    <row r="2008" spans="1:4" x14ac:dyDescent="0.2">
      <c r="A2008" s="24">
        <v>43800</v>
      </c>
      <c r="B2008" s="25" t="s">
        <v>130</v>
      </c>
      <c r="C2008" s="25" t="s">
        <v>142</v>
      </c>
      <c r="D2008" s="51">
        <v>7114</v>
      </c>
    </row>
    <row r="2009" spans="1:4" x14ac:dyDescent="0.2">
      <c r="A2009" s="24">
        <v>43800</v>
      </c>
      <c r="B2009" s="25" t="s">
        <v>117</v>
      </c>
      <c r="C2009" s="25" t="s">
        <v>2</v>
      </c>
      <c r="D2009" s="51">
        <v>20632690</v>
      </c>
    </row>
    <row r="2010" spans="1:4" x14ac:dyDescent="0.2">
      <c r="A2010" s="24">
        <v>43800</v>
      </c>
      <c r="B2010" s="25" t="s">
        <v>137</v>
      </c>
      <c r="C2010" s="25" t="s">
        <v>2</v>
      </c>
      <c r="D2010" s="51">
        <v>3082829</v>
      </c>
    </row>
    <row r="2011" spans="1:4" x14ac:dyDescent="0.2">
      <c r="A2011" s="24">
        <v>43800</v>
      </c>
      <c r="B2011" s="25" t="s">
        <v>118</v>
      </c>
      <c r="C2011" s="25" t="s">
        <v>2</v>
      </c>
      <c r="D2011" s="51">
        <v>1248962</v>
      </c>
    </row>
    <row r="2012" spans="1:4" x14ac:dyDescent="0.2">
      <c r="A2012" s="24">
        <v>43800</v>
      </c>
      <c r="B2012" s="25" t="s">
        <v>119</v>
      </c>
      <c r="C2012" s="25" t="s">
        <v>2</v>
      </c>
      <c r="D2012" s="51">
        <v>1293890</v>
      </c>
    </row>
    <row r="2013" spans="1:4" x14ac:dyDescent="0.2">
      <c r="A2013" s="24">
        <v>43800</v>
      </c>
      <c r="B2013" s="25" t="s">
        <v>138</v>
      </c>
      <c r="C2013" s="25" t="s">
        <v>2</v>
      </c>
      <c r="D2013" s="51">
        <v>103</v>
      </c>
    </row>
    <row r="2014" spans="1:4" x14ac:dyDescent="0.2">
      <c r="A2014" s="24">
        <v>43800</v>
      </c>
      <c r="B2014" s="25" t="s">
        <v>139</v>
      </c>
      <c r="C2014" s="25" t="s">
        <v>2</v>
      </c>
      <c r="D2014" s="51">
        <v>841</v>
      </c>
    </row>
    <row r="2015" spans="1:4" x14ac:dyDescent="0.2">
      <c r="A2015" s="24">
        <v>43800</v>
      </c>
      <c r="B2015" s="25" t="s">
        <v>120</v>
      </c>
      <c r="C2015" s="25" t="s">
        <v>2</v>
      </c>
      <c r="D2015" s="51">
        <v>313184</v>
      </c>
    </row>
    <row r="2016" spans="1:4" x14ac:dyDescent="0.2">
      <c r="A2016" s="24">
        <v>43800</v>
      </c>
      <c r="B2016" s="25" t="s">
        <v>121</v>
      </c>
      <c r="C2016" s="25" t="s">
        <v>2</v>
      </c>
      <c r="D2016" s="51">
        <v>30754</v>
      </c>
    </row>
    <row r="2017" spans="1:4" x14ac:dyDescent="0.2">
      <c r="A2017" s="24">
        <v>43800</v>
      </c>
      <c r="B2017" s="25" t="s">
        <v>122</v>
      </c>
      <c r="C2017" s="25" t="s">
        <v>2</v>
      </c>
      <c r="D2017" s="51">
        <v>539145</v>
      </c>
    </row>
    <row r="2018" spans="1:4" x14ac:dyDescent="0.2">
      <c r="A2018" s="24">
        <v>43800</v>
      </c>
      <c r="B2018" s="25" t="s">
        <v>123</v>
      </c>
      <c r="C2018" s="25" t="s">
        <v>2</v>
      </c>
      <c r="D2018" s="51">
        <v>2856582</v>
      </c>
    </row>
    <row r="2019" spans="1:4" x14ac:dyDescent="0.2">
      <c r="A2019" s="24">
        <v>43800</v>
      </c>
      <c r="B2019" s="25" t="s">
        <v>129</v>
      </c>
      <c r="C2019" s="25" t="s">
        <v>2</v>
      </c>
      <c r="D2019" s="51">
        <v>212735</v>
      </c>
    </row>
    <row r="2020" spans="1:4" x14ac:dyDescent="0.2">
      <c r="A2020" s="24">
        <v>43800</v>
      </c>
      <c r="B2020" s="25" t="s">
        <v>130</v>
      </c>
      <c r="C2020" s="25" t="s">
        <v>2</v>
      </c>
      <c r="D2020" s="51">
        <v>63435</v>
      </c>
    </row>
    <row r="2021" spans="1:4" x14ac:dyDescent="0.2">
      <c r="A2021" s="24">
        <v>43831</v>
      </c>
      <c r="B2021" s="25" t="s">
        <v>117</v>
      </c>
      <c r="C2021" s="25" t="s">
        <v>4</v>
      </c>
      <c r="D2021" s="51">
        <v>12404965</v>
      </c>
    </row>
    <row r="2022" spans="1:4" x14ac:dyDescent="0.2">
      <c r="A2022" s="24">
        <v>43831</v>
      </c>
      <c r="B2022" s="25" t="s">
        <v>131</v>
      </c>
      <c r="C2022" s="25" t="s">
        <v>4</v>
      </c>
      <c r="D2022" s="51">
        <v>49458</v>
      </c>
    </row>
    <row r="2023" spans="1:4" x14ac:dyDescent="0.2">
      <c r="A2023" s="24">
        <v>43831</v>
      </c>
      <c r="B2023" s="25" t="s">
        <v>132</v>
      </c>
      <c r="C2023" s="25" t="s">
        <v>4</v>
      </c>
      <c r="D2023" s="51">
        <v>25989</v>
      </c>
    </row>
    <row r="2024" spans="1:4" x14ac:dyDescent="0.2">
      <c r="A2024" s="24">
        <v>43831</v>
      </c>
      <c r="B2024" s="25" t="s">
        <v>133</v>
      </c>
      <c r="C2024" s="25" t="s">
        <v>4</v>
      </c>
      <c r="D2024" s="51">
        <v>7329</v>
      </c>
    </row>
    <row r="2025" spans="1:4" x14ac:dyDescent="0.2">
      <c r="A2025" s="24">
        <v>43831</v>
      </c>
      <c r="B2025" s="25" t="s">
        <v>137</v>
      </c>
      <c r="C2025" s="25" t="s">
        <v>4</v>
      </c>
      <c r="D2025" s="51">
        <v>2628423</v>
      </c>
    </row>
    <row r="2026" spans="1:4" x14ac:dyDescent="0.2">
      <c r="A2026" s="24">
        <v>43831</v>
      </c>
      <c r="B2026" s="25" t="s">
        <v>118</v>
      </c>
      <c r="C2026" s="25" t="s">
        <v>4</v>
      </c>
      <c r="D2026" s="51">
        <v>1611069</v>
      </c>
    </row>
    <row r="2027" spans="1:4" x14ac:dyDescent="0.2">
      <c r="A2027" s="24">
        <v>43831</v>
      </c>
      <c r="B2027" s="25" t="s">
        <v>134</v>
      </c>
      <c r="C2027" s="25" t="s">
        <v>4</v>
      </c>
      <c r="D2027" s="51">
        <v>18956</v>
      </c>
    </row>
    <row r="2028" spans="1:4" x14ac:dyDescent="0.2">
      <c r="A2028" s="24">
        <v>43831</v>
      </c>
      <c r="B2028" s="25" t="s">
        <v>135</v>
      </c>
      <c r="C2028" s="25" t="s">
        <v>4</v>
      </c>
      <c r="D2028" s="51">
        <v>14724</v>
      </c>
    </row>
    <row r="2029" spans="1:4" x14ac:dyDescent="0.2">
      <c r="A2029" s="24">
        <v>43831</v>
      </c>
      <c r="B2029" s="25" t="s">
        <v>136</v>
      </c>
      <c r="C2029" s="25" t="s">
        <v>4</v>
      </c>
      <c r="D2029" s="51">
        <v>5103</v>
      </c>
    </row>
    <row r="2030" spans="1:4" x14ac:dyDescent="0.2">
      <c r="A2030" s="24">
        <v>43831</v>
      </c>
      <c r="B2030" s="25" t="s">
        <v>119</v>
      </c>
      <c r="C2030" s="25" t="s">
        <v>4</v>
      </c>
      <c r="D2030" s="51">
        <v>910944</v>
      </c>
    </row>
    <row r="2031" spans="1:4" x14ac:dyDescent="0.2">
      <c r="A2031" s="24">
        <v>43831</v>
      </c>
      <c r="B2031" s="25" t="s">
        <v>138</v>
      </c>
      <c r="C2031" s="25" t="s">
        <v>4</v>
      </c>
      <c r="D2031" s="51">
        <v>67</v>
      </c>
    </row>
    <row r="2032" spans="1:4" x14ac:dyDescent="0.2">
      <c r="A2032" s="24">
        <v>43831</v>
      </c>
      <c r="B2032" s="25" t="s">
        <v>139</v>
      </c>
      <c r="C2032" s="25" t="s">
        <v>4</v>
      </c>
      <c r="D2032" s="51">
        <v>908</v>
      </c>
    </row>
    <row r="2033" spans="1:4" x14ac:dyDescent="0.2">
      <c r="A2033" s="24">
        <v>43831</v>
      </c>
      <c r="B2033" s="25" t="s">
        <v>120</v>
      </c>
      <c r="C2033" s="25" t="s">
        <v>4</v>
      </c>
      <c r="D2033" s="51">
        <v>86718</v>
      </c>
    </row>
    <row r="2034" spans="1:4" x14ac:dyDescent="0.2">
      <c r="A2034" s="24">
        <v>43831</v>
      </c>
      <c r="B2034" s="25" t="s">
        <v>121</v>
      </c>
      <c r="C2034" s="25" t="s">
        <v>4</v>
      </c>
      <c r="D2034" s="51">
        <v>38216</v>
      </c>
    </row>
    <row r="2035" spans="1:4" x14ac:dyDescent="0.2">
      <c r="A2035" s="24">
        <v>43831</v>
      </c>
      <c r="B2035" s="25" t="s">
        <v>140</v>
      </c>
      <c r="C2035" s="25" t="s">
        <v>4</v>
      </c>
      <c r="D2035" s="51">
        <v>25607</v>
      </c>
    </row>
    <row r="2036" spans="1:4" x14ac:dyDescent="0.2">
      <c r="A2036" s="24">
        <v>43831</v>
      </c>
      <c r="B2036" s="25" t="s">
        <v>122</v>
      </c>
      <c r="C2036" s="25" t="s">
        <v>4</v>
      </c>
      <c r="D2036" s="51">
        <v>336070</v>
      </c>
    </row>
    <row r="2037" spans="1:4" x14ac:dyDescent="0.2">
      <c r="A2037" s="24">
        <v>43831</v>
      </c>
      <c r="B2037" s="25" t="s">
        <v>123</v>
      </c>
      <c r="C2037" s="25" t="s">
        <v>4</v>
      </c>
      <c r="D2037" s="51">
        <v>3965486</v>
      </c>
    </row>
    <row r="2038" spans="1:4" x14ac:dyDescent="0.2">
      <c r="A2038" s="24">
        <v>43831</v>
      </c>
      <c r="B2038" s="25" t="s">
        <v>117</v>
      </c>
      <c r="C2038" s="25" t="s">
        <v>8</v>
      </c>
      <c r="D2038" s="51">
        <v>803124</v>
      </c>
    </row>
    <row r="2039" spans="1:4" x14ac:dyDescent="0.2">
      <c r="A2039" s="24">
        <v>43831</v>
      </c>
      <c r="B2039" s="25" t="s">
        <v>137</v>
      </c>
      <c r="C2039" s="25" t="s">
        <v>8</v>
      </c>
      <c r="D2039" s="51">
        <v>232669</v>
      </c>
    </row>
    <row r="2040" spans="1:4" x14ac:dyDescent="0.2">
      <c r="A2040" s="24">
        <v>43831</v>
      </c>
      <c r="B2040" s="25" t="s">
        <v>118</v>
      </c>
      <c r="C2040" s="25" t="s">
        <v>8</v>
      </c>
      <c r="D2040" s="51">
        <v>180915</v>
      </c>
    </row>
    <row r="2041" spans="1:4" x14ac:dyDescent="0.2">
      <c r="A2041" s="24">
        <v>43831</v>
      </c>
      <c r="B2041" s="25" t="s">
        <v>119</v>
      </c>
      <c r="C2041" s="25" t="s">
        <v>8</v>
      </c>
      <c r="D2041" s="51">
        <v>22170</v>
      </c>
    </row>
    <row r="2042" spans="1:4" x14ac:dyDescent="0.2">
      <c r="A2042" s="24">
        <v>43831</v>
      </c>
      <c r="B2042" s="25" t="s">
        <v>138</v>
      </c>
      <c r="C2042" s="25" t="s">
        <v>8</v>
      </c>
      <c r="D2042" s="51">
        <v>4</v>
      </c>
    </row>
    <row r="2043" spans="1:4" x14ac:dyDescent="0.2">
      <c r="A2043" s="24">
        <v>43831</v>
      </c>
      <c r="B2043" s="25" t="s">
        <v>139</v>
      </c>
      <c r="C2043" s="25" t="s">
        <v>8</v>
      </c>
      <c r="D2043" s="51">
        <v>29</v>
      </c>
    </row>
    <row r="2044" spans="1:4" x14ac:dyDescent="0.2">
      <c r="A2044" s="24">
        <v>43831</v>
      </c>
      <c r="B2044" s="25" t="s">
        <v>120</v>
      </c>
      <c r="C2044" s="25" t="s">
        <v>8</v>
      </c>
      <c r="D2044" s="51">
        <v>5270</v>
      </c>
    </row>
    <row r="2045" spans="1:4" x14ac:dyDescent="0.2">
      <c r="A2045" s="24">
        <v>43831</v>
      </c>
      <c r="B2045" s="25" t="s">
        <v>121</v>
      </c>
      <c r="C2045" s="25" t="s">
        <v>8</v>
      </c>
      <c r="D2045" s="51">
        <v>2192</v>
      </c>
    </row>
    <row r="2046" spans="1:4" x14ac:dyDescent="0.2">
      <c r="A2046" s="24">
        <v>43831</v>
      </c>
      <c r="B2046" s="25" t="s">
        <v>122</v>
      </c>
      <c r="C2046" s="25" t="s">
        <v>8</v>
      </c>
      <c r="D2046" s="51">
        <v>914</v>
      </c>
    </row>
    <row r="2047" spans="1:4" x14ac:dyDescent="0.2">
      <c r="A2047" s="24">
        <v>43831</v>
      </c>
      <c r="B2047" s="25" t="s">
        <v>123</v>
      </c>
      <c r="C2047" s="25" t="s">
        <v>8</v>
      </c>
      <c r="D2047" s="51">
        <v>208272</v>
      </c>
    </row>
    <row r="2048" spans="1:4" x14ac:dyDescent="0.2">
      <c r="A2048" s="24">
        <v>43831</v>
      </c>
      <c r="B2048" s="25" t="s">
        <v>124</v>
      </c>
      <c r="C2048" s="25" t="s">
        <v>8</v>
      </c>
      <c r="D2048" s="51">
        <v>48444</v>
      </c>
    </row>
    <row r="2049" spans="1:4" x14ac:dyDescent="0.2">
      <c r="A2049" s="24">
        <v>43831</v>
      </c>
      <c r="B2049" s="25" t="s">
        <v>125</v>
      </c>
      <c r="C2049" s="25" t="s">
        <v>8</v>
      </c>
      <c r="D2049" s="51">
        <v>18322</v>
      </c>
    </row>
    <row r="2050" spans="1:4" x14ac:dyDescent="0.2">
      <c r="A2050" s="24">
        <v>43831</v>
      </c>
      <c r="B2050" s="25" t="s">
        <v>117</v>
      </c>
      <c r="C2050" s="25" t="s">
        <v>26</v>
      </c>
      <c r="D2050" s="51">
        <v>1287340</v>
      </c>
    </row>
    <row r="2051" spans="1:4" x14ac:dyDescent="0.2">
      <c r="A2051" s="24">
        <v>43831</v>
      </c>
      <c r="B2051" s="25" t="s">
        <v>137</v>
      </c>
      <c r="C2051" s="25" t="s">
        <v>26</v>
      </c>
      <c r="D2051" s="51">
        <v>288022</v>
      </c>
    </row>
    <row r="2052" spans="1:4" x14ac:dyDescent="0.2">
      <c r="A2052" s="24">
        <v>43831</v>
      </c>
      <c r="B2052" s="25" t="s">
        <v>118</v>
      </c>
      <c r="C2052" s="25" t="s">
        <v>26</v>
      </c>
      <c r="D2052" s="51">
        <v>185322</v>
      </c>
    </row>
    <row r="2053" spans="1:4" x14ac:dyDescent="0.2">
      <c r="A2053" s="24">
        <v>43831</v>
      </c>
      <c r="B2053" s="25" t="s">
        <v>119</v>
      </c>
      <c r="C2053" s="25" t="s">
        <v>26</v>
      </c>
      <c r="D2053" s="51">
        <v>59744</v>
      </c>
    </row>
    <row r="2054" spans="1:4" x14ac:dyDescent="0.2">
      <c r="A2054" s="24">
        <v>43831</v>
      </c>
      <c r="B2054" s="25" t="s">
        <v>138</v>
      </c>
      <c r="C2054" s="25" t="s">
        <v>26</v>
      </c>
      <c r="D2054" s="51">
        <v>2</v>
      </c>
    </row>
    <row r="2055" spans="1:4" x14ac:dyDescent="0.2">
      <c r="A2055" s="24">
        <v>43831</v>
      </c>
      <c r="B2055" s="25" t="s">
        <v>139</v>
      </c>
      <c r="C2055" s="25" t="s">
        <v>26</v>
      </c>
      <c r="D2055" s="51">
        <v>24</v>
      </c>
    </row>
    <row r="2056" spans="1:4" x14ac:dyDescent="0.2">
      <c r="A2056" s="24">
        <v>43831</v>
      </c>
      <c r="B2056" s="25" t="s">
        <v>120</v>
      </c>
      <c r="C2056" s="25" t="s">
        <v>26</v>
      </c>
      <c r="D2056" s="51">
        <v>3301</v>
      </c>
    </row>
    <row r="2057" spans="1:4" x14ac:dyDescent="0.2">
      <c r="A2057" s="24">
        <v>43831</v>
      </c>
      <c r="B2057" s="25" t="s">
        <v>121</v>
      </c>
      <c r="C2057" s="25" t="s">
        <v>26</v>
      </c>
      <c r="D2057" s="51">
        <v>2769</v>
      </c>
    </row>
    <row r="2058" spans="1:4" x14ac:dyDescent="0.2">
      <c r="A2058" s="24">
        <v>43831</v>
      </c>
      <c r="B2058" s="25" t="s">
        <v>122</v>
      </c>
      <c r="C2058" s="25" t="s">
        <v>26</v>
      </c>
      <c r="D2058" s="51">
        <v>5056</v>
      </c>
    </row>
    <row r="2059" spans="1:4" x14ac:dyDescent="0.2">
      <c r="A2059" s="24">
        <v>43831</v>
      </c>
      <c r="B2059" s="25" t="s">
        <v>123</v>
      </c>
      <c r="C2059" s="25" t="s">
        <v>26</v>
      </c>
      <c r="D2059" s="51">
        <v>334259</v>
      </c>
    </row>
    <row r="2060" spans="1:4" x14ac:dyDescent="0.2">
      <c r="A2060" s="24">
        <v>43831</v>
      </c>
      <c r="B2060" s="25" t="s">
        <v>127</v>
      </c>
      <c r="C2060" s="25" t="s">
        <v>26</v>
      </c>
      <c r="D2060" s="51">
        <v>10700</v>
      </c>
    </row>
    <row r="2061" spans="1:4" x14ac:dyDescent="0.2">
      <c r="A2061" s="24">
        <v>43831</v>
      </c>
      <c r="B2061" s="25" t="s">
        <v>128</v>
      </c>
      <c r="C2061" s="25" t="s">
        <v>26</v>
      </c>
      <c r="D2061" s="51">
        <v>4367</v>
      </c>
    </row>
    <row r="2062" spans="1:4" x14ac:dyDescent="0.2">
      <c r="A2062" s="24">
        <v>43831</v>
      </c>
      <c r="B2062" s="25" t="s">
        <v>117</v>
      </c>
      <c r="C2062" s="25" t="s">
        <v>142</v>
      </c>
      <c r="D2062" s="51">
        <v>1222213</v>
      </c>
    </row>
    <row r="2063" spans="1:4" x14ac:dyDescent="0.2">
      <c r="A2063" s="24">
        <v>43831</v>
      </c>
      <c r="B2063" s="25" t="s">
        <v>137</v>
      </c>
      <c r="C2063" s="25" t="s">
        <v>142</v>
      </c>
      <c r="D2063" s="51">
        <v>198421</v>
      </c>
    </row>
    <row r="2064" spans="1:4" x14ac:dyDescent="0.2">
      <c r="A2064" s="24">
        <v>43831</v>
      </c>
      <c r="B2064" s="25" t="s">
        <v>118</v>
      </c>
      <c r="C2064" s="25" t="s">
        <v>142</v>
      </c>
      <c r="D2064" s="51">
        <v>173317</v>
      </c>
    </row>
    <row r="2065" spans="1:4" x14ac:dyDescent="0.2">
      <c r="A2065" s="24">
        <v>43831</v>
      </c>
      <c r="B2065" s="25" t="s">
        <v>119</v>
      </c>
      <c r="C2065" s="25" t="s">
        <v>142</v>
      </c>
      <c r="D2065" s="51">
        <v>108098</v>
      </c>
    </row>
    <row r="2066" spans="1:4" x14ac:dyDescent="0.2">
      <c r="A2066" s="24">
        <v>43831</v>
      </c>
      <c r="B2066" s="25" t="s">
        <v>138</v>
      </c>
      <c r="C2066" s="25" t="s">
        <v>142</v>
      </c>
      <c r="D2066" s="51">
        <v>2</v>
      </c>
    </row>
    <row r="2067" spans="1:4" x14ac:dyDescent="0.2">
      <c r="A2067" s="24">
        <v>43831</v>
      </c>
      <c r="B2067" s="25" t="s">
        <v>139</v>
      </c>
      <c r="C2067" s="25" t="s">
        <v>142</v>
      </c>
      <c r="D2067" s="51">
        <v>13</v>
      </c>
    </row>
    <row r="2068" spans="1:4" x14ac:dyDescent="0.2">
      <c r="A2068" s="24">
        <v>43831</v>
      </c>
      <c r="B2068" s="25" t="s">
        <v>120</v>
      </c>
      <c r="C2068" s="25" t="s">
        <v>142</v>
      </c>
      <c r="D2068" s="51">
        <v>8277</v>
      </c>
    </row>
    <row r="2069" spans="1:4" x14ac:dyDescent="0.2">
      <c r="A2069" s="24">
        <v>43831</v>
      </c>
      <c r="B2069" s="25" t="s">
        <v>121</v>
      </c>
      <c r="C2069" s="25" t="s">
        <v>142</v>
      </c>
      <c r="D2069" s="51">
        <v>1600</v>
      </c>
    </row>
    <row r="2070" spans="1:4" x14ac:dyDescent="0.2">
      <c r="A2070" s="24">
        <v>43831</v>
      </c>
      <c r="B2070" s="25" t="s">
        <v>122</v>
      </c>
      <c r="C2070" s="25" t="s">
        <v>142</v>
      </c>
      <c r="D2070" s="51">
        <v>9594</v>
      </c>
    </row>
    <row r="2071" spans="1:4" x14ac:dyDescent="0.2">
      <c r="A2071" s="24">
        <v>43831</v>
      </c>
      <c r="B2071" s="25" t="s">
        <v>123</v>
      </c>
      <c r="C2071" s="25" t="s">
        <v>142</v>
      </c>
      <c r="D2071" s="51">
        <v>130685</v>
      </c>
    </row>
    <row r="2072" spans="1:4" x14ac:dyDescent="0.2">
      <c r="A2072" s="24">
        <v>43831</v>
      </c>
      <c r="B2072" s="25" t="s">
        <v>129</v>
      </c>
      <c r="C2072" s="25" t="s">
        <v>142</v>
      </c>
      <c r="D2072" s="51">
        <v>7000</v>
      </c>
    </row>
    <row r="2073" spans="1:4" x14ac:dyDescent="0.2">
      <c r="A2073" s="24">
        <v>43831</v>
      </c>
      <c r="B2073" s="25" t="s">
        <v>130</v>
      </c>
      <c r="C2073" s="25" t="s">
        <v>142</v>
      </c>
      <c r="D2073" s="51">
        <v>6226</v>
      </c>
    </row>
    <row r="2074" spans="1:4" x14ac:dyDescent="0.2">
      <c r="A2074" s="24">
        <v>43831</v>
      </c>
      <c r="B2074" s="25" t="s">
        <v>117</v>
      </c>
      <c r="C2074" s="25" t="s">
        <v>2</v>
      </c>
      <c r="D2074" s="51">
        <v>20047422</v>
      </c>
    </row>
    <row r="2075" spans="1:4" x14ac:dyDescent="0.2">
      <c r="A2075" s="24">
        <v>43831</v>
      </c>
      <c r="B2075" s="25" t="s">
        <v>137</v>
      </c>
      <c r="C2075" s="25" t="s">
        <v>2</v>
      </c>
      <c r="D2075" s="51">
        <v>3416625</v>
      </c>
    </row>
    <row r="2076" spans="1:4" x14ac:dyDescent="0.2">
      <c r="A2076" s="24">
        <v>43831</v>
      </c>
      <c r="B2076" s="25" t="s">
        <v>118</v>
      </c>
      <c r="C2076" s="25" t="s">
        <v>2</v>
      </c>
      <c r="D2076" s="51">
        <v>1383839</v>
      </c>
    </row>
    <row r="2077" spans="1:4" x14ac:dyDescent="0.2">
      <c r="A2077" s="24">
        <v>43831</v>
      </c>
      <c r="B2077" s="25" t="s">
        <v>119</v>
      </c>
      <c r="C2077" s="25" t="s">
        <v>2</v>
      </c>
      <c r="D2077" s="51">
        <v>1177198</v>
      </c>
    </row>
    <row r="2078" spans="1:4" x14ac:dyDescent="0.2">
      <c r="A2078" s="24">
        <v>43831</v>
      </c>
      <c r="B2078" s="25" t="s">
        <v>138</v>
      </c>
      <c r="C2078" s="25" t="s">
        <v>2</v>
      </c>
      <c r="D2078" s="51">
        <v>66</v>
      </c>
    </row>
    <row r="2079" spans="1:4" x14ac:dyDescent="0.2">
      <c r="A2079" s="24">
        <v>43831</v>
      </c>
      <c r="B2079" s="25" t="s">
        <v>139</v>
      </c>
      <c r="C2079" s="25" t="s">
        <v>2</v>
      </c>
      <c r="D2079" s="51">
        <v>886</v>
      </c>
    </row>
    <row r="2080" spans="1:4" x14ac:dyDescent="0.2">
      <c r="A2080" s="24">
        <v>43831</v>
      </c>
      <c r="B2080" s="25" t="s">
        <v>120</v>
      </c>
      <c r="C2080" s="25" t="s">
        <v>2</v>
      </c>
      <c r="D2080" s="51">
        <v>303539</v>
      </c>
    </row>
    <row r="2081" spans="1:4" x14ac:dyDescent="0.2">
      <c r="A2081" s="24">
        <v>43831</v>
      </c>
      <c r="B2081" s="25" t="s">
        <v>121</v>
      </c>
      <c r="C2081" s="25" t="s">
        <v>2</v>
      </c>
      <c r="D2081" s="51">
        <v>29692</v>
      </c>
    </row>
    <row r="2082" spans="1:4" x14ac:dyDescent="0.2">
      <c r="A2082" s="24">
        <v>43831</v>
      </c>
      <c r="B2082" s="25" t="s">
        <v>122</v>
      </c>
      <c r="C2082" s="25" t="s">
        <v>2</v>
      </c>
      <c r="D2082" s="51">
        <v>135534</v>
      </c>
    </row>
    <row r="2083" spans="1:4" x14ac:dyDescent="0.2">
      <c r="A2083" s="24">
        <v>43831</v>
      </c>
      <c r="B2083" s="25" t="s">
        <v>123</v>
      </c>
      <c r="C2083" s="25" t="s">
        <v>2</v>
      </c>
      <c r="D2083" s="51">
        <v>2660591</v>
      </c>
    </row>
    <row r="2084" spans="1:4" x14ac:dyDescent="0.2">
      <c r="A2084" s="24">
        <v>43831</v>
      </c>
      <c r="B2084" s="25" t="s">
        <v>129</v>
      </c>
      <c r="C2084" s="25" t="s">
        <v>2</v>
      </c>
      <c r="D2084" s="51">
        <v>176497</v>
      </c>
    </row>
    <row r="2085" spans="1:4" x14ac:dyDescent="0.2">
      <c r="A2085" s="24">
        <v>43831</v>
      </c>
      <c r="B2085" s="25" t="s">
        <v>130</v>
      </c>
      <c r="C2085" s="25" t="s">
        <v>2</v>
      </c>
      <c r="D2085" s="51">
        <v>67572</v>
      </c>
    </row>
    <row r="2086" spans="1:4" x14ac:dyDescent="0.2">
      <c r="A2086" s="24">
        <v>43862</v>
      </c>
      <c r="B2086" s="25" t="s">
        <v>117</v>
      </c>
      <c r="C2086" s="25" t="s">
        <v>4</v>
      </c>
      <c r="D2086" s="51">
        <v>12587420</v>
      </c>
    </row>
    <row r="2087" spans="1:4" x14ac:dyDescent="0.2">
      <c r="A2087" s="24">
        <v>43862</v>
      </c>
      <c r="B2087" s="25" t="s">
        <v>131</v>
      </c>
      <c r="C2087" s="25" t="s">
        <v>4</v>
      </c>
      <c r="D2087" s="51">
        <v>46306</v>
      </c>
    </row>
    <row r="2088" spans="1:4" x14ac:dyDescent="0.2">
      <c r="A2088" s="24">
        <v>43862</v>
      </c>
      <c r="B2088" s="25" t="s">
        <v>132</v>
      </c>
      <c r="C2088" s="25" t="s">
        <v>4</v>
      </c>
      <c r="D2088" s="51">
        <v>23497</v>
      </c>
    </row>
    <row r="2089" spans="1:4" x14ac:dyDescent="0.2">
      <c r="A2089" s="24">
        <v>43862</v>
      </c>
      <c r="B2089" s="25" t="s">
        <v>133</v>
      </c>
      <c r="C2089" s="25" t="s">
        <v>4</v>
      </c>
      <c r="D2089" s="51">
        <v>6781</v>
      </c>
    </row>
    <row r="2090" spans="1:4" x14ac:dyDescent="0.2">
      <c r="A2090" s="24">
        <v>43862</v>
      </c>
      <c r="B2090" s="25" t="s">
        <v>137</v>
      </c>
      <c r="C2090" s="25" t="s">
        <v>4</v>
      </c>
      <c r="D2090" s="51">
        <v>2889541</v>
      </c>
    </row>
    <row r="2091" spans="1:4" x14ac:dyDescent="0.2">
      <c r="A2091" s="24">
        <v>43862</v>
      </c>
      <c r="B2091" s="25" t="s">
        <v>118</v>
      </c>
      <c r="C2091" s="25" t="s">
        <v>4</v>
      </c>
      <c r="D2091" s="51">
        <v>1267671</v>
      </c>
    </row>
    <row r="2092" spans="1:4" x14ac:dyDescent="0.2">
      <c r="A2092" s="24">
        <v>43862</v>
      </c>
      <c r="B2092" s="25" t="s">
        <v>134</v>
      </c>
      <c r="C2092" s="25" t="s">
        <v>4</v>
      </c>
      <c r="D2092" s="51">
        <v>11037</v>
      </c>
    </row>
    <row r="2093" spans="1:4" x14ac:dyDescent="0.2">
      <c r="A2093" s="24">
        <v>43862</v>
      </c>
      <c r="B2093" s="25" t="s">
        <v>135</v>
      </c>
      <c r="C2093" s="25" t="s">
        <v>4</v>
      </c>
      <c r="D2093" s="51">
        <v>7638</v>
      </c>
    </row>
    <row r="2094" spans="1:4" x14ac:dyDescent="0.2">
      <c r="A2094" s="24">
        <v>43862</v>
      </c>
      <c r="B2094" s="25" t="s">
        <v>136</v>
      </c>
      <c r="C2094" s="25" t="s">
        <v>4</v>
      </c>
      <c r="D2094" s="51">
        <v>2825</v>
      </c>
    </row>
    <row r="2095" spans="1:4" x14ac:dyDescent="0.2">
      <c r="A2095" s="24">
        <v>43862</v>
      </c>
      <c r="B2095" s="25" t="s">
        <v>119</v>
      </c>
      <c r="C2095" s="25" t="s">
        <v>4</v>
      </c>
      <c r="D2095" s="51">
        <v>1322299</v>
      </c>
    </row>
    <row r="2096" spans="1:4" x14ac:dyDescent="0.2">
      <c r="A2096" s="24">
        <v>43862</v>
      </c>
      <c r="B2096" s="25" t="s">
        <v>138</v>
      </c>
      <c r="C2096" s="25" t="s">
        <v>4</v>
      </c>
      <c r="D2096" s="51">
        <v>48</v>
      </c>
    </row>
    <row r="2097" spans="1:4" x14ac:dyDescent="0.2">
      <c r="A2097" s="24">
        <v>43862</v>
      </c>
      <c r="B2097" s="25" t="s">
        <v>139</v>
      </c>
      <c r="C2097" s="25" t="s">
        <v>4</v>
      </c>
      <c r="D2097" s="51">
        <v>1070</v>
      </c>
    </row>
    <row r="2098" spans="1:4" x14ac:dyDescent="0.2">
      <c r="A2098" s="24">
        <v>43862</v>
      </c>
      <c r="B2098" s="25" t="s">
        <v>120</v>
      </c>
      <c r="C2098" s="25" t="s">
        <v>4</v>
      </c>
      <c r="D2098" s="51">
        <v>88938</v>
      </c>
    </row>
    <row r="2099" spans="1:4" x14ac:dyDescent="0.2">
      <c r="A2099" s="24">
        <v>43862</v>
      </c>
      <c r="B2099" s="25" t="s">
        <v>121</v>
      </c>
      <c r="C2099" s="25" t="s">
        <v>4</v>
      </c>
      <c r="D2099" s="51">
        <v>39465</v>
      </c>
    </row>
    <row r="2100" spans="1:4" x14ac:dyDescent="0.2">
      <c r="A2100" s="24">
        <v>43862</v>
      </c>
      <c r="B2100" s="25" t="s">
        <v>140</v>
      </c>
      <c r="C2100" s="25" t="s">
        <v>4</v>
      </c>
      <c r="D2100" s="51">
        <v>25615</v>
      </c>
    </row>
    <row r="2101" spans="1:4" x14ac:dyDescent="0.2">
      <c r="A2101" s="24">
        <v>43862</v>
      </c>
      <c r="B2101" s="25" t="s">
        <v>122</v>
      </c>
      <c r="C2101" s="25" t="s">
        <v>4</v>
      </c>
      <c r="D2101" s="51">
        <v>2961680</v>
      </c>
    </row>
    <row r="2102" spans="1:4" x14ac:dyDescent="0.2">
      <c r="A2102" s="24">
        <v>43862</v>
      </c>
      <c r="B2102" s="25" t="s">
        <v>123</v>
      </c>
      <c r="C2102" s="25" t="s">
        <v>4</v>
      </c>
      <c r="D2102" s="51">
        <v>3924662</v>
      </c>
    </row>
    <row r="2103" spans="1:4" x14ac:dyDescent="0.2">
      <c r="A2103" s="24">
        <v>43862</v>
      </c>
      <c r="B2103" s="25" t="s">
        <v>117</v>
      </c>
      <c r="C2103" s="25" t="s">
        <v>8</v>
      </c>
      <c r="D2103" s="51">
        <v>594851</v>
      </c>
    </row>
    <row r="2104" spans="1:4" x14ac:dyDescent="0.2">
      <c r="A2104" s="24">
        <v>43862</v>
      </c>
      <c r="B2104" s="25" t="s">
        <v>137</v>
      </c>
      <c r="C2104" s="25" t="s">
        <v>8</v>
      </c>
      <c r="D2104" s="51">
        <v>192978</v>
      </c>
    </row>
    <row r="2105" spans="1:4" x14ac:dyDescent="0.2">
      <c r="A2105" s="24">
        <v>43862</v>
      </c>
      <c r="B2105" s="25" t="s">
        <v>118</v>
      </c>
      <c r="C2105" s="25" t="s">
        <v>8</v>
      </c>
      <c r="D2105" s="51">
        <v>47403</v>
      </c>
    </row>
    <row r="2106" spans="1:4" x14ac:dyDescent="0.2">
      <c r="A2106" s="24">
        <v>43862</v>
      </c>
      <c r="B2106" s="25" t="s">
        <v>119</v>
      </c>
      <c r="C2106" s="25" t="s">
        <v>8</v>
      </c>
      <c r="D2106" s="51">
        <v>19386</v>
      </c>
    </row>
    <row r="2107" spans="1:4" x14ac:dyDescent="0.2">
      <c r="A2107" s="24">
        <v>43862</v>
      </c>
      <c r="B2107" s="25" t="s">
        <v>139</v>
      </c>
      <c r="C2107" s="25" t="s">
        <v>8</v>
      </c>
      <c r="D2107" s="51">
        <v>21</v>
      </c>
    </row>
    <row r="2108" spans="1:4" x14ac:dyDescent="0.2">
      <c r="A2108" s="24">
        <v>43862</v>
      </c>
      <c r="B2108" s="25" t="s">
        <v>120</v>
      </c>
      <c r="C2108" s="25" t="s">
        <v>8</v>
      </c>
      <c r="D2108" s="51">
        <v>4206</v>
      </c>
    </row>
    <row r="2109" spans="1:4" x14ac:dyDescent="0.2">
      <c r="A2109" s="24">
        <v>43862</v>
      </c>
      <c r="B2109" s="25" t="s">
        <v>121</v>
      </c>
      <c r="C2109" s="25" t="s">
        <v>8</v>
      </c>
      <c r="D2109" s="51">
        <v>1854</v>
      </c>
    </row>
    <row r="2110" spans="1:4" x14ac:dyDescent="0.2">
      <c r="A2110" s="24">
        <v>43862</v>
      </c>
      <c r="B2110" s="25" t="s">
        <v>122</v>
      </c>
      <c r="C2110" s="25" t="s">
        <v>8</v>
      </c>
      <c r="D2110" s="51">
        <v>6360</v>
      </c>
    </row>
    <row r="2111" spans="1:4" x14ac:dyDescent="0.2">
      <c r="A2111" s="24">
        <v>43862</v>
      </c>
      <c r="B2111" s="25" t="s">
        <v>123</v>
      </c>
      <c r="C2111" s="25" t="s">
        <v>8</v>
      </c>
      <c r="D2111" s="51">
        <v>160799</v>
      </c>
    </row>
    <row r="2112" spans="1:4" x14ac:dyDescent="0.2">
      <c r="A2112" s="24">
        <v>43862</v>
      </c>
      <c r="B2112" s="25" t="s">
        <v>124</v>
      </c>
      <c r="C2112" s="25" t="s">
        <v>8</v>
      </c>
      <c r="D2112" s="51">
        <v>31263</v>
      </c>
    </row>
    <row r="2113" spans="1:4" x14ac:dyDescent="0.2">
      <c r="A2113" s="24">
        <v>43862</v>
      </c>
      <c r="B2113" s="25" t="s">
        <v>125</v>
      </c>
      <c r="C2113" s="25" t="s">
        <v>8</v>
      </c>
      <c r="D2113" s="51">
        <v>4187</v>
      </c>
    </row>
    <row r="2114" spans="1:4" x14ac:dyDescent="0.2">
      <c r="A2114" s="24">
        <v>43862</v>
      </c>
      <c r="B2114" s="25" t="s">
        <v>117</v>
      </c>
      <c r="C2114" s="25" t="s">
        <v>26</v>
      </c>
      <c r="D2114" s="51">
        <v>1153361</v>
      </c>
    </row>
    <row r="2115" spans="1:4" x14ac:dyDescent="0.2">
      <c r="A2115" s="24">
        <v>43862</v>
      </c>
      <c r="B2115" s="25" t="s">
        <v>137</v>
      </c>
      <c r="C2115" s="25" t="s">
        <v>26</v>
      </c>
      <c r="D2115" s="51">
        <v>288259</v>
      </c>
    </row>
    <row r="2116" spans="1:4" x14ac:dyDescent="0.2">
      <c r="A2116" s="24">
        <v>43862</v>
      </c>
      <c r="B2116" s="25" t="s">
        <v>118</v>
      </c>
      <c r="C2116" s="25" t="s">
        <v>26</v>
      </c>
      <c r="D2116" s="51">
        <v>74902</v>
      </c>
    </row>
    <row r="2117" spans="1:4" x14ac:dyDescent="0.2">
      <c r="A2117" s="24">
        <v>43862</v>
      </c>
      <c r="B2117" s="25" t="s">
        <v>119</v>
      </c>
      <c r="C2117" s="25" t="s">
        <v>26</v>
      </c>
      <c r="D2117" s="51">
        <v>90573</v>
      </c>
    </row>
    <row r="2118" spans="1:4" x14ac:dyDescent="0.2">
      <c r="A2118" s="24">
        <v>43862</v>
      </c>
      <c r="B2118" s="25" t="s">
        <v>139</v>
      </c>
      <c r="C2118" s="25" t="s">
        <v>26</v>
      </c>
      <c r="D2118" s="51">
        <v>61</v>
      </c>
    </row>
    <row r="2119" spans="1:4" x14ac:dyDescent="0.2">
      <c r="A2119" s="24">
        <v>43862</v>
      </c>
      <c r="B2119" s="25" t="s">
        <v>120</v>
      </c>
      <c r="C2119" s="25" t="s">
        <v>26</v>
      </c>
      <c r="D2119" s="51">
        <v>2953</v>
      </c>
    </row>
    <row r="2120" spans="1:4" x14ac:dyDescent="0.2">
      <c r="A2120" s="24">
        <v>43862</v>
      </c>
      <c r="B2120" s="25" t="s">
        <v>121</v>
      </c>
      <c r="C2120" s="25" t="s">
        <v>26</v>
      </c>
      <c r="D2120" s="51">
        <v>2461</v>
      </c>
    </row>
    <row r="2121" spans="1:4" x14ac:dyDescent="0.2">
      <c r="A2121" s="24">
        <v>43862</v>
      </c>
      <c r="B2121" s="25" t="s">
        <v>122</v>
      </c>
      <c r="C2121" s="25" t="s">
        <v>26</v>
      </c>
      <c r="D2121" s="51">
        <v>50375</v>
      </c>
    </row>
    <row r="2122" spans="1:4" x14ac:dyDescent="0.2">
      <c r="A2122" s="24">
        <v>43862</v>
      </c>
      <c r="B2122" s="25" t="s">
        <v>123</v>
      </c>
      <c r="C2122" s="25" t="s">
        <v>26</v>
      </c>
      <c r="D2122" s="51">
        <v>279333</v>
      </c>
    </row>
    <row r="2123" spans="1:4" x14ac:dyDescent="0.2">
      <c r="A2123" s="24">
        <v>43862</v>
      </c>
      <c r="B2123" s="25" t="s">
        <v>127</v>
      </c>
      <c r="C2123" s="25" t="s">
        <v>26</v>
      </c>
      <c r="D2123" s="51">
        <v>7394</v>
      </c>
    </row>
    <row r="2124" spans="1:4" x14ac:dyDescent="0.2">
      <c r="A2124" s="24">
        <v>43862</v>
      </c>
      <c r="B2124" s="25" t="s">
        <v>128</v>
      </c>
      <c r="C2124" s="25" t="s">
        <v>26</v>
      </c>
      <c r="D2124" s="51">
        <v>1087</v>
      </c>
    </row>
    <row r="2125" spans="1:4" x14ac:dyDescent="0.2">
      <c r="A2125" s="24">
        <v>43862</v>
      </c>
      <c r="B2125" s="25" t="s">
        <v>117</v>
      </c>
      <c r="C2125" s="25" t="s">
        <v>142</v>
      </c>
      <c r="D2125" s="51">
        <v>1210442</v>
      </c>
    </row>
    <row r="2126" spans="1:4" x14ac:dyDescent="0.2">
      <c r="A2126" s="24">
        <v>43862</v>
      </c>
      <c r="B2126" s="25" t="s">
        <v>137</v>
      </c>
      <c r="C2126" s="25" t="s">
        <v>142</v>
      </c>
      <c r="D2126" s="51">
        <v>213212</v>
      </c>
    </row>
    <row r="2127" spans="1:4" x14ac:dyDescent="0.2">
      <c r="A2127" s="24">
        <v>43862</v>
      </c>
      <c r="B2127" s="25" t="s">
        <v>118</v>
      </c>
      <c r="C2127" s="25" t="s">
        <v>142</v>
      </c>
      <c r="D2127" s="51">
        <v>104015</v>
      </c>
    </row>
    <row r="2128" spans="1:4" x14ac:dyDescent="0.2">
      <c r="A2128" s="24">
        <v>43862</v>
      </c>
      <c r="B2128" s="25" t="s">
        <v>119</v>
      </c>
      <c r="C2128" s="25" t="s">
        <v>142</v>
      </c>
      <c r="D2128" s="51">
        <v>148953</v>
      </c>
    </row>
    <row r="2129" spans="1:4" x14ac:dyDescent="0.2">
      <c r="A2129" s="24">
        <v>43862</v>
      </c>
      <c r="B2129" s="25" t="s">
        <v>139</v>
      </c>
      <c r="C2129" s="25" t="s">
        <v>142</v>
      </c>
      <c r="D2129" s="51">
        <v>25</v>
      </c>
    </row>
    <row r="2130" spans="1:4" x14ac:dyDescent="0.2">
      <c r="A2130" s="24">
        <v>43862</v>
      </c>
      <c r="B2130" s="25" t="s">
        <v>120</v>
      </c>
      <c r="C2130" s="25" t="s">
        <v>142</v>
      </c>
      <c r="D2130" s="51">
        <v>9771</v>
      </c>
    </row>
    <row r="2131" spans="1:4" x14ac:dyDescent="0.2">
      <c r="A2131" s="24">
        <v>43862</v>
      </c>
      <c r="B2131" s="25" t="s">
        <v>121</v>
      </c>
      <c r="C2131" s="25" t="s">
        <v>142</v>
      </c>
      <c r="D2131" s="51">
        <v>1583</v>
      </c>
    </row>
    <row r="2132" spans="1:4" x14ac:dyDescent="0.2">
      <c r="A2132" s="24">
        <v>43862</v>
      </c>
      <c r="B2132" s="25" t="s">
        <v>122</v>
      </c>
      <c r="C2132" s="25" t="s">
        <v>142</v>
      </c>
      <c r="D2132" s="51">
        <v>95832</v>
      </c>
    </row>
    <row r="2133" spans="1:4" x14ac:dyDescent="0.2">
      <c r="A2133" s="24">
        <v>43862</v>
      </c>
      <c r="B2133" s="25" t="s">
        <v>123</v>
      </c>
      <c r="C2133" s="25" t="s">
        <v>142</v>
      </c>
      <c r="D2133" s="51">
        <v>107389</v>
      </c>
    </row>
    <row r="2134" spans="1:4" x14ac:dyDescent="0.2">
      <c r="A2134" s="24">
        <v>43862</v>
      </c>
      <c r="B2134" s="25" t="s">
        <v>129</v>
      </c>
      <c r="C2134" s="25" t="s">
        <v>142</v>
      </c>
      <c r="D2134" s="51">
        <v>5660</v>
      </c>
    </row>
    <row r="2135" spans="1:4" x14ac:dyDescent="0.2">
      <c r="A2135" s="24">
        <v>43862</v>
      </c>
      <c r="B2135" s="25" t="s">
        <v>130</v>
      </c>
      <c r="C2135" s="25" t="s">
        <v>142</v>
      </c>
      <c r="D2135" s="51">
        <v>3213</v>
      </c>
    </row>
    <row r="2136" spans="1:4" x14ac:dyDescent="0.2">
      <c r="A2136" s="24">
        <v>43862</v>
      </c>
      <c r="B2136" s="25" t="s">
        <v>117</v>
      </c>
      <c r="C2136" s="25" t="s">
        <v>2</v>
      </c>
      <c r="D2136" s="51">
        <v>19921172</v>
      </c>
    </row>
    <row r="2137" spans="1:4" x14ac:dyDescent="0.2">
      <c r="A2137" s="24">
        <v>43862</v>
      </c>
      <c r="B2137" s="25" t="s">
        <v>137</v>
      </c>
      <c r="C2137" s="25" t="s">
        <v>2</v>
      </c>
      <c r="D2137" s="51">
        <v>3621285</v>
      </c>
    </row>
    <row r="2138" spans="1:4" x14ac:dyDescent="0.2">
      <c r="A2138" s="24">
        <v>43862</v>
      </c>
      <c r="B2138" s="25" t="s">
        <v>118</v>
      </c>
      <c r="C2138" s="25" t="s">
        <v>2</v>
      </c>
      <c r="D2138" s="51">
        <v>851652</v>
      </c>
    </row>
    <row r="2139" spans="1:4" x14ac:dyDescent="0.2">
      <c r="A2139" s="24">
        <v>43862</v>
      </c>
      <c r="B2139" s="25" t="s">
        <v>119</v>
      </c>
      <c r="C2139" s="25" t="s">
        <v>2</v>
      </c>
      <c r="D2139" s="51">
        <v>1536386</v>
      </c>
    </row>
    <row r="2140" spans="1:4" x14ac:dyDescent="0.2">
      <c r="A2140" s="24">
        <v>43862</v>
      </c>
      <c r="B2140" s="25" t="s">
        <v>138</v>
      </c>
      <c r="C2140" s="25" t="s">
        <v>2</v>
      </c>
      <c r="D2140" s="51">
        <v>38</v>
      </c>
    </row>
    <row r="2141" spans="1:4" x14ac:dyDescent="0.2">
      <c r="A2141" s="24">
        <v>43862</v>
      </c>
      <c r="B2141" s="25" t="s">
        <v>139</v>
      </c>
      <c r="C2141" s="25" t="s">
        <v>2</v>
      </c>
      <c r="D2141" s="51">
        <v>1062</v>
      </c>
    </row>
    <row r="2142" spans="1:4" x14ac:dyDescent="0.2">
      <c r="A2142" s="24">
        <v>43862</v>
      </c>
      <c r="B2142" s="25" t="s">
        <v>120</v>
      </c>
      <c r="C2142" s="25" t="s">
        <v>2</v>
      </c>
      <c r="D2142" s="51">
        <v>314197</v>
      </c>
    </row>
    <row r="2143" spans="1:4" x14ac:dyDescent="0.2">
      <c r="A2143" s="24">
        <v>43862</v>
      </c>
      <c r="B2143" s="25" t="s">
        <v>121</v>
      </c>
      <c r="C2143" s="25" t="s">
        <v>2</v>
      </c>
      <c r="D2143" s="51">
        <v>31272</v>
      </c>
    </row>
    <row r="2144" spans="1:4" x14ac:dyDescent="0.2">
      <c r="A2144" s="24">
        <v>43862</v>
      </c>
      <c r="B2144" s="25" t="s">
        <v>122</v>
      </c>
      <c r="C2144" s="25" t="s">
        <v>2</v>
      </c>
      <c r="D2144" s="51">
        <v>1164671</v>
      </c>
    </row>
    <row r="2145" spans="1:4" x14ac:dyDescent="0.2">
      <c r="A2145" s="24">
        <v>43862</v>
      </c>
      <c r="B2145" s="25" t="s">
        <v>123</v>
      </c>
      <c r="C2145" s="25" t="s">
        <v>2</v>
      </c>
      <c r="D2145" s="51">
        <v>2533490</v>
      </c>
    </row>
    <row r="2146" spans="1:4" x14ac:dyDescent="0.2">
      <c r="A2146" s="24">
        <v>43862</v>
      </c>
      <c r="B2146" s="25" t="s">
        <v>129</v>
      </c>
      <c r="C2146" s="25" t="s">
        <v>2</v>
      </c>
      <c r="D2146" s="51">
        <v>159957</v>
      </c>
    </row>
    <row r="2147" spans="1:4" x14ac:dyDescent="0.2">
      <c r="A2147" s="24">
        <v>43862</v>
      </c>
      <c r="B2147" s="25" t="s">
        <v>130</v>
      </c>
      <c r="C2147" s="25" t="s">
        <v>2</v>
      </c>
      <c r="D2147" s="51">
        <v>33628</v>
      </c>
    </row>
    <row r="2148" spans="1:4" x14ac:dyDescent="0.2">
      <c r="A2148" s="24">
        <v>43891</v>
      </c>
      <c r="B2148" s="25" t="s">
        <v>117</v>
      </c>
      <c r="C2148" s="25" t="s">
        <v>4</v>
      </c>
      <c r="D2148" s="51">
        <v>9373131</v>
      </c>
    </row>
    <row r="2149" spans="1:4" x14ac:dyDescent="0.2">
      <c r="A2149" s="24">
        <v>43891</v>
      </c>
      <c r="B2149" s="25" t="s">
        <v>131</v>
      </c>
      <c r="C2149" s="25" t="s">
        <v>4</v>
      </c>
      <c r="D2149" s="51">
        <v>27590</v>
      </c>
    </row>
    <row r="2150" spans="1:4" x14ac:dyDescent="0.2">
      <c r="A2150" s="24">
        <v>43891</v>
      </c>
      <c r="B2150" s="25" t="s">
        <v>132</v>
      </c>
      <c r="C2150" s="25" t="s">
        <v>4</v>
      </c>
      <c r="D2150" s="51">
        <v>13872</v>
      </c>
    </row>
    <row r="2151" spans="1:4" x14ac:dyDescent="0.2">
      <c r="A2151" s="24">
        <v>43891</v>
      </c>
      <c r="B2151" s="25" t="s">
        <v>133</v>
      </c>
      <c r="C2151" s="25" t="s">
        <v>4</v>
      </c>
      <c r="D2151" s="51">
        <v>4215</v>
      </c>
    </row>
    <row r="2152" spans="1:4" x14ac:dyDescent="0.2">
      <c r="A2152" s="24">
        <v>43891</v>
      </c>
      <c r="B2152" s="25" t="s">
        <v>137</v>
      </c>
      <c r="C2152" s="25" t="s">
        <v>4</v>
      </c>
      <c r="D2152" s="51">
        <v>2271222</v>
      </c>
    </row>
    <row r="2153" spans="1:4" x14ac:dyDescent="0.2">
      <c r="A2153" s="24">
        <v>43891</v>
      </c>
      <c r="B2153" s="25" t="s">
        <v>118</v>
      </c>
      <c r="C2153" s="25" t="s">
        <v>4</v>
      </c>
      <c r="D2153" s="51">
        <v>831831</v>
      </c>
    </row>
    <row r="2154" spans="1:4" x14ac:dyDescent="0.2">
      <c r="A2154" s="24">
        <v>43891</v>
      </c>
      <c r="B2154" s="25" t="s">
        <v>134</v>
      </c>
      <c r="C2154" s="25" t="s">
        <v>4</v>
      </c>
      <c r="D2154" s="51">
        <v>6788</v>
      </c>
    </row>
    <row r="2155" spans="1:4" x14ac:dyDescent="0.2">
      <c r="A2155" s="24">
        <v>43891</v>
      </c>
      <c r="B2155" s="25" t="s">
        <v>135</v>
      </c>
      <c r="C2155" s="25" t="s">
        <v>4</v>
      </c>
      <c r="D2155" s="51">
        <v>4348</v>
      </c>
    </row>
    <row r="2156" spans="1:4" x14ac:dyDescent="0.2">
      <c r="A2156" s="24">
        <v>43891</v>
      </c>
      <c r="B2156" s="25" t="s">
        <v>136</v>
      </c>
      <c r="C2156" s="25" t="s">
        <v>4</v>
      </c>
      <c r="D2156" s="51">
        <v>1689</v>
      </c>
    </row>
    <row r="2157" spans="1:4" x14ac:dyDescent="0.2">
      <c r="A2157" s="24">
        <v>43891</v>
      </c>
      <c r="B2157" s="25" t="s">
        <v>119</v>
      </c>
      <c r="C2157" s="25" t="s">
        <v>4</v>
      </c>
      <c r="D2157" s="51">
        <v>1281861</v>
      </c>
    </row>
    <row r="2158" spans="1:4" x14ac:dyDescent="0.2">
      <c r="A2158" s="24">
        <v>43891</v>
      </c>
      <c r="B2158" s="25" t="s">
        <v>138</v>
      </c>
      <c r="C2158" s="25" t="s">
        <v>4</v>
      </c>
      <c r="D2158" s="51">
        <v>61</v>
      </c>
    </row>
    <row r="2159" spans="1:4" x14ac:dyDescent="0.2">
      <c r="A2159" s="24">
        <v>43891</v>
      </c>
      <c r="B2159" s="25" t="s">
        <v>139</v>
      </c>
      <c r="C2159" s="25" t="s">
        <v>4</v>
      </c>
      <c r="D2159" s="51">
        <v>953</v>
      </c>
    </row>
    <row r="2160" spans="1:4" x14ac:dyDescent="0.2">
      <c r="A2160" s="24">
        <v>43891</v>
      </c>
      <c r="B2160" s="25" t="s">
        <v>120</v>
      </c>
      <c r="C2160" s="25" t="s">
        <v>4</v>
      </c>
      <c r="D2160" s="51">
        <v>74277</v>
      </c>
    </row>
    <row r="2161" spans="1:4" x14ac:dyDescent="0.2">
      <c r="A2161" s="24">
        <v>43891</v>
      </c>
      <c r="B2161" s="25" t="s">
        <v>121</v>
      </c>
      <c r="C2161" s="25" t="s">
        <v>4</v>
      </c>
      <c r="D2161" s="51">
        <v>30754</v>
      </c>
    </row>
    <row r="2162" spans="1:4" x14ac:dyDescent="0.2">
      <c r="A2162" s="24">
        <v>43891</v>
      </c>
      <c r="B2162" s="25" t="s">
        <v>140</v>
      </c>
      <c r="C2162" s="25" t="s">
        <v>4</v>
      </c>
      <c r="D2162" s="51">
        <v>19475</v>
      </c>
    </row>
    <row r="2163" spans="1:4" x14ac:dyDescent="0.2">
      <c r="A2163" s="24">
        <v>43891</v>
      </c>
      <c r="B2163" s="25" t="s">
        <v>122</v>
      </c>
      <c r="C2163" s="25" t="s">
        <v>4</v>
      </c>
      <c r="D2163" s="51">
        <v>2180536</v>
      </c>
    </row>
    <row r="2164" spans="1:4" x14ac:dyDescent="0.2">
      <c r="A2164" s="24">
        <v>43891</v>
      </c>
      <c r="B2164" s="25" t="s">
        <v>123</v>
      </c>
      <c r="C2164" s="25" t="s">
        <v>4</v>
      </c>
      <c r="D2164" s="51">
        <v>3068966</v>
      </c>
    </row>
    <row r="2165" spans="1:4" x14ac:dyDescent="0.2">
      <c r="A2165" s="24">
        <v>43891</v>
      </c>
      <c r="B2165" s="25" t="s">
        <v>117</v>
      </c>
      <c r="C2165" s="25" t="s">
        <v>8</v>
      </c>
      <c r="D2165" s="51">
        <v>379294</v>
      </c>
    </row>
    <row r="2166" spans="1:4" x14ac:dyDescent="0.2">
      <c r="A2166" s="24">
        <v>43891</v>
      </c>
      <c r="B2166" s="25" t="s">
        <v>137</v>
      </c>
      <c r="C2166" s="25" t="s">
        <v>8</v>
      </c>
      <c r="D2166" s="51">
        <v>132810</v>
      </c>
    </row>
    <row r="2167" spans="1:4" x14ac:dyDescent="0.2">
      <c r="A2167" s="24">
        <v>43891</v>
      </c>
      <c r="B2167" s="25" t="s">
        <v>118</v>
      </c>
      <c r="C2167" s="25" t="s">
        <v>8</v>
      </c>
      <c r="D2167" s="51">
        <v>26660</v>
      </c>
    </row>
    <row r="2168" spans="1:4" x14ac:dyDescent="0.2">
      <c r="A2168" s="24">
        <v>43891</v>
      </c>
      <c r="B2168" s="25" t="s">
        <v>119</v>
      </c>
      <c r="C2168" s="25" t="s">
        <v>8</v>
      </c>
      <c r="D2168" s="51">
        <v>14976</v>
      </c>
    </row>
    <row r="2169" spans="1:4" x14ac:dyDescent="0.2">
      <c r="A2169" s="24">
        <v>43891</v>
      </c>
      <c r="B2169" s="25" t="s">
        <v>139</v>
      </c>
      <c r="C2169" s="25" t="s">
        <v>8</v>
      </c>
      <c r="D2169" s="51">
        <v>17</v>
      </c>
    </row>
    <row r="2170" spans="1:4" x14ac:dyDescent="0.2">
      <c r="A2170" s="24">
        <v>43891</v>
      </c>
      <c r="B2170" s="25" t="s">
        <v>120</v>
      </c>
      <c r="C2170" s="25" t="s">
        <v>8</v>
      </c>
      <c r="D2170" s="51">
        <v>2832</v>
      </c>
    </row>
    <row r="2171" spans="1:4" x14ac:dyDescent="0.2">
      <c r="A2171" s="24">
        <v>43891</v>
      </c>
      <c r="B2171" s="25" t="s">
        <v>121</v>
      </c>
      <c r="C2171" s="25" t="s">
        <v>8</v>
      </c>
      <c r="D2171" s="51">
        <v>1216</v>
      </c>
    </row>
    <row r="2172" spans="1:4" x14ac:dyDescent="0.2">
      <c r="A2172" s="24">
        <v>43891</v>
      </c>
      <c r="B2172" s="25" t="s">
        <v>122</v>
      </c>
      <c r="C2172" s="25" t="s">
        <v>8</v>
      </c>
      <c r="D2172" s="51">
        <v>5374</v>
      </c>
    </row>
    <row r="2173" spans="1:4" x14ac:dyDescent="0.2">
      <c r="A2173" s="24">
        <v>43891</v>
      </c>
      <c r="B2173" s="25" t="s">
        <v>123</v>
      </c>
      <c r="C2173" s="25" t="s">
        <v>8</v>
      </c>
      <c r="D2173" s="51">
        <v>95471</v>
      </c>
    </row>
    <row r="2174" spans="1:4" x14ac:dyDescent="0.2">
      <c r="A2174" s="24">
        <v>43891</v>
      </c>
      <c r="B2174" s="25" t="s">
        <v>124</v>
      </c>
      <c r="C2174" s="25" t="s">
        <v>8</v>
      </c>
      <c r="D2174" s="51">
        <v>16082</v>
      </c>
    </row>
    <row r="2175" spans="1:4" x14ac:dyDescent="0.2">
      <c r="A2175" s="24">
        <v>43891</v>
      </c>
      <c r="B2175" s="25" t="s">
        <v>125</v>
      </c>
      <c r="C2175" s="25" t="s">
        <v>8</v>
      </c>
      <c r="D2175" s="51">
        <v>2533</v>
      </c>
    </row>
    <row r="2176" spans="1:4" x14ac:dyDescent="0.2">
      <c r="A2176" s="24">
        <v>43891</v>
      </c>
      <c r="B2176" s="25" t="s">
        <v>117</v>
      </c>
      <c r="C2176" s="25" t="s">
        <v>26</v>
      </c>
      <c r="D2176" s="51">
        <v>750599</v>
      </c>
    </row>
    <row r="2177" spans="1:4" x14ac:dyDescent="0.2">
      <c r="A2177" s="24">
        <v>43891</v>
      </c>
      <c r="B2177" s="25" t="s">
        <v>137</v>
      </c>
      <c r="C2177" s="25" t="s">
        <v>26</v>
      </c>
      <c r="D2177" s="51">
        <v>194518</v>
      </c>
    </row>
    <row r="2178" spans="1:4" x14ac:dyDescent="0.2">
      <c r="A2178" s="24">
        <v>43891</v>
      </c>
      <c r="B2178" s="25" t="s">
        <v>118</v>
      </c>
      <c r="C2178" s="25" t="s">
        <v>26</v>
      </c>
      <c r="D2178" s="51">
        <v>36004</v>
      </c>
    </row>
    <row r="2179" spans="1:4" x14ac:dyDescent="0.2">
      <c r="A2179" s="24">
        <v>43891</v>
      </c>
      <c r="B2179" s="25" t="s">
        <v>119</v>
      </c>
      <c r="C2179" s="25" t="s">
        <v>26</v>
      </c>
      <c r="D2179" s="51">
        <v>74522</v>
      </c>
    </row>
    <row r="2180" spans="1:4" x14ac:dyDescent="0.2">
      <c r="A2180" s="24">
        <v>43891</v>
      </c>
      <c r="B2180" s="25" t="s">
        <v>138</v>
      </c>
      <c r="C2180" s="25" t="s">
        <v>26</v>
      </c>
      <c r="D2180" s="51">
        <v>1</v>
      </c>
    </row>
    <row r="2181" spans="1:4" x14ac:dyDescent="0.2">
      <c r="A2181" s="24">
        <v>43891</v>
      </c>
      <c r="B2181" s="25" t="s">
        <v>139</v>
      </c>
      <c r="C2181" s="25" t="s">
        <v>26</v>
      </c>
      <c r="D2181" s="51">
        <v>20</v>
      </c>
    </row>
    <row r="2182" spans="1:4" x14ac:dyDescent="0.2">
      <c r="A2182" s="24">
        <v>43891</v>
      </c>
      <c r="B2182" s="25" t="s">
        <v>120</v>
      </c>
      <c r="C2182" s="25" t="s">
        <v>26</v>
      </c>
      <c r="D2182" s="51">
        <v>2236</v>
      </c>
    </row>
    <row r="2183" spans="1:4" x14ac:dyDescent="0.2">
      <c r="A2183" s="24">
        <v>43891</v>
      </c>
      <c r="B2183" s="25" t="s">
        <v>121</v>
      </c>
      <c r="C2183" s="25" t="s">
        <v>26</v>
      </c>
      <c r="D2183" s="51">
        <v>1552</v>
      </c>
    </row>
    <row r="2184" spans="1:4" x14ac:dyDescent="0.2">
      <c r="A2184" s="24">
        <v>43891</v>
      </c>
      <c r="B2184" s="25" t="s">
        <v>122</v>
      </c>
      <c r="C2184" s="25" t="s">
        <v>26</v>
      </c>
      <c r="D2184" s="51">
        <v>35191</v>
      </c>
    </row>
    <row r="2185" spans="1:4" x14ac:dyDescent="0.2">
      <c r="A2185" s="24">
        <v>43891</v>
      </c>
      <c r="B2185" s="25" t="s">
        <v>123</v>
      </c>
      <c r="C2185" s="25" t="s">
        <v>26</v>
      </c>
      <c r="D2185" s="51">
        <v>164755</v>
      </c>
    </row>
    <row r="2186" spans="1:4" x14ac:dyDescent="0.2">
      <c r="A2186" s="24">
        <v>43891</v>
      </c>
      <c r="B2186" s="25" t="s">
        <v>127</v>
      </c>
      <c r="C2186" s="25" t="s">
        <v>26</v>
      </c>
      <c r="D2186" s="51">
        <v>4738</v>
      </c>
    </row>
    <row r="2187" spans="1:4" x14ac:dyDescent="0.2">
      <c r="A2187" s="24">
        <v>43891</v>
      </c>
      <c r="B2187" s="25" t="s">
        <v>128</v>
      </c>
      <c r="C2187" s="25" t="s">
        <v>26</v>
      </c>
      <c r="D2187" s="51">
        <v>547</v>
      </c>
    </row>
    <row r="2188" spans="1:4" x14ac:dyDescent="0.2">
      <c r="A2188" s="24">
        <v>43891</v>
      </c>
      <c r="B2188" s="25" t="s">
        <v>117</v>
      </c>
      <c r="C2188" s="25" t="s">
        <v>142</v>
      </c>
      <c r="D2188" s="51">
        <v>870038</v>
      </c>
    </row>
    <row r="2189" spans="1:4" x14ac:dyDescent="0.2">
      <c r="A2189" s="24">
        <v>43891</v>
      </c>
      <c r="B2189" s="25" t="s">
        <v>137</v>
      </c>
      <c r="C2189" s="25" t="s">
        <v>142</v>
      </c>
      <c r="D2189" s="51">
        <v>161357</v>
      </c>
    </row>
    <row r="2190" spans="1:4" x14ac:dyDescent="0.2">
      <c r="A2190" s="24">
        <v>43891</v>
      </c>
      <c r="B2190" s="25" t="s">
        <v>118</v>
      </c>
      <c r="C2190" s="25" t="s">
        <v>142</v>
      </c>
      <c r="D2190" s="51">
        <v>58273</v>
      </c>
    </row>
    <row r="2191" spans="1:4" x14ac:dyDescent="0.2">
      <c r="A2191" s="24">
        <v>43891</v>
      </c>
      <c r="B2191" s="25" t="s">
        <v>119</v>
      </c>
      <c r="C2191" s="25" t="s">
        <v>142</v>
      </c>
      <c r="D2191" s="51">
        <v>169730</v>
      </c>
    </row>
    <row r="2192" spans="1:4" x14ac:dyDescent="0.2">
      <c r="A2192" s="24">
        <v>43891</v>
      </c>
      <c r="B2192" s="25" t="s">
        <v>139</v>
      </c>
      <c r="C2192" s="25" t="s">
        <v>142</v>
      </c>
      <c r="D2192" s="51">
        <v>17</v>
      </c>
    </row>
    <row r="2193" spans="1:4" x14ac:dyDescent="0.2">
      <c r="A2193" s="24">
        <v>43891</v>
      </c>
      <c r="B2193" s="25" t="s">
        <v>120</v>
      </c>
      <c r="C2193" s="25" t="s">
        <v>142</v>
      </c>
      <c r="D2193" s="51">
        <v>8133</v>
      </c>
    </row>
    <row r="2194" spans="1:4" x14ac:dyDescent="0.2">
      <c r="A2194" s="24">
        <v>43891</v>
      </c>
      <c r="B2194" s="25" t="s">
        <v>121</v>
      </c>
      <c r="C2194" s="25" t="s">
        <v>142</v>
      </c>
      <c r="D2194" s="51">
        <v>1152</v>
      </c>
    </row>
    <row r="2195" spans="1:4" x14ac:dyDescent="0.2">
      <c r="A2195" s="24">
        <v>43891</v>
      </c>
      <c r="B2195" s="25" t="s">
        <v>122</v>
      </c>
      <c r="C2195" s="25" t="s">
        <v>142</v>
      </c>
      <c r="D2195" s="51">
        <v>67738</v>
      </c>
    </row>
    <row r="2196" spans="1:4" x14ac:dyDescent="0.2">
      <c r="A2196" s="24">
        <v>43891</v>
      </c>
      <c r="B2196" s="25" t="s">
        <v>123</v>
      </c>
      <c r="C2196" s="25" t="s">
        <v>142</v>
      </c>
      <c r="D2196" s="51">
        <v>66483</v>
      </c>
    </row>
    <row r="2197" spans="1:4" x14ac:dyDescent="0.2">
      <c r="A2197" s="24">
        <v>43891</v>
      </c>
      <c r="B2197" s="25" t="s">
        <v>129</v>
      </c>
      <c r="C2197" s="25" t="s">
        <v>142</v>
      </c>
      <c r="D2197" s="51">
        <v>3309</v>
      </c>
    </row>
    <row r="2198" spans="1:4" x14ac:dyDescent="0.2">
      <c r="A2198" s="24">
        <v>43891</v>
      </c>
      <c r="B2198" s="25" t="s">
        <v>130</v>
      </c>
      <c r="C2198" s="25" t="s">
        <v>142</v>
      </c>
      <c r="D2198" s="51">
        <v>2270</v>
      </c>
    </row>
    <row r="2199" spans="1:4" x14ac:dyDescent="0.2">
      <c r="A2199" s="24">
        <v>43891</v>
      </c>
      <c r="B2199" s="25" t="s">
        <v>117</v>
      </c>
      <c r="C2199" s="25" t="s">
        <v>2</v>
      </c>
      <c r="D2199" s="51">
        <v>14771583</v>
      </c>
    </row>
    <row r="2200" spans="1:4" x14ac:dyDescent="0.2">
      <c r="A2200" s="24">
        <v>43891</v>
      </c>
      <c r="B2200" s="25" t="s">
        <v>137</v>
      </c>
      <c r="C2200" s="25" t="s">
        <v>2</v>
      </c>
      <c r="D2200" s="51">
        <v>2677062</v>
      </c>
    </row>
    <row r="2201" spans="1:4" x14ac:dyDescent="0.2">
      <c r="A2201" s="24">
        <v>43891</v>
      </c>
      <c r="B2201" s="25" t="s">
        <v>118</v>
      </c>
      <c r="C2201" s="25" t="s">
        <v>2</v>
      </c>
      <c r="D2201" s="51">
        <v>509401</v>
      </c>
    </row>
    <row r="2202" spans="1:4" x14ac:dyDescent="0.2">
      <c r="A2202" s="24">
        <v>43891</v>
      </c>
      <c r="B2202" s="25" t="s">
        <v>119</v>
      </c>
      <c r="C2202" s="25" t="s">
        <v>2</v>
      </c>
      <c r="D2202" s="51">
        <v>1470619</v>
      </c>
    </row>
    <row r="2203" spans="1:4" x14ac:dyDescent="0.2">
      <c r="A2203" s="24">
        <v>43891</v>
      </c>
      <c r="B2203" s="25" t="s">
        <v>138</v>
      </c>
      <c r="C2203" s="25" t="s">
        <v>2</v>
      </c>
      <c r="D2203" s="51">
        <v>70</v>
      </c>
    </row>
    <row r="2204" spans="1:4" x14ac:dyDescent="0.2">
      <c r="A2204" s="24">
        <v>43891</v>
      </c>
      <c r="B2204" s="25" t="s">
        <v>139</v>
      </c>
      <c r="C2204" s="25" t="s">
        <v>2</v>
      </c>
      <c r="D2204" s="51">
        <v>915</v>
      </c>
    </row>
    <row r="2205" spans="1:4" x14ac:dyDescent="0.2">
      <c r="A2205" s="24">
        <v>43891</v>
      </c>
      <c r="B2205" s="25" t="s">
        <v>120</v>
      </c>
      <c r="C2205" s="25" t="s">
        <v>2</v>
      </c>
      <c r="D2205" s="51">
        <v>277750</v>
      </c>
    </row>
    <row r="2206" spans="1:4" x14ac:dyDescent="0.2">
      <c r="A2206" s="24">
        <v>43891</v>
      </c>
      <c r="B2206" s="25" t="s">
        <v>121</v>
      </c>
      <c r="C2206" s="25" t="s">
        <v>2</v>
      </c>
      <c r="D2206" s="51">
        <v>22363</v>
      </c>
    </row>
    <row r="2207" spans="1:4" x14ac:dyDescent="0.2">
      <c r="A2207" s="24">
        <v>43891</v>
      </c>
      <c r="B2207" s="25" t="s">
        <v>122</v>
      </c>
      <c r="C2207" s="25" t="s">
        <v>2</v>
      </c>
      <c r="D2207" s="51">
        <v>854274</v>
      </c>
    </row>
    <row r="2208" spans="1:4" x14ac:dyDescent="0.2">
      <c r="A2208" s="24">
        <v>43891</v>
      </c>
      <c r="B2208" s="25" t="s">
        <v>123</v>
      </c>
      <c r="C2208" s="25" t="s">
        <v>2</v>
      </c>
      <c r="D2208" s="51">
        <v>1801124</v>
      </c>
    </row>
    <row r="2209" spans="1:4" x14ac:dyDescent="0.2">
      <c r="A2209" s="24">
        <v>43891</v>
      </c>
      <c r="B2209" s="25" t="s">
        <v>129</v>
      </c>
      <c r="C2209" s="25" t="s">
        <v>2</v>
      </c>
      <c r="D2209" s="51">
        <v>97199</v>
      </c>
    </row>
    <row r="2210" spans="1:4" x14ac:dyDescent="0.2">
      <c r="A2210" s="24">
        <v>43891</v>
      </c>
      <c r="B2210" s="25" t="s">
        <v>130</v>
      </c>
      <c r="C2210" s="25" t="s">
        <v>2</v>
      </c>
      <c r="D2210" s="51">
        <v>23918</v>
      </c>
    </row>
    <row r="2211" spans="1:4" x14ac:dyDescent="0.2">
      <c r="A2211" s="24">
        <v>43922</v>
      </c>
      <c r="B2211" s="25" t="s">
        <v>117</v>
      </c>
      <c r="C2211" s="25" t="s">
        <v>4</v>
      </c>
      <c r="D2211" s="51">
        <v>3003345</v>
      </c>
    </row>
    <row r="2212" spans="1:4" x14ac:dyDescent="0.2">
      <c r="A2212" s="24">
        <v>43922</v>
      </c>
      <c r="B2212" s="25" t="s">
        <v>131</v>
      </c>
      <c r="C2212" s="25" t="s">
        <v>4</v>
      </c>
      <c r="D2212" s="51">
        <v>153</v>
      </c>
    </row>
    <row r="2213" spans="1:4" x14ac:dyDescent="0.2">
      <c r="A2213" s="24">
        <v>43922</v>
      </c>
      <c r="B2213" s="25" t="s">
        <v>132</v>
      </c>
      <c r="C2213" s="25" t="s">
        <v>4</v>
      </c>
      <c r="D2213" s="51">
        <v>71</v>
      </c>
    </row>
    <row r="2214" spans="1:4" x14ac:dyDescent="0.2">
      <c r="A2214" s="24">
        <v>43922</v>
      </c>
      <c r="B2214" s="25" t="s">
        <v>133</v>
      </c>
      <c r="C2214" s="25" t="s">
        <v>4</v>
      </c>
      <c r="D2214" s="51">
        <v>23</v>
      </c>
    </row>
    <row r="2215" spans="1:4" x14ac:dyDescent="0.2">
      <c r="A2215" s="24">
        <v>43922</v>
      </c>
      <c r="B2215" s="25" t="s">
        <v>137</v>
      </c>
      <c r="C2215" s="25" t="s">
        <v>4</v>
      </c>
      <c r="D2215" s="51">
        <v>734339</v>
      </c>
    </row>
    <row r="2216" spans="1:4" x14ac:dyDescent="0.2">
      <c r="A2216" s="24">
        <v>43922</v>
      </c>
      <c r="B2216" s="25" t="s">
        <v>118</v>
      </c>
      <c r="C2216" s="25" t="s">
        <v>4</v>
      </c>
      <c r="D2216" s="51">
        <v>156022</v>
      </c>
    </row>
    <row r="2217" spans="1:4" x14ac:dyDescent="0.2">
      <c r="A2217" s="24">
        <v>43922</v>
      </c>
      <c r="B2217" s="25" t="s">
        <v>134</v>
      </c>
      <c r="C2217" s="25" t="s">
        <v>4</v>
      </c>
      <c r="D2217" s="51">
        <v>19</v>
      </c>
    </row>
    <row r="2218" spans="1:4" x14ac:dyDescent="0.2">
      <c r="A2218" s="24">
        <v>43922</v>
      </c>
      <c r="B2218" s="25" t="s">
        <v>135</v>
      </c>
      <c r="C2218" s="25" t="s">
        <v>4</v>
      </c>
      <c r="D2218" s="51">
        <v>15</v>
      </c>
    </row>
    <row r="2219" spans="1:4" x14ac:dyDescent="0.2">
      <c r="A2219" s="24">
        <v>43922</v>
      </c>
      <c r="B2219" s="25" t="s">
        <v>136</v>
      </c>
      <c r="C2219" s="25" t="s">
        <v>4</v>
      </c>
      <c r="D2219" s="51">
        <v>7</v>
      </c>
    </row>
    <row r="2220" spans="1:4" x14ac:dyDescent="0.2">
      <c r="A2220" s="24">
        <v>43922</v>
      </c>
      <c r="B2220" s="25" t="s">
        <v>119</v>
      </c>
      <c r="C2220" s="25" t="s">
        <v>4</v>
      </c>
      <c r="D2220" s="51">
        <v>180150</v>
      </c>
    </row>
    <row r="2221" spans="1:4" x14ac:dyDescent="0.2">
      <c r="A2221" s="24">
        <v>43922</v>
      </c>
      <c r="B2221" s="25" t="s">
        <v>138</v>
      </c>
      <c r="C2221" s="25" t="s">
        <v>4</v>
      </c>
      <c r="D2221" s="51">
        <v>6</v>
      </c>
    </row>
    <row r="2222" spans="1:4" x14ac:dyDescent="0.2">
      <c r="A2222" s="24">
        <v>43922</v>
      </c>
      <c r="B2222" s="25" t="s">
        <v>139</v>
      </c>
      <c r="C2222" s="25" t="s">
        <v>4</v>
      </c>
      <c r="D2222" s="51">
        <v>444</v>
      </c>
    </row>
    <row r="2223" spans="1:4" x14ac:dyDescent="0.2">
      <c r="A2223" s="24">
        <v>43922</v>
      </c>
      <c r="B2223" s="25" t="s">
        <v>120</v>
      </c>
      <c r="C2223" s="25" t="s">
        <v>4</v>
      </c>
      <c r="D2223" s="51">
        <v>34370</v>
      </c>
    </row>
    <row r="2224" spans="1:4" x14ac:dyDescent="0.2">
      <c r="A2224" s="24">
        <v>43922</v>
      </c>
      <c r="B2224" s="25" t="s">
        <v>121</v>
      </c>
      <c r="C2224" s="25" t="s">
        <v>4</v>
      </c>
      <c r="D2224" s="51">
        <v>11618</v>
      </c>
    </row>
    <row r="2225" spans="1:4" x14ac:dyDescent="0.2">
      <c r="A2225" s="24">
        <v>43922</v>
      </c>
      <c r="B2225" s="25" t="s">
        <v>140</v>
      </c>
      <c r="C2225" s="25" t="s">
        <v>4</v>
      </c>
      <c r="D2225" s="51">
        <v>7039</v>
      </c>
    </row>
    <row r="2226" spans="1:4" x14ac:dyDescent="0.2">
      <c r="A2226" s="24">
        <v>43922</v>
      </c>
      <c r="B2226" s="25" t="s">
        <v>122</v>
      </c>
      <c r="C2226" s="25" t="s">
        <v>4</v>
      </c>
      <c r="D2226" s="51">
        <v>28417</v>
      </c>
    </row>
    <row r="2227" spans="1:4" x14ac:dyDescent="0.2">
      <c r="A2227" s="24">
        <v>43922</v>
      </c>
      <c r="B2227" s="25" t="s">
        <v>123</v>
      </c>
      <c r="C2227" s="25" t="s">
        <v>4</v>
      </c>
      <c r="D2227" s="51">
        <v>1348784</v>
      </c>
    </row>
    <row r="2228" spans="1:4" x14ac:dyDescent="0.2">
      <c r="A2228" s="24">
        <v>43922</v>
      </c>
      <c r="B2228" s="25" t="s">
        <v>117</v>
      </c>
      <c r="C2228" s="25" t="s">
        <v>8</v>
      </c>
      <c r="D2228" s="51">
        <v>46951</v>
      </c>
    </row>
    <row r="2229" spans="1:4" x14ac:dyDescent="0.2">
      <c r="A2229" s="24">
        <v>43922</v>
      </c>
      <c r="B2229" s="25" t="s">
        <v>137</v>
      </c>
      <c r="C2229" s="25" t="s">
        <v>8</v>
      </c>
      <c r="D2229" s="51">
        <v>19718</v>
      </c>
    </row>
    <row r="2230" spans="1:4" x14ac:dyDescent="0.2">
      <c r="A2230" s="24">
        <v>43922</v>
      </c>
      <c r="B2230" s="25" t="s">
        <v>118</v>
      </c>
      <c r="C2230" s="25" t="s">
        <v>8</v>
      </c>
      <c r="D2230" s="51">
        <v>2268</v>
      </c>
    </row>
    <row r="2231" spans="1:4" x14ac:dyDescent="0.2">
      <c r="A2231" s="24">
        <v>43922</v>
      </c>
      <c r="B2231" s="25" t="s">
        <v>119</v>
      </c>
      <c r="C2231" s="25" t="s">
        <v>8</v>
      </c>
      <c r="D2231" s="51">
        <v>1639</v>
      </c>
    </row>
    <row r="2232" spans="1:4" x14ac:dyDescent="0.2">
      <c r="A2232" s="24">
        <v>43922</v>
      </c>
      <c r="B2232" s="25" t="s">
        <v>139</v>
      </c>
      <c r="C2232" s="25" t="s">
        <v>8</v>
      </c>
      <c r="D2232" s="51">
        <v>2</v>
      </c>
    </row>
    <row r="2233" spans="1:4" x14ac:dyDescent="0.2">
      <c r="A2233" s="24">
        <v>43922</v>
      </c>
      <c r="B2233" s="25" t="s">
        <v>120</v>
      </c>
      <c r="C2233" s="25" t="s">
        <v>8</v>
      </c>
      <c r="D2233" s="51">
        <v>1112</v>
      </c>
    </row>
    <row r="2234" spans="1:4" x14ac:dyDescent="0.2">
      <c r="A2234" s="24">
        <v>43922</v>
      </c>
      <c r="B2234" s="25" t="s">
        <v>121</v>
      </c>
      <c r="C2234" s="25" t="s">
        <v>8</v>
      </c>
      <c r="D2234" s="51">
        <v>348</v>
      </c>
    </row>
    <row r="2235" spans="1:4" x14ac:dyDescent="0.2">
      <c r="A2235" s="24">
        <v>43922</v>
      </c>
      <c r="B2235" s="25" t="s">
        <v>122</v>
      </c>
      <c r="C2235" s="25" t="s">
        <v>8</v>
      </c>
      <c r="D2235" s="51">
        <v>89</v>
      </c>
    </row>
    <row r="2236" spans="1:4" x14ac:dyDescent="0.2">
      <c r="A2236" s="24">
        <v>43922</v>
      </c>
      <c r="B2236" s="25" t="s">
        <v>123</v>
      </c>
      <c r="C2236" s="25" t="s">
        <v>8</v>
      </c>
      <c r="D2236" s="51">
        <v>18287</v>
      </c>
    </row>
    <row r="2237" spans="1:4" x14ac:dyDescent="0.2">
      <c r="A2237" s="24">
        <v>43922</v>
      </c>
      <c r="B2237" s="25" t="s">
        <v>124</v>
      </c>
      <c r="C2237" s="25" t="s">
        <v>8</v>
      </c>
      <c r="D2237" s="51">
        <v>522</v>
      </c>
    </row>
    <row r="2238" spans="1:4" x14ac:dyDescent="0.2">
      <c r="A2238" s="24">
        <v>43922</v>
      </c>
      <c r="B2238" s="25" t="s">
        <v>125</v>
      </c>
      <c r="C2238" s="25" t="s">
        <v>8</v>
      </c>
      <c r="D2238" s="51">
        <v>294</v>
      </c>
    </row>
    <row r="2239" spans="1:4" x14ac:dyDescent="0.2">
      <c r="A2239" s="24">
        <v>43922</v>
      </c>
      <c r="B2239" s="25" t="s">
        <v>117</v>
      </c>
      <c r="C2239" s="25" t="s">
        <v>26</v>
      </c>
      <c r="D2239" s="51">
        <v>146481</v>
      </c>
    </row>
    <row r="2240" spans="1:4" x14ac:dyDescent="0.2">
      <c r="A2240" s="24">
        <v>43922</v>
      </c>
      <c r="B2240" s="25" t="s">
        <v>137</v>
      </c>
      <c r="C2240" s="25" t="s">
        <v>26</v>
      </c>
      <c r="D2240" s="51">
        <v>37047</v>
      </c>
    </row>
    <row r="2241" spans="1:4" x14ac:dyDescent="0.2">
      <c r="A2241" s="24">
        <v>43922</v>
      </c>
      <c r="B2241" s="25" t="s">
        <v>118</v>
      </c>
      <c r="C2241" s="25" t="s">
        <v>26</v>
      </c>
      <c r="D2241" s="51">
        <v>3438</v>
      </c>
    </row>
    <row r="2242" spans="1:4" x14ac:dyDescent="0.2">
      <c r="A2242" s="24">
        <v>43922</v>
      </c>
      <c r="B2242" s="25" t="s">
        <v>119</v>
      </c>
      <c r="C2242" s="25" t="s">
        <v>26</v>
      </c>
      <c r="D2242" s="51">
        <v>6589</v>
      </c>
    </row>
    <row r="2243" spans="1:4" x14ac:dyDescent="0.2">
      <c r="A2243" s="24">
        <v>43922</v>
      </c>
      <c r="B2243" s="25" t="s">
        <v>139</v>
      </c>
      <c r="C2243" s="25" t="s">
        <v>26</v>
      </c>
      <c r="D2243" s="51">
        <v>11</v>
      </c>
    </row>
    <row r="2244" spans="1:4" x14ac:dyDescent="0.2">
      <c r="A2244" s="24">
        <v>43922</v>
      </c>
      <c r="B2244" s="25" t="s">
        <v>120</v>
      </c>
      <c r="C2244" s="25" t="s">
        <v>26</v>
      </c>
      <c r="D2244" s="51">
        <v>825</v>
      </c>
    </row>
    <row r="2245" spans="1:4" x14ac:dyDescent="0.2">
      <c r="A2245" s="24">
        <v>43922</v>
      </c>
      <c r="B2245" s="25" t="s">
        <v>121</v>
      </c>
      <c r="C2245" s="25" t="s">
        <v>26</v>
      </c>
      <c r="D2245" s="51">
        <v>258</v>
      </c>
    </row>
    <row r="2246" spans="1:4" x14ac:dyDescent="0.2">
      <c r="A2246" s="24">
        <v>43922</v>
      </c>
      <c r="B2246" s="25" t="s">
        <v>122</v>
      </c>
      <c r="C2246" s="25" t="s">
        <v>26</v>
      </c>
      <c r="D2246" s="51">
        <v>237</v>
      </c>
    </row>
    <row r="2247" spans="1:4" x14ac:dyDescent="0.2">
      <c r="A2247" s="24">
        <v>43922</v>
      </c>
      <c r="B2247" s="25" t="s">
        <v>123</v>
      </c>
      <c r="C2247" s="25" t="s">
        <v>26</v>
      </c>
      <c r="D2247" s="51">
        <v>36977</v>
      </c>
    </row>
    <row r="2248" spans="1:4" x14ac:dyDescent="0.2">
      <c r="A2248" s="24">
        <v>43922</v>
      </c>
      <c r="B2248" s="25" t="s">
        <v>127</v>
      </c>
      <c r="C2248" s="25" t="s">
        <v>26</v>
      </c>
      <c r="D2248" s="51">
        <v>122</v>
      </c>
    </row>
    <row r="2249" spans="1:4" x14ac:dyDescent="0.2">
      <c r="A2249" s="24">
        <v>43922</v>
      </c>
      <c r="B2249" s="25" t="s">
        <v>128</v>
      </c>
      <c r="C2249" s="25" t="s">
        <v>26</v>
      </c>
      <c r="D2249" s="51">
        <v>47</v>
      </c>
    </row>
    <row r="2250" spans="1:4" x14ac:dyDescent="0.2">
      <c r="A2250" s="24">
        <v>43922</v>
      </c>
      <c r="B2250" s="25" t="s">
        <v>117</v>
      </c>
      <c r="C2250" s="25" t="s">
        <v>142</v>
      </c>
      <c r="D2250" s="51">
        <v>187366</v>
      </c>
    </row>
    <row r="2251" spans="1:4" x14ac:dyDescent="0.2">
      <c r="A2251" s="24">
        <v>43922</v>
      </c>
      <c r="B2251" s="25" t="s">
        <v>137</v>
      </c>
      <c r="C2251" s="25" t="s">
        <v>142</v>
      </c>
      <c r="D2251" s="51">
        <v>36251</v>
      </c>
    </row>
    <row r="2252" spans="1:4" x14ac:dyDescent="0.2">
      <c r="A2252" s="24">
        <v>43922</v>
      </c>
      <c r="B2252" s="25" t="s">
        <v>118</v>
      </c>
      <c r="C2252" s="25" t="s">
        <v>142</v>
      </c>
      <c r="D2252" s="51">
        <v>5426</v>
      </c>
    </row>
    <row r="2253" spans="1:4" x14ac:dyDescent="0.2">
      <c r="A2253" s="24">
        <v>43922</v>
      </c>
      <c r="B2253" s="25" t="s">
        <v>119</v>
      </c>
      <c r="C2253" s="25" t="s">
        <v>142</v>
      </c>
      <c r="D2253" s="51">
        <v>12484</v>
      </c>
    </row>
    <row r="2254" spans="1:4" x14ac:dyDescent="0.2">
      <c r="A2254" s="24">
        <v>43922</v>
      </c>
      <c r="B2254" s="25" t="s">
        <v>139</v>
      </c>
      <c r="C2254" s="25" t="s">
        <v>142</v>
      </c>
      <c r="D2254" s="51">
        <v>5</v>
      </c>
    </row>
    <row r="2255" spans="1:4" x14ac:dyDescent="0.2">
      <c r="A2255" s="24">
        <v>43922</v>
      </c>
      <c r="B2255" s="25" t="s">
        <v>120</v>
      </c>
      <c r="C2255" s="25" t="s">
        <v>142</v>
      </c>
      <c r="D2255" s="51">
        <v>3234</v>
      </c>
    </row>
    <row r="2256" spans="1:4" x14ac:dyDescent="0.2">
      <c r="A2256" s="24">
        <v>43922</v>
      </c>
      <c r="B2256" s="25" t="s">
        <v>121</v>
      </c>
      <c r="C2256" s="25" t="s">
        <v>142</v>
      </c>
      <c r="D2256" s="51">
        <v>194</v>
      </c>
    </row>
    <row r="2257" spans="1:4" x14ac:dyDescent="0.2">
      <c r="A2257" s="24">
        <v>43922</v>
      </c>
      <c r="B2257" s="25" t="s">
        <v>122</v>
      </c>
      <c r="C2257" s="25" t="s">
        <v>142</v>
      </c>
      <c r="D2257" s="51">
        <v>787</v>
      </c>
    </row>
    <row r="2258" spans="1:4" x14ac:dyDescent="0.2">
      <c r="A2258" s="24">
        <v>43922</v>
      </c>
      <c r="B2258" s="25" t="s">
        <v>123</v>
      </c>
      <c r="C2258" s="25" t="s">
        <v>142</v>
      </c>
      <c r="D2258" s="51">
        <v>15988</v>
      </c>
    </row>
    <row r="2259" spans="1:4" x14ac:dyDescent="0.2">
      <c r="A2259" s="24">
        <v>43922</v>
      </c>
      <c r="B2259" s="25" t="s">
        <v>129</v>
      </c>
      <c r="C2259" s="25" t="s">
        <v>142</v>
      </c>
      <c r="D2259" s="51">
        <v>554</v>
      </c>
    </row>
    <row r="2260" spans="1:4" x14ac:dyDescent="0.2">
      <c r="A2260" s="24">
        <v>43922</v>
      </c>
      <c r="B2260" s="25" t="s">
        <v>130</v>
      </c>
      <c r="C2260" s="25" t="s">
        <v>142</v>
      </c>
      <c r="D2260" s="51">
        <v>563</v>
      </c>
    </row>
    <row r="2261" spans="1:4" x14ac:dyDescent="0.2">
      <c r="A2261" s="24">
        <v>43922</v>
      </c>
      <c r="B2261" s="25" t="s">
        <v>117</v>
      </c>
      <c r="C2261" s="25" t="s">
        <v>2</v>
      </c>
      <c r="D2261" s="51">
        <v>4344129</v>
      </c>
    </row>
    <row r="2262" spans="1:4" x14ac:dyDescent="0.2">
      <c r="A2262" s="24">
        <v>43922</v>
      </c>
      <c r="B2262" s="25" t="s">
        <v>137</v>
      </c>
      <c r="C2262" s="25" t="s">
        <v>2</v>
      </c>
      <c r="D2262" s="51">
        <v>703420</v>
      </c>
    </row>
    <row r="2263" spans="1:4" x14ac:dyDescent="0.2">
      <c r="A2263" s="24">
        <v>43922</v>
      </c>
      <c r="B2263" s="25" t="s">
        <v>118</v>
      </c>
      <c r="C2263" s="25" t="s">
        <v>2</v>
      </c>
      <c r="D2263" s="51">
        <v>69680</v>
      </c>
    </row>
    <row r="2264" spans="1:4" x14ac:dyDescent="0.2">
      <c r="A2264" s="24">
        <v>43922</v>
      </c>
      <c r="B2264" s="25" t="s">
        <v>119</v>
      </c>
      <c r="C2264" s="25" t="s">
        <v>2</v>
      </c>
      <c r="D2264" s="51">
        <v>169942</v>
      </c>
    </row>
    <row r="2265" spans="1:4" x14ac:dyDescent="0.2">
      <c r="A2265" s="24">
        <v>43922</v>
      </c>
      <c r="B2265" s="25" t="s">
        <v>138</v>
      </c>
      <c r="C2265" s="25" t="s">
        <v>2</v>
      </c>
      <c r="D2265" s="51">
        <v>4</v>
      </c>
    </row>
    <row r="2266" spans="1:4" x14ac:dyDescent="0.2">
      <c r="A2266" s="24">
        <v>43922</v>
      </c>
      <c r="B2266" s="25" t="s">
        <v>139</v>
      </c>
      <c r="C2266" s="25" t="s">
        <v>2</v>
      </c>
      <c r="D2266" s="51">
        <v>489</v>
      </c>
    </row>
    <row r="2267" spans="1:4" x14ac:dyDescent="0.2">
      <c r="A2267" s="24">
        <v>43922</v>
      </c>
      <c r="B2267" s="25" t="s">
        <v>120</v>
      </c>
      <c r="C2267" s="25" t="s">
        <v>2</v>
      </c>
      <c r="D2267" s="51">
        <v>155620</v>
      </c>
    </row>
    <row r="2268" spans="1:4" x14ac:dyDescent="0.2">
      <c r="A2268" s="24">
        <v>43922</v>
      </c>
      <c r="B2268" s="25" t="s">
        <v>121</v>
      </c>
      <c r="C2268" s="25" t="s">
        <v>2</v>
      </c>
      <c r="D2268" s="51">
        <v>6323</v>
      </c>
    </row>
    <row r="2269" spans="1:4" x14ac:dyDescent="0.2">
      <c r="A2269" s="24">
        <v>43922</v>
      </c>
      <c r="B2269" s="25" t="s">
        <v>122</v>
      </c>
      <c r="C2269" s="25" t="s">
        <v>2</v>
      </c>
      <c r="D2269" s="51">
        <v>7775</v>
      </c>
    </row>
    <row r="2270" spans="1:4" x14ac:dyDescent="0.2">
      <c r="A2270" s="24">
        <v>43922</v>
      </c>
      <c r="B2270" s="25" t="s">
        <v>123</v>
      </c>
      <c r="C2270" s="25" t="s">
        <v>2</v>
      </c>
      <c r="D2270" s="51">
        <v>617589</v>
      </c>
    </row>
    <row r="2271" spans="1:4" x14ac:dyDescent="0.2">
      <c r="A2271" s="24">
        <v>43922</v>
      </c>
      <c r="B2271" s="25" t="s">
        <v>129</v>
      </c>
      <c r="C2271" s="25" t="s">
        <v>2</v>
      </c>
      <c r="D2271" s="51">
        <v>13577</v>
      </c>
    </row>
    <row r="2272" spans="1:4" x14ac:dyDescent="0.2">
      <c r="A2272" s="24">
        <v>43922</v>
      </c>
      <c r="B2272" s="25" t="s">
        <v>130</v>
      </c>
      <c r="C2272" s="25" t="s">
        <v>2</v>
      </c>
      <c r="D2272" s="51">
        <v>7177</v>
      </c>
    </row>
    <row r="2273" spans="1:4" x14ac:dyDescent="0.2">
      <c r="A2273" s="24">
        <v>43952</v>
      </c>
      <c r="B2273" s="25" t="s">
        <v>117</v>
      </c>
      <c r="C2273" s="25" t="s">
        <v>4</v>
      </c>
      <c r="D2273" s="51">
        <v>4107310</v>
      </c>
    </row>
    <row r="2274" spans="1:4" x14ac:dyDescent="0.2">
      <c r="A2274" s="24">
        <v>43952</v>
      </c>
      <c r="B2274" s="25" t="s">
        <v>131</v>
      </c>
      <c r="C2274" s="25" t="s">
        <v>4</v>
      </c>
      <c r="D2274" s="51">
        <v>138</v>
      </c>
    </row>
    <row r="2275" spans="1:4" x14ac:dyDescent="0.2">
      <c r="A2275" s="24">
        <v>43952</v>
      </c>
      <c r="B2275" s="25" t="s">
        <v>132</v>
      </c>
      <c r="C2275" s="25" t="s">
        <v>4</v>
      </c>
      <c r="D2275" s="51">
        <v>40</v>
      </c>
    </row>
    <row r="2276" spans="1:4" x14ac:dyDescent="0.2">
      <c r="A2276" s="24">
        <v>43952</v>
      </c>
      <c r="B2276" s="25" t="s">
        <v>133</v>
      </c>
      <c r="C2276" s="25" t="s">
        <v>4</v>
      </c>
      <c r="D2276" s="51">
        <v>25</v>
      </c>
    </row>
    <row r="2277" spans="1:4" x14ac:dyDescent="0.2">
      <c r="A2277" s="24">
        <v>43952</v>
      </c>
      <c r="B2277" s="25" t="s">
        <v>137</v>
      </c>
      <c r="C2277" s="25" t="s">
        <v>4</v>
      </c>
      <c r="D2277" s="51">
        <v>1156729</v>
      </c>
    </row>
    <row r="2278" spans="1:4" x14ac:dyDescent="0.2">
      <c r="A2278" s="24">
        <v>43952</v>
      </c>
      <c r="B2278" s="25" t="s">
        <v>118</v>
      </c>
      <c r="C2278" s="25" t="s">
        <v>4</v>
      </c>
      <c r="D2278" s="51">
        <v>357558</v>
      </c>
    </row>
    <row r="2279" spans="1:4" x14ac:dyDescent="0.2">
      <c r="A2279" s="24">
        <v>43952</v>
      </c>
      <c r="B2279" s="25" t="s">
        <v>134</v>
      </c>
      <c r="C2279" s="25" t="s">
        <v>4</v>
      </c>
      <c r="D2279" s="51">
        <v>25</v>
      </c>
    </row>
    <row r="2280" spans="1:4" x14ac:dyDescent="0.2">
      <c r="A2280" s="24">
        <v>43952</v>
      </c>
      <c r="B2280" s="25" t="s">
        <v>135</v>
      </c>
      <c r="C2280" s="25" t="s">
        <v>4</v>
      </c>
      <c r="D2280" s="51">
        <v>8</v>
      </c>
    </row>
    <row r="2281" spans="1:4" x14ac:dyDescent="0.2">
      <c r="A2281" s="24">
        <v>43952</v>
      </c>
      <c r="B2281" s="25" t="s">
        <v>136</v>
      </c>
      <c r="C2281" s="25" t="s">
        <v>4</v>
      </c>
      <c r="D2281" s="51">
        <v>4</v>
      </c>
    </row>
    <row r="2282" spans="1:4" x14ac:dyDescent="0.2">
      <c r="A2282" s="24">
        <v>43952</v>
      </c>
      <c r="B2282" s="25" t="s">
        <v>119</v>
      </c>
      <c r="C2282" s="25" t="s">
        <v>4</v>
      </c>
      <c r="D2282" s="51">
        <v>289775</v>
      </c>
    </row>
    <row r="2283" spans="1:4" x14ac:dyDescent="0.2">
      <c r="A2283" s="24">
        <v>43952</v>
      </c>
      <c r="B2283" s="25" t="s">
        <v>138</v>
      </c>
      <c r="C2283" s="25" t="s">
        <v>4</v>
      </c>
      <c r="D2283" s="51">
        <v>1</v>
      </c>
    </row>
    <row r="2284" spans="1:4" x14ac:dyDescent="0.2">
      <c r="A2284" s="24">
        <v>43952</v>
      </c>
      <c r="B2284" s="25" t="s">
        <v>139</v>
      </c>
      <c r="C2284" s="25" t="s">
        <v>4</v>
      </c>
      <c r="D2284" s="51">
        <v>393</v>
      </c>
    </row>
    <row r="2285" spans="1:4" x14ac:dyDescent="0.2">
      <c r="A2285" s="24">
        <v>43952</v>
      </c>
      <c r="B2285" s="25" t="s">
        <v>120</v>
      </c>
      <c r="C2285" s="25" t="s">
        <v>4</v>
      </c>
      <c r="D2285" s="51">
        <v>41491</v>
      </c>
    </row>
    <row r="2286" spans="1:4" x14ac:dyDescent="0.2">
      <c r="A2286" s="24">
        <v>43952</v>
      </c>
      <c r="B2286" s="25" t="s">
        <v>121</v>
      </c>
      <c r="C2286" s="25" t="s">
        <v>4</v>
      </c>
      <c r="D2286" s="51">
        <v>15935</v>
      </c>
    </row>
    <row r="2287" spans="1:4" x14ac:dyDescent="0.2">
      <c r="A2287" s="24">
        <v>43952</v>
      </c>
      <c r="B2287" s="25" t="s">
        <v>140</v>
      </c>
      <c r="C2287" s="25" t="s">
        <v>4</v>
      </c>
      <c r="D2287" s="51">
        <v>10192</v>
      </c>
    </row>
    <row r="2288" spans="1:4" x14ac:dyDescent="0.2">
      <c r="A2288" s="24">
        <v>43952</v>
      </c>
      <c r="B2288" s="25" t="s">
        <v>122</v>
      </c>
      <c r="C2288" s="25" t="s">
        <v>4</v>
      </c>
      <c r="D2288" s="51">
        <v>727918</v>
      </c>
    </row>
    <row r="2289" spans="1:4" x14ac:dyDescent="0.2">
      <c r="A2289" s="24">
        <v>43952</v>
      </c>
      <c r="B2289" s="25" t="s">
        <v>123</v>
      </c>
      <c r="C2289" s="25" t="s">
        <v>4</v>
      </c>
      <c r="D2289" s="51">
        <v>1842193</v>
      </c>
    </row>
    <row r="2290" spans="1:4" x14ac:dyDescent="0.2">
      <c r="A2290" s="24">
        <v>43952</v>
      </c>
      <c r="B2290" s="25" t="s">
        <v>117</v>
      </c>
      <c r="C2290" s="25" t="s">
        <v>8</v>
      </c>
      <c r="D2290" s="51">
        <v>101720</v>
      </c>
    </row>
    <row r="2291" spans="1:4" x14ac:dyDescent="0.2">
      <c r="A2291" s="24">
        <v>43952</v>
      </c>
      <c r="B2291" s="25" t="s">
        <v>137</v>
      </c>
      <c r="C2291" s="25" t="s">
        <v>8</v>
      </c>
      <c r="D2291" s="51">
        <v>44239</v>
      </c>
    </row>
    <row r="2292" spans="1:4" x14ac:dyDescent="0.2">
      <c r="A2292" s="24">
        <v>43952</v>
      </c>
      <c r="B2292" s="25" t="s">
        <v>118</v>
      </c>
      <c r="C2292" s="25" t="s">
        <v>8</v>
      </c>
      <c r="D2292" s="51">
        <v>7998</v>
      </c>
    </row>
    <row r="2293" spans="1:4" x14ac:dyDescent="0.2">
      <c r="A2293" s="24">
        <v>43952</v>
      </c>
      <c r="B2293" s="25" t="s">
        <v>119</v>
      </c>
      <c r="C2293" s="25" t="s">
        <v>8</v>
      </c>
      <c r="D2293" s="51">
        <v>4289</v>
      </c>
    </row>
    <row r="2294" spans="1:4" x14ac:dyDescent="0.2">
      <c r="A2294" s="24">
        <v>43952</v>
      </c>
      <c r="B2294" s="25" t="s">
        <v>139</v>
      </c>
      <c r="C2294" s="25" t="s">
        <v>8</v>
      </c>
      <c r="D2294" s="51">
        <v>2</v>
      </c>
    </row>
    <row r="2295" spans="1:4" x14ac:dyDescent="0.2">
      <c r="A2295" s="24">
        <v>43952</v>
      </c>
      <c r="B2295" s="25" t="s">
        <v>120</v>
      </c>
      <c r="C2295" s="25" t="s">
        <v>8</v>
      </c>
      <c r="D2295" s="51">
        <v>1370</v>
      </c>
    </row>
    <row r="2296" spans="1:4" x14ac:dyDescent="0.2">
      <c r="A2296" s="24">
        <v>43952</v>
      </c>
      <c r="B2296" s="25" t="s">
        <v>121</v>
      </c>
      <c r="C2296" s="25" t="s">
        <v>8</v>
      </c>
      <c r="D2296" s="51">
        <v>551</v>
      </c>
    </row>
    <row r="2297" spans="1:4" x14ac:dyDescent="0.2">
      <c r="A2297" s="24">
        <v>43952</v>
      </c>
      <c r="B2297" s="25" t="s">
        <v>122</v>
      </c>
      <c r="C2297" s="25" t="s">
        <v>8</v>
      </c>
      <c r="D2297" s="51">
        <v>1919</v>
      </c>
    </row>
    <row r="2298" spans="1:4" x14ac:dyDescent="0.2">
      <c r="A2298" s="24">
        <v>43952</v>
      </c>
      <c r="B2298" s="25" t="s">
        <v>123</v>
      </c>
      <c r="C2298" s="25" t="s">
        <v>8</v>
      </c>
      <c r="D2298" s="51">
        <v>39819</v>
      </c>
    </row>
    <row r="2299" spans="1:4" x14ac:dyDescent="0.2">
      <c r="A2299" s="24">
        <v>43952</v>
      </c>
      <c r="B2299" s="25" t="s">
        <v>124</v>
      </c>
      <c r="C2299" s="25" t="s">
        <v>8</v>
      </c>
      <c r="D2299" s="51">
        <v>1162</v>
      </c>
    </row>
    <row r="2300" spans="1:4" x14ac:dyDescent="0.2">
      <c r="A2300" s="24">
        <v>43952</v>
      </c>
      <c r="B2300" s="25" t="s">
        <v>125</v>
      </c>
      <c r="C2300" s="25" t="s">
        <v>8</v>
      </c>
      <c r="D2300" s="51">
        <v>659</v>
      </c>
    </row>
    <row r="2301" spans="1:4" x14ac:dyDescent="0.2">
      <c r="A2301" s="24">
        <v>43952</v>
      </c>
      <c r="B2301" s="25" t="s">
        <v>117</v>
      </c>
      <c r="C2301" s="25" t="s">
        <v>26</v>
      </c>
      <c r="D2301" s="51">
        <v>254202</v>
      </c>
    </row>
    <row r="2302" spans="1:4" x14ac:dyDescent="0.2">
      <c r="A2302" s="24">
        <v>43952</v>
      </c>
      <c r="B2302" s="25" t="s">
        <v>137</v>
      </c>
      <c r="C2302" s="25" t="s">
        <v>26</v>
      </c>
      <c r="D2302" s="51">
        <v>76246</v>
      </c>
    </row>
    <row r="2303" spans="1:4" x14ac:dyDescent="0.2">
      <c r="A2303" s="24">
        <v>43952</v>
      </c>
      <c r="B2303" s="25" t="s">
        <v>118</v>
      </c>
      <c r="C2303" s="25" t="s">
        <v>26</v>
      </c>
      <c r="D2303" s="51">
        <v>11489</v>
      </c>
    </row>
    <row r="2304" spans="1:4" x14ac:dyDescent="0.2">
      <c r="A2304" s="24">
        <v>43952</v>
      </c>
      <c r="B2304" s="25" t="s">
        <v>119</v>
      </c>
      <c r="C2304" s="25" t="s">
        <v>26</v>
      </c>
      <c r="D2304" s="51">
        <v>14619</v>
      </c>
    </row>
    <row r="2305" spans="1:4" x14ac:dyDescent="0.2">
      <c r="A2305" s="24">
        <v>43952</v>
      </c>
      <c r="B2305" s="25" t="s">
        <v>139</v>
      </c>
      <c r="C2305" s="25" t="s">
        <v>26</v>
      </c>
      <c r="D2305" s="51">
        <v>10</v>
      </c>
    </row>
    <row r="2306" spans="1:4" x14ac:dyDescent="0.2">
      <c r="A2306" s="24">
        <v>43952</v>
      </c>
      <c r="B2306" s="25" t="s">
        <v>120</v>
      </c>
      <c r="C2306" s="25" t="s">
        <v>26</v>
      </c>
      <c r="D2306" s="51">
        <v>1119</v>
      </c>
    </row>
    <row r="2307" spans="1:4" x14ac:dyDescent="0.2">
      <c r="A2307" s="24">
        <v>43952</v>
      </c>
      <c r="B2307" s="25" t="s">
        <v>121</v>
      </c>
      <c r="C2307" s="25" t="s">
        <v>26</v>
      </c>
      <c r="D2307" s="51">
        <v>640</v>
      </c>
    </row>
    <row r="2308" spans="1:4" x14ac:dyDescent="0.2">
      <c r="A2308" s="24">
        <v>43952</v>
      </c>
      <c r="B2308" s="25" t="s">
        <v>122</v>
      </c>
      <c r="C2308" s="25" t="s">
        <v>26</v>
      </c>
      <c r="D2308" s="51">
        <v>17905</v>
      </c>
    </row>
    <row r="2309" spans="1:4" x14ac:dyDescent="0.2">
      <c r="A2309" s="24">
        <v>43952</v>
      </c>
      <c r="B2309" s="25" t="s">
        <v>123</v>
      </c>
      <c r="C2309" s="25" t="s">
        <v>26</v>
      </c>
      <c r="D2309" s="51">
        <v>67053</v>
      </c>
    </row>
    <row r="2310" spans="1:4" x14ac:dyDescent="0.2">
      <c r="A2310" s="24">
        <v>43952</v>
      </c>
      <c r="B2310" s="25" t="s">
        <v>127</v>
      </c>
      <c r="C2310" s="25" t="s">
        <v>26</v>
      </c>
      <c r="D2310" s="51">
        <v>387</v>
      </c>
    </row>
    <row r="2311" spans="1:4" x14ac:dyDescent="0.2">
      <c r="A2311" s="24">
        <v>43952</v>
      </c>
      <c r="B2311" s="25" t="s">
        <v>128</v>
      </c>
      <c r="C2311" s="25" t="s">
        <v>26</v>
      </c>
      <c r="D2311" s="51">
        <v>163</v>
      </c>
    </row>
    <row r="2312" spans="1:4" x14ac:dyDescent="0.2">
      <c r="A2312" s="24">
        <v>43952</v>
      </c>
      <c r="B2312" s="25" t="s">
        <v>117</v>
      </c>
      <c r="C2312" s="25" t="s">
        <v>142</v>
      </c>
      <c r="D2312" s="51">
        <v>279666</v>
      </c>
    </row>
    <row r="2313" spans="1:4" x14ac:dyDescent="0.2">
      <c r="A2313" s="24">
        <v>43952</v>
      </c>
      <c r="B2313" s="25" t="s">
        <v>137</v>
      </c>
      <c r="C2313" s="25" t="s">
        <v>142</v>
      </c>
      <c r="D2313" s="51">
        <v>62148</v>
      </c>
    </row>
    <row r="2314" spans="1:4" x14ac:dyDescent="0.2">
      <c r="A2314" s="24">
        <v>43952</v>
      </c>
      <c r="B2314" s="25" t="s">
        <v>118</v>
      </c>
      <c r="C2314" s="25" t="s">
        <v>142</v>
      </c>
      <c r="D2314" s="51">
        <v>18828</v>
      </c>
    </row>
    <row r="2315" spans="1:4" x14ac:dyDescent="0.2">
      <c r="A2315" s="24">
        <v>43952</v>
      </c>
      <c r="B2315" s="25" t="s">
        <v>119</v>
      </c>
      <c r="C2315" s="25" t="s">
        <v>142</v>
      </c>
      <c r="D2315" s="51">
        <v>23677</v>
      </c>
    </row>
    <row r="2316" spans="1:4" x14ac:dyDescent="0.2">
      <c r="A2316" s="24">
        <v>43952</v>
      </c>
      <c r="B2316" s="25" t="s">
        <v>139</v>
      </c>
      <c r="C2316" s="25" t="s">
        <v>142</v>
      </c>
      <c r="D2316" s="51">
        <v>8</v>
      </c>
    </row>
    <row r="2317" spans="1:4" x14ac:dyDescent="0.2">
      <c r="A2317" s="24">
        <v>43952</v>
      </c>
      <c r="B2317" s="25" t="s">
        <v>120</v>
      </c>
      <c r="C2317" s="25" t="s">
        <v>142</v>
      </c>
      <c r="D2317" s="51">
        <v>4482</v>
      </c>
    </row>
    <row r="2318" spans="1:4" x14ac:dyDescent="0.2">
      <c r="A2318" s="24">
        <v>43952</v>
      </c>
      <c r="B2318" s="25" t="s">
        <v>121</v>
      </c>
      <c r="C2318" s="25" t="s">
        <v>142</v>
      </c>
      <c r="D2318" s="51">
        <v>375</v>
      </c>
    </row>
    <row r="2319" spans="1:4" x14ac:dyDescent="0.2">
      <c r="A2319" s="24">
        <v>43952</v>
      </c>
      <c r="B2319" s="25" t="s">
        <v>122</v>
      </c>
      <c r="C2319" s="25" t="s">
        <v>142</v>
      </c>
      <c r="D2319" s="51">
        <v>28670</v>
      </c>
    </row>
    <row r="2320" spans="1:4" x14ac:dyDescent="0.2">
      <c r="A2320" s="24">
        <v>43952</v>
      </c>
      <c r="B2320" s="25" t="s">
        <v>123</v>
      </c>
      <c r="C2320" s="25" t="s">
        <v>142</v>
      </c>
      <c r="D2320" s="51">
        <v>29411</v>
      </c>
    </row>
    <row r="2321" spans="1:4" x14ac:dyDescent="0.2">
      <c r="A2321" s="24">
        <v>43952</v>
      </c>
      <c r="B2321" s="25" t="s">
        <v>129</v>
      </c>
      <c r="C2321" s="25" t="s">
        <v>142</v>
      </c>
      <c r="D2321" s="51">
        <v>841</v>
      </c>
    </row>
    <row r="2322" spans="1:4" x14ac:dyDescent="0.2">
      <c r="A2322" s="24">
        <v>43952</v>
      </c>
      <c r="B2322" s="25" t="s">
        <v>130</v>
      </c>
      <c r="C2322" s="25" t="s">
        <v>142</v>
      </c>
      <c r="D2322" s="51">
        <v>1221</v>
      </c>
    </row>
    <row r="2323" spans="1:4" x14ac:dyDescent="0.2">
      <c r="A2323" s="24">
        <v>43952</v>
      </c>
      <c r="B2323" s="25" t="s">
        <v>117</v>
      </c>
      <c r="C2323" s="25" t="s">
        <v>2</v>
      </c>
      <c r="D2323" s="51">
        <v>6117204</v>
      </c>
    </row>
    <row r="2324" spans="1:4" x14ac:dyDescent="0.2">
      <c r="A2324" s="24">
        <v>43952</v>
      </c>
      <c r="B2324" s="25" t="s">
        <v>137</v>
      </c>
      <c r="C2324" s="25" t="s">
        <v>2</v>
      </c>
      <c r="D2324" s="51">
        <v>1195199</v>
      </c>
    </row>
    <row r="2325" spans="1:4" x14ac:dyDescent="0.2">
      <c r="A2325" s="24">
        <v>43952</v>
      </c>
      <c r="B2325" s="25" t="s">
        <v>118</v>
      </c>
      <c r="C2325" s="25" t="s">
        <v>2</v>
      </c>
      <c r="D2325" s="51">
        <v>199113</v>
      </c>
    </row>
    <row r="2326" spans="1:4" x14ac:dyDescent="0.2">
      <c r="A2326" s="24">
        <v>43952</v>
      </c>
      <c r="B2326" s="25" t="s">
        <v>119</v>
      </c>
      <c r="C2326" s="25" t="s">
        <v>2</v>
      </c>
      <c r="D2326" s="51">
        <v>303299</v>
      </c>
    </row>
    <row r="2327" spans="1:4" x14ac:dyDescent="0.2">
      <c r="A2327" s="24">
        <v>43952</v>
      </c>
      <c r="B2327" s="25" t="s">
        <v>139</v>
      </c>
      <c r="C2327" s="25" t="s">
        <v>2</v>
      </c>
      <c r="D2327" s="51">
        <v>446</v>
      </c>
    </row>
    <row r="2328" spans="1:4" x14ac:dyDescent="0.2">
      <c r="A2328" s="24">
        <v>43952</v>
      </c>
      <c r="B2328" s="25" t="s">
        <v>120</v>
      </c>
      <c r="C2328" s="25" t="s">
        <v>2</v>
      </c>
      <c r="D2328" s="51">
        <v>179768</v>
      </c>
    </row>
    <row r="2329" spans="1:4" x14ac:dyDescent="0.2">
      <c r="A2329" s="24">
        <v>43952</v>
      </c>
      <c r="B2329" s="25" t="s">
        <v>121</v>
      </c>
      <c r="C2329" s="25" t="s">
        <v>2</v>
      </c>
      <c r="D2329" s="51">
        <v>9664</v>
      </c>
    </row>
    <row r="2330" spans="1:4" x14ac:dyDescent="0.2">
      <c r="A2330" s="24">
        <v>43952</v>
      </c>
      <c r="B2330" s="25" t="s">
        <v>122</v>
      </c>
      <c r="C2330" s="25" t="s">
        <v>2</v>
      </c>
      <c r="D2330" s="51">
        <v>345854</v>
      </c>
    </row>
    <row r="2331" spans="1:4" x14ac:dyDescent="0.2">
      <c r="A2331" s="24">
        <v>43952</v>
      </c>
      <c r="B2331" s="25" t="s">
        <v>123</v>
      </c>
      <c r="C2331" s="25" t="s">
        <v>2</v>
      </c>
      <c r="D2331" s="51">
        <v>938107</v>
      </c>
    </row>
    <row r="2332" spans="1:4" x14ac:dyDescent="0.2">
      <c r="A2332" s="24">
        <v>43952</v>
      </c>
      <c r="B2332" s="25" t="s">
        <v>129</v>
      </c>
      <c r="C2332" s="25" t="s">
        <v>2</v>
      </c>
      <c r="D2332" s="51">
        <v>21690</v>
      </c>
    </row>
    <row r="2333" spans="1:4" x14ac:dyDescent="0.2">
      <c r="A2333" s="24">
        <v>43952</v>
      </c>
      <c r="B2333" s="25" t="s">
        <v>130</v>
      </c>
      <c r="C2333" s="25" t="s">
        <v>2</v>
      </c>
      <c r="D2333" s="51">
        <v>13330</v>
      </c>
    </row>
    <row r="2334" spans="1:4" x14ac:dyDescent="0.2">
      <c r="A2334" s="24">
        <v>43983</v>
      </c>
      <c r="B2334" s="25" t="s">
        <v>117</v>
      </c>
      <c r="C2334" s="25" t="s">
        <v>4</v>
      </c>
      <c r="D2334" s="51">
        <v>5296996</v>
      </c>
    </row>
    <row r="2335" spans="1:4" x14ac:dyDescent="0.2">
      <c r="A2335" s="24">
        <v>43983</v>
      </c>
      <c r="B2335" s="25" t="s">
        <v>131</v>
      </c>
      <c r="C2335" s="25" t="s">
        <v>4</v>
      </c>
      <c r="D2335" s="51">
        <v>107</v>
      </c>
    </row>
    <row r="2336" spans="1:4" x14ac:dyDescent="0.2">
      <c r="A2336" s="24">
        <v>43983</v>
      </c>
      <c r="B2336" s="25" t="s">
        <v>132</v>
      </c>
      <c r="C2336" s="25" t="s">
        <v>4</v>
      </c>
      <c r="D2336" s="51">
        <v>61</v>
      </c>
    </row>
    <row r="2337" spans="1:4" x14ac:dyDescent="0.2">
      <c r="A2337" s="24">
        <v>43983</v>
      </c>
      <c r="B2337" s="25" t="s">
        <v>133</v>
      </c>
      <c r="C2337" s="25" t="s">
        <v>4</v>
      </c>
      <c r="D2337" s="51">
        <v>17</v>
      </c>
    </row>
    <row r="2338" spans="1:4" x14ac:dyDescent="0.2">
      <c r="A2338" s="24">
        <v>43983</v>
      </c>
      <c r="B2338" s="25" t="s">
        <v>137</v>
      </c>
      <c r="C2338" s="25" t="s">
        <v>4</v>
      </c>
      <c r="D2338" s="51">
        <v>1664174</v>
      </c>
    </row>
    <row r="2339" spans="1:4" x14ac:dyDescent="0.2">
      <c r="A2339" s="24">
        <v>43983</v>
      </c>
      <c r="B2339" s="25" t="s">
        <v>118</v>
      </c>
      <c r="C2339" s="25" t="s">
        <v>4</v>
      </c>
      <c r="D2339" s="51">
        <v>605522</v>
      </c>
    </row>
    <row r="2340" spans="1:4" x14ac:dyDescent="0.2">
      <c r="A2340" s="24">
        <v>43983</v>
      </c>
      <c r="B2340" s="25" t="s">
        <v>134</v>
      </c>
      <c r="C2340" s="25" t="s">
        <v>4</v>
      </c>
      <c r="D2340" s="51">
        <v>15</v>
      </c>
    </row>
    <row r="2341" spans="1:4" x14ac:dyDescent="0.2">
      <c r="A2341" s="24">
        <v>43983</v>
      </c>
      <c r="B2341" s="25" t="s">
        <v>135</v>
      </c>
      <c r="C2341" s="25" t="s">
        <v>4</v>
      </c>
      <c r="D2341" s="51">
        <v>21</v>
      </c>
    </row>
    <row r="2342" spans="1:4" x14ac:dyDescent="0.2">
      <c r="A2342" s="24">
        <v>43983</v>
      </c>
      <c r="B2342" s="25" t="s">
        <v>136</v>
      </c>
      <c r="C2342" s="25" t="s">
        <v>4</v>
      </c>
      <c r="D2342" s="51">
        <v>4</v>
      </c>
    </row>
    <row r="2343" spans="1:4" x14ac:dyDescent="0.2">
      <c r="A2343" s="24">
        <v>43983</v>
      </c>
      <c r="B2343" s="25" t="s">
        <v>119</v>
      </c>
      <c r="C2343" s="25" t="s">
        <v>4</v>
      </c>
      <c r="D2343" s="51">
        <v>456231</v>
      </c>
    </row>
    <row r="2344" spans="1:4" x14ac:dyDescent="0.2">
      <c r="A2344" s="24">
        <v>43983</v>
      </c>
      <c r="B2344" s="25" t="s">
        <v>138</v>
      </c>
      <c r="C2344" s="25" t="s">
        <v>4</v>
      </c>
      <c r="D2344" s="51">
        <v>22</v>
      </c>
    </row>
    <row r="2345" spans="1:4" x14ac:dyDescent="0.2">
      <c r="A2345" s="24">
        <v>43983</v>
      </c>
      <c r="B2345" s="25" t="s">
        <v>139</v>
      </c>
      <c r="C2345" s="25" t="s">
        <v>4</v>
      </c>
      <c r="D2345" s="51">
        <v>464</v>
      </c>
    </row>
    <row r="2346" spans="1:4" x14ac:dyDescent="0.2">
      <c r="A2346" s="24">
        <v>43983</v>
      </c>
      <c r="B2346" s="25" t="s">
        <v>120</v>
      </c>
      <c r="C2346" s="25" t="s">
        <v>4</v>
      </c>
      <c r="D2346" s="51">
        <v>50008</v>
      </c>
    </row>
    <row r="2347" spans="1:4" x14ac:dyDescent="0.2">
      <c r="A2347" s="24">
        <v>43983</v>
      </c>
      <c r="B2347" s="25" t="s">
        <v>121</v>
      </c>
      <c r="C2347" s="25" t="s">
        <v>4</v>
      </c>
      <c r="D2347" s="51">
        <v>21672</v>
      </c>
    </row>
    <row r="2348" spans="1:4" x14ac:dyDescent="0.2">
      <c r="A2348" s="24">
        <v>43983</v>
      </c>
      <c r="B2348" s="25" t="s">
        <v>140</v>
      </c>
      <c r="C2348" s="25" t="s">
        <v>4</v>
      </c>
      <c r="D2348" s="51">
        <v>13690</v>
      </c>
    </row>
    <row r="2349" spans="1:4" x14ac:dyDescent="0.2">
      <c r="A2349" s="24">
        <v>43983</v>
      </c>
      <c r="B2349" s="25" t="s">
        <v>122</v>
      </c>
      <c r="C2349" s="25" t="s">
        <v>4</v>
      </c>
      <c r="D2349" s="51">
        <v>1891322</v>
      </c>
    </row>
    <row r="2350" spans="1:4" x14ac:dyDescent="0.2">
      <c r="A2350" s="24">
        <v>43983</v>
      </c>
      <c r="B2350" s="25" t="s">
        <v>123</v>
      </c>
      <c r="C2350" s="25" t="s">
        <v>4</v>
      </c>
      <c r="D2350" s="51">
        <v>2385697</v>
      </c>
    </row>
    <row r="2351" spans="1:4" x14ac:dyDescent="0.2">
      <c r="A2351" s="24">
        <v>43983</v>
      </c>
      <c r="B2351" s="25" t="s">
        <v>117</v>
      </c>
      <c r="C2351" s="25" t="s">
        <v>8</v>
      </c>
      <c r="D2351" s="51">
        <v>177637</v>
      </c>
    </row>
    <row r="2352" spans="1:4" x14ac:dyDescent="0.2">
      <c r="A2352" s="24">
        <v>43983</v>
      </c>
      <c r="B2352" s="25" t="s">
        <v>137</v>
      </c>
      <c r="C2352" s="25" t="s">
        <v>8</v>
      </c>
      <c r="D2352" s="51">
        <v>83342</v>
      </c>
    </row>
    <row r="2353" spans="1:4" x14ac:dyDescent="0.2">
      <c r="A2353" s="24">
        <v>43983</v>
      </c>
      <c r="B2353" s="25" t="s">
        <v>118</v>
      </c>
      <c r="C2353" s="25" t="s">
        <v>8</v>
      </c>
      <c r="D2353" s="51">
        <v>20127</v>
      </c>
    </row>
    <row r="2354" spans="1:4" x14ac:dyDescent="0.2">
      <c r="A2354" s="24">
        <v>43983</v>
      </c>
      <c r="B2354" s="25" t="s">
        <v>119</v>
      </c>
      <c r="C2354" s="25" t="s">
        <v>8</v>
      </c>
      <c r="D2354" s="51">
        <v>9065</v>
      </c>
    </row>
    <row r="2355" spans="1:4" x14ac:dyDescent="0.2">
      <c r="A2355" s="24">
        <v>43983</v>
      </c>
      <c r="B2355" s="25" t="s">
        <v>138</v>
      </c>
      <c r="C2355" s="25" t="s">
        <v>8</v>
      </c>
      <c r="D2355" s="51">
        <v>2</v>
      </c>
    </row>
    <row r="2356" spans="1:4" x14ac:dyDescent="0.2">
      <c r="A2356" s="24">
        <v>43983</v>
      </c>
      <c r="B2356" s="25" t="s">
        <v>139</v>
      </c>
      <c r="C2356" s="25" t="s">
        <v>8</v>
      </c>
      <c r="D2356" s="51">
        <v>3</v>
      </c>
    </row>
    <row r="2357" spans="1:4" x14ac:dyDescent="0.2">
      <c r="A2357" s="24">
        <v>43983</v>
      </c>
      <c r="B2357" s="25" t="s">
        <v>120</v>
      </c>
      <c r="C2357" s="25" t="s">
        <v>8</v>
      </c>
      <c r="D2357" s="51">
        <v>2289</v>
      </c>
    </row>
    <row r="2358" spans="1:4" x14ac:dyDescent="0.2">
      <c r="A2358" s="24">
        <v>43983</v>
      </c>
      <c r="B2358" s="25" t="s">
        <v>121</v>
      </c>
      <c r="C2358" s="25" t="s">
        <v>8</v>
      </c>
      <c r="D2358" s="51">
        <v>1034</v>
      </c>
    </row>
    <row r="2359" spans="1:4" x14ac:dyDescent="0.2">
      <c r="A2359" s="24">
        <v>43983</v>
      </c>
      <c r="B2359" s="25" t="s">
        <v>122</v>
      </c>
      <c r="C2359" s="25" t="s">
        <v>8</v>
      </c>
      <c r="D2359" s="51">
        <v>5401</v>
      </c>
    </row>
    <row r="2360" spans="1:4" x14ac:dyDescent="0.2">
      <c r="A2360" s="24">
        <v>43983</v>
      </c>
      <c r="B2360" s="25" t="s">
        <v>123</v>
      </c>
      <c r="C2360" s="25" t="s">
        <v>8</v>
      </c>
      <c r="D2360" s="51">
        <v>72560</v>
      </c>
    </row>
    <row r="2361" spans="1:4" x14ac:dyDescent="0.2">
      <c r="A2361" s="24">
        <v>43983</v>
      </c>
      <c r="B2361" s="25" t="s">
        <v>124</v>
      </c>
      <c r="C2361" s="25" t="s">
        <v>8</v>
      </c>
      <c r="D2361" s="51">
        <v>3592</v>
      </c>
    </row>
    <row r="2362" spans="1:4" x14ac:dyDescent="0.2">
      <c r="A2362" s="24">
        <v>43983</v>
      </c>
      <c r="B2362" s="25" t="s">
        <v>125</v>
      </c>
      <c r="C2362" s="25" t="s">
        <v>8</v>
      </c>
      <c r="D2362" s="51">
        <v>2299</v>
      </c>
    </row>
    <row r="2363" spans="1:4" x14ac:dyDescent="0.2">
      <c r="A2363" s="24">
        <v>43983</v>
      </c>
      <c r="B2363" s="25" t="s">
        <v>117</v>
      </c>
      <c r="C2363" s="25" t="s">
        <v>26</v>
      </c>
      <c r="D2363" s="51">
        <v>406393</v>
      </c>
    </row>
    <row r="2364" spans="1:4" x14ac:dyDescent="0.2">
      <c r="A2364" s="24">
        <v>43983</v>
      </c>
      <c r="B2364" s="25" t="s">
        <v>137</v>
      </c>
      <c r="C2364" s="25" t="s">
        <v>26</v>
      </c>
      <c r="D2364" s="51">
        <v>140495</v>
      </c>
    </row>
    <row r="2365" spans="1:4" x14ac:dyDescent="0.2">
      <c r="A2365" s="24">
        <v>43983</v>
      </c>
      <c r="B2365" s="25" t="s">
        <v>118</v>
      </c>
      <c r="C2365" s="25" t="s">
        <v>26</v>
      </c>
      <c r="D2365" s="51">
        <v>25510</v>
      </c>
    </row>
    <row r="2366" spans="1:4" x14ac:dyDescent="0.2">
      <c r="A2366" s="24">
        <v>43983</v>
      </c>
      <c r="B2366" s="25" t="s">
        <v>119</v>
      </c>
      <c r="C2366" s="25" t="s">
        <v>26</v>
      </c>
      <c r="D2366" s="51">
        <v>32459</v>
      </c>
    </row>
    <row r="2367" spans="1:4" x14ac:dyDescent="0.2">
      <c r="A2367" s="24">
        <v>43983</v>
      </c>
      <c r="B2367" s="25" t="s">
        <v>139</v>
      </c>
      <c r="C2367" s="25" t="s">
        <v>26</v>
      </c>
      <c r="D2367" s="51">
        <v>32</v>
      </c>
    </row>
    <row r="2368" spans="1:4" x14ac:dyDescent="0.2">
      <c r="A2368" s="24">
        <v>43983</v>
      </c>
      <c r="B2368" s="25" t="s">
        <v>120</v>
      </c>
      <c r="C2368" s="25" t="s">
        <v>26</v>
      </c>
      <c r="D2368" s="51">
        <v>1743</v>
      </c>
    </row>
    <row r="2369" spans="1:4" x14ac:dyDescent="0.2">
      <c r="A2369" s="24">
        <v>43983</v>
      </c>
      <c r="B2369" s="25" t="s">
        <v>121</v>
      </c>
      <c r="C2369" s="25" t="s">
        <v>26</v>
      </c>
      <c r="D2369" s="51">
        <v>1138</v>
      </c>
    </row>
    <row r="2370" spans="1:4" x14ac:dyDescent="0.2">
      <c r="A2370" s="24">
        <v>43983</v>
      </c>
      <c r="B2370" s="25" t="s">
        <v>122</v>
      </c>
      <c r="C2370" s="25" t="s">
        <v>26</v>
      </c>
      <c r="D2370" s="51">
        <v>45025</v>
      </c>
    </row>
    <row r="2371" spans="1:4" x14ac:dyDescent="0.2">
      <c r="A2371" s="24">
        <v>43983</v>
      </c>
      <c r="B2371" s="25" t="s">
        <v>123</v>
      </c>
      <c r="C2371" s="25" t="s">
        <v>26</v>
      </c>
      <c r="D2371" s="51">
        <v>118312</v>
      </c>
    </row>
    <row r="2372" spans="1:4" x14ac:dyDescent="0.2">
      <c r="A2372" s="24">
        <v>43983</v>
      </c>
      <c r="B2372" s="25" t="s">
        <v>127</v>
      </c>
      <c r="C2372" s="25" t="s">
        <v>26</v>
      </c>
      <c r="D2372" s="51">
        <v>762</v>
      </c>
    </row>
    <row r="2373" spans="1:4" x14ac:dyDescent="0.2">
      <c r="A2373" s="24">
        <v>43983</v>
      </c>
      <c r="B2373" s="25" t="s">
        <v>128</v>
      </c>
      <c r="C2373" s="25" t="s">
        <v>26</v>
      </c>
      <c r="D2373" s="51">
        <v>410</v>
      </c>
    </row>
    <row r="2374" spans="1:4" x14ac:dyDescent="0.2">
      <c r="A2374" s="24">
        <v>43983</v>
      </c>
      <c r="B2374" s="25" t="s">
        <v>117</v>
      </c>
      <c r="C2374" s="25" t="s">
        <v>142</v>
      </c>
      <c r="D2374" s="51">
        <v>444552</v>
      </c>
    </row>
    <row r="2375" spans="1:4" x14ac:dyDescent="0.2">
      <c r="A2375" s="24">
        <v>43983</v>
      </c>
      <c r="B2375" s="25" t="s">
        <v>137</v>
      </c>
      <c r="C2375" s="25" t="s">
        <v>142</v>
      </c>
      <c r="D2375" s="51">
        <v>112387</v>
      </c>
    </row>
    <row r="2376" spans="1:4" x14ac:dyDescent="0.2">
      <c r="A2376" s="24">
        <v>43983</v>
      </c>
      <c r="B2376" s="25" t="s">
        <v>118</v>
      </c>
      <c r="C2376" s="25" t="s">
        <v>142</v>
      </c>
      <c r="D2376" s="51">
        <v>46163</v>
      </c>
    </row>
    <row r="2377" spans="1:4" x14ac:dyDescent="0.2">
      <c r="A2377" s="24">
        <v>43983</v>
      </c>
      <c r="B2377" s="25" t="s">
        <v>119</v>
      </c>
      <c r="C2377" s="25" t="s">
        <v>142</v>
      </c>
      <c r="D2377" s="51">
        <v>48461</v>
      </c>
    </row>
    <row r="2378" spans="1:4" x14ac:dyDescent="0.2">
      <c r="A2378" s="24">
        <v>43983</v>
      </c>
      <c r="B2378" s="25" t="s">
        <v>138</v>
      </c>
      <c r="C2378" s="25" t="s">
        <v>142</v>
      </c>
      <c r="D2378" s="51">
        <v>4</v>
      </c>
    </row>
    <row r="2379" spans="1:4" x14ac:dyDescent="0.2">
      <c r="A2379" s="24">
        <v>43983</v>
      </c>
      <c r="B2379" s="25" t="s">
        <v>139</v>
      </c>
      <c r="C2379" s="25" t="s">
        <v>142</v>
      </c>
      <c r="D2379" s="51">
        <v>4</v>
      </c>
    </row>
    <row r="2380" spans="1:4" x14ac:dyDescent="0.2">
      <c r="A2380" s="24">
        <v>43983</v>
      </c>
      <c r="B2380" s="25" t="s">
        <v>120</v>
      </c>
      <c r="C2380" s="25" t="s">
        <v>142</v>
      </c>
      <c r="D2380" s="51">
        <v>5725</v>
      </c>
    </row>
    <row r="2381" spans="1:4" x14ac:dyDescent="0.2">
      <c r="A2381" s="24">
        <v>43983</v>
      </c>
      <c r="B2381" s="25" t="s">
        <v>121</v>
      </c>
      <c r="C2381" s="25" t="s">
        <v>142</v>
      </c>
      <c r="D2381" s="51">
        <v>734</v>
      </c>
    </row>
    <row r="2382" spans="1:4" x14ac:dyDescent="0.2">
      <c r="A2382" s="24">
        <v>43983</v>
      </c>
      <c r="B2382" s="25" t="s">
        <v>122</v>
      </c>
      <c r="C2382" s="25" t="s">
        <v>142</v>
      </c>
      <c r="D2382" s="51">
        <v>80422</v>
      </c>
    </row>
    <row r="2383" spans="1:4" x14ac:dyDescent="0.2">
      <c r="A2383" s="24">
        <v>43983</v>
      </c>
      <c r="B2383" s="25" t="s">
        <v>123</v>
      </c>
      <c r="C2383" s="25" t="s">
        <v>142</v>
      </c>
      <c r="D2383" s="51">
        <v>52746</v>
      </c>
    </row>
    <row r="2384" spans="1:4" x14ac:dyDescent="0.2">
      <c r="A2384" s="24">
        <v>43983</v>
      </c>
      <c r="B2384" s="25" t="s">
        <v>129</v>
      </c>
      <c r="C2384" s="25" t="s">
        <v>142</v>
      </c>
      <c r="D2384" s="51">
        <v>1921</v>
      </c>
    </row>
    <row r="2385" spans="1:4" x14ac:dyDescent="0.2">
      <c r="A2385" s="24">
        <v>43983</v>
      </c>
      <c r="B2385" s="25" t="s">
        <v>130</v>
      </c>
      <c r="C2385" s="25" t="s">
        <v>142</v>
      </c>
      <c r="D2385" s="51">
        <v>2508</v>
      </c>
    </row>
    <row r="2386" spans="1:4" x14ac:dyDescent="0.2">
      <c r="A2386" s="24">
        <v>43983</v>
      </c>
      <c r="B2386" s="25" t="s">
        <v>117</v>
      </c>
      <c r="C2386" s="25" t="s">
        <v>2</v>
      </c>
      <c r="D2386" s="51">
        <v>8357270</v>
      </c>
    </row>
    <row r="2387" spans="1:4" x14ac:dyDescent="0.2">
      <c r="A2387" s="24">
        <v>43983</v>
      </c>
      <c r="B2387" s="25" t="s">
        <v>137</v>
      </c>
      <c r="C2387" s="25" t="s">
        <v>2</v>
      </c>
      <c r="D2387" s="51">
        <v>1900026</v>
      </c>
    </row>
    <row r="2388" spans="1:4" x14ac:dyDescent="0.2">
      <c r="A2388" s="24">
        <v>43983</v>
      </c>
      <c r="B2388" s="25" t="s">
        <v>118</v>
      </c>
      <c r="C2388" s="25" t="s">
        <v>2</v>
      </c>
      <c r="D2388" s="51">
        <v>380309</v>
      </c>
    </row>
    <row r="2389" spans="1:4" x14ac:dyDescent="0.2">
      <c r="A2389" s="24">
        <v>43983</v>
      </c>
      <c r="B2389" s="25" t="s">
        <v>119</v>
      </c>
      <c r="C2389" s="25" t="s">
        <v>2</v>
      </c>
      <c r="D2389" s="51">
        <v>554058</v>
      </c>
    </row>
    <row r="2390" spans="1:4" x14ac:dyDescent="0.2">
      <c r="A2390" s="24">
        <v>43983</v>
      </c>
      <c r="B2390" s="25" t="s">
        <v>138</v>
      </c>
      <c r="C2390" s="25" t="s">
        <v>2</v>
      </c>
      <c r="D2390" s="51">
        <v>11</v>
      </c>
    </row>
    <row r="2391" spans="1:4" x14ac:dyDescent="0.2">
      <c r="A2391" s="24">
        <v>43983</v>
      </c>
      <c r="B2391" s="25" t="s">
        <v>139</v>
      </c>
      <c r="C2391" s="25" t="s">
        <v>2</v>
      </c>
      <c r="D2391" s="51">
        <v>543</v>
      </c>
    </row>
    <row r="2392" spans="1:4" x14ac:dyDescent="0.2">
      <c r="A2392" s="24">
        <v>43983</v>
      </c>
      <c r="B2392" s="25" t="s">
        <v>120</v>
      </c>
      <c r="C2392" s="25" t="s">
        <v>2</v>
      </c>
      <c r="D2392" s="51">
        <v>203267</v>
      </c>
    </row>
    <row r="2393" spans="1:4" x14ac:dyDescent="0.2">
      <c r="A2393" s="24">
        <v>43983</v>
      </c>
      <c r="B2393" s="25" t="s">
        <v>121</v>
      </c>
      <c r="C2393" s="25" t="s">
        <v>2</v>
      </c>
      <c r="D2393" s="51">
        <v>14546</v>
      </c>
    </row>
    <row r="2394" spans="1:4" x14ac:dyDescent="0.2">
      <c r="A2394" s="24">
        <v>43983</v>
      </c>
      <c r="B2394" s="25" t="s">
        <v>122</v>
      </c>
      <c r="C2394" s="25" t="s">
        <v>2</v>
      </c>
      <c r="D2394" s="51">
        <v>936253</v>
      </c>
    </row>
    <row r="2395" spans="1:4" x14ac:dyDescent="0.2">
      <c r="A2395" s="24">
        <v>43983</v>
      </c>
      <c r="B2395" s="25" t="s">
        <v>123</v>
      </c>
      <c r="C2395" s="25" t="s">
        <v>2</v>
      </c>
      <c r="D2395" s="51">
        <v>1360337</v>
      </c>
    </row>
    <row r="2396" spans="1:4" x14ac:dyDescent="0.2">
      <c r="A2396" s="24">
        <v>43983</v>
      </c>
      <c r="B2396" s="25" t="s">
        <v>129</v>
      </c>
      <c r="C2396" s="25" t="s">
        <v>2</v>
      </c>
      <c r="D2396" s="51">
        <v>35863</v>
      </c>
    </row>
    <row r="2397" spans="1:4" x14ac:dyDescent="0.2">
      <c r="A2397" s="24">
        <v>43983</v>
      </c>
      <c r="B2397" s="25" t="s">
        <v>130</v>
      </c>
      <c r="C2397" s="25" t="s">
        <v>2</v>
      </c>
      <c r="D2397" s="51">
        <v>20187</v>
      </c>
    </row>
    <row r="2398" spans="1:4" x14ac:dyDescent="0.2">
      <c r="A2398" s="24">
        <v>44013</v>
      </c>
      <c r="B2398" s="25" t="s">
        <v>117</v>
      </c>
      <c r="C2398" s="25" t="s">
        <v>4</v>
      </c>
      <c r="D2398" s="51">
        <v>5980811</v>
      </c>
    </row>
    <row r="2399" spans="1:4" x14ac:dyDescent="0.2">
      <c r="A2399" s="24">
        <v>44013</v>
      </c>
      <c r="B2399" s="25" t="s">
        <v>131</v>
      </c>
      <c r="C2399" s="25" t="s">
        <v>4</v>
      </c>
      <c r="D2399" s="51">
        <v>142</v>
      </c>
    </row>
    <row r="2400" spans="1:4" x14ac:dyDescent="0.2">
      <c r="A2400" s="24">
        <v>44013</v>
      </c>
      <c r="B2400" s="25" t="s">
        <v>132</v>
      </c>
      <c r="C2400" s="25" t="s">
        <v>4</v>
      </c>
      <c r="D2400" s="51">
        <v>76</v>
      </c>
    </row>
    <row r="2401" spans="1:4" x14ac:dyDescent="0.2">
      <c r="A2401" s="24">
        <v>44013</v>
      </c>
      <c r="B2401" s="25" t="s">
        <v>133</v>
      </c>
      <c r="C2401" s="25" t="s">
        <v>4</v>
      </c>
      <c r="D2401" s="51">
        <v>18</v>
      </c>
    </row>
    <row r="2402" spans="1:4" x14ac:dyDescent="0.2">
      <c r="A2402" s="24">
        <v>44013</v>
      </c>
      <c r="B2402" s="25" t="s">
        <v>137</v>
      </c>
      <c r="C2402" s="25" t="s">
        <v>4</v>
      </c>
      <c r="D2402" s="51">
        <v>2013614</v>
      </c>
    </row>
    <row r="2403" spans="1:4" x14ac:dyDescent="0.2">
      <c r="A2403" s="24">
        <v>44013</v>
      </c>
      <c r="B2403" s="25" t="s">
        <v>118</v>
      </c>
      <c r="C2403" s="25" t="s">
        <v>4</v>
      </c>
      <c r="D2403" s="51">
        <v>863848</v>
      </c>
    </row>
    <row r="2404" spans="1:4" x14ac:dyDescent="0.2">
      <c r="A2404" s="24">
        <v>44013</v>
      </c>
      <c r="B2404" s="25" t="s">
        <v>134</v>
      </c>
      <c r="C2404" s="25" t="s">
        <v>4</v>
      </c>
      <c r="D2404" s="51">
        <v>34</v>
      </c>
    </row>
    <row r="2405" spans="1:4" x14ac:dyDescent="0.2">
      <c r="A2405" s="24">
        <v>44013</v>
      </c>
      <c r="B2405" s="25" t="s">
        <v>135</v>
      </c>
      <c r="C2405" s="25" t="s">
        <v>4</v>
      </c>
      <c r="D2405" s="51">
        <v>31</v>
      </c>
    </row>
    <row r="2406" spans="1:4" x14ac:dyDescent="0.2">
      <c r="A2406" s="24">
        <v>44013</v>
      </c>
      <c r="B2406" s="25" t="s">
        <v>136</v>
      </c>
      <c r="C2406" s="25" t="s">
        <v>4</v>
      </c>
      <c r="D2406" s="51">
        <v>5</v>
      </c>
    </row>
    <row r="2407" spans="1:4" x14ac:dyDescent="0.2">
      <c r="A2407" s="24">
        <v>44013</v>
      </c>
      <c r="B2407" s="25" t="s">
        <v>119</v>
      </c>
      <c r="C2407" s="25" t="s">
        <v>4</v>
      </c>
      <c r="D2407" s="51">
        <v>581048</v>
      </c>
    </row>
    <row r="2408" spans="1:4" x14ac:dyDescent="0.2">
      <c r="A2408" s="24">
        <v>44013</v>
      </c>
      <c r="B2408" s="25" t="s">
        <v>138</v>
      </c>
      <c r="C2408" s="25" t="s">
        <v>4</v>
      </c>
      <c r="D2408" s="51">
        <v>62</v>
      </c>
    </row>
    <row r="2409" spans="1:4" x14ac:dyDescent="0.2">
      <c r="A2409" s="24">
        <v>44013</v>
      </c>
      <c r="B2409" s="25" t="s">
        <v>139</v>
      </c>
      <c r="C2409" s="25" t="s">
        <v>4</v>
      </c>
      <c r="D2409" s="51">
        <v>559</v>
      </c>
    </row>
    <row r="2410" spans="1:4" x14ac:dyDescent="0.2">
      <c r="A2410" s="24">
        <v>44013</v>
      </c>
      <c r="B2410" s="25" t="s">
        <v>120</v>
      </c>
      <c r="C2410" s="25" t="s">
        <v>4</v>
      </c>
      <c r="D2410" s="51">
        <v>54732</v>
      </c>
    </row>
    <row r="2411" spans="1:4" x14ac:dyDescent="0.2">
      <c r="A2411" s="24">
        <v>44013</v>
      </c>
      <c r="B2411" s="25" t="s">
        <v>121</v>
      </c>
      <c r="C2411" s="25" t="s">
        <v>4</v>
      </c>
      <c r="D2411" s="51">
        <v>24073</v>
      </c>
    </row>
    <row r="2412" spans="1:4" x14ac:dyDescent="0.2">
      <c r="A2412" s="24">
        <v>44013</v>
      </c>
      <c r="B2412" s="25" t="s">
        <v>140</v>
      </c>
      <c r="C2412" s="25" t="s">
        <v>4</v>
      </c>
      <c r="D2412" s="51">
        <v>16368</v>
      </c>
    </row>
    <row r="2413" spans="1:4" x14ac:dyDescent="0.2">
      <c r="A2413" s="24">
        <v>44013</v>
      </c>
      <c r="B2413" s="25" t="s">
        <v>122</v>
      </c>
      <c r="C2413" s="25" t="s">
        <v>4</v>
      </c>
      <c r="D2413" s="51">
        <v>1033486</v>
      </c>
    </row>
    <row r="2414" spans="1:4" x14ac:dyDescent="0.2">
      <c r="A2414" s="24">
        <v>44013</v>
      </c>
      <c r="B2414" s="25" t="s">
        <v>123</v>
      </c>
      <c r="C2414" s="25" t="s">
        <v>4</v>
      </c>
      <c r="D2414" s="51">
        <v>2563464</v>
      </c>
    </row>
    <row r="2415" spans="1:4" x14ac:dyDescent="0.2">
      <c r="A2415" s="24">
        <v>44013</v>
      </c>
      <c r="B2415" s="25" t="s">
        <v>117</v>
      </c>
      <c r="C2415" s="25" t="s">
        <v>8</v>
      </c>
      <c r="D2415" s="51">
        <v>202450</v>
      </c>
    </row>
    <row r="2416" spans="1:4" x14ac:dyDescent="0.2">
      <c r="A2416" s="24">
        <v>44013</v>
      </c>
      <c r="B2416" s="25" t="s">
        <v>137</v>
      </c>
      <c r="C2416" s="25" t="s">
        <v>8</v>
      </c>
      <c r="D2416" s="51">
        <v>101923</v>
      </c>
    </row>
    <row r="2417" spans="1:4" x14ac:dyDescent="0.2">
      <c r="A2417" s="24">
        <v>44013</v>
      </c>
      <c r="B2417" s="25" t="s">
        <v>118</v>
      </c>
      <c r="C2417" s="25" t="s">
        <v>8</v>
      </c>
      <c r="D2417" s="51">
        <v>48004</v>
      </c>
    </row>
    <row r="2418" spans="1:4" x14ac:dyDescent="0.2">
      <c r="A2418" s="24">
        <v>44013</v>
      </c>
      <c r="B2418" s="25" t="s">
        <v>119</v>
      </c>
      <c r="C2418" s="25" t="s">
        <v>8</v>
      </c>
      <c r="D2418" s="51">
        <v>12344</v>
      </c>
    </row>
    <row r="2419" spans="1:4" x14ac:dyDescent="0.2">
      <c r="A2419" s="24">
        <v>44013</v>
      </c>
      <c r="B2419" s="25" t="s">
        <v>139</v>
      </c>
      <c r="C2419" s="25" t="s">
        <v>8</v>
      </c>
      <c r="D2419" s="51">
        <v>14</v>
      </c>
    </row>
    <row r="2420" spans="1:4" x14ac:dyDescent="0.2">
      <c r="A2420" s="24">
        <v>44013</v>
      </c>
      <c r="B2420" s="25" t="s">
        <v>120</v>
      </c>
      <c r="C2420" s="25" t="s">
        <v>8</v>
      </c>
      <c r="D2420" s="51">
        <v>2701</v>
      </c>
    </row>
    <row r="2421" spans="1:4" x14ac:dyDescent="0.2">
      <c r="A2421" s="24">
        <v>44013</v>
      </c>
      <c r="B2421" s="25" t="s">
        <v>121</v>
      </c>
      <c r="C2421" s="25" t="s">
        <v>8</v>
      </c>
      <c r="D2421" s="51">
        <v>1215</v>
      </c>
    </row>
    <row r="2422" spans="1:4" x14ac:dyDescent="0.2">
      <c r="A2422" s="24">
        <v>44013</v>
      </c>
      <c r="B2422" s="25" t="s">
        <v>122</v>
      </c>
      <c r="C2422" s="25" t="s">
        <v>8</v>
      </c>
      <c r="D2422" s="51">
        <v>2989</v>
      </c>
    </row>
    <row r="2423" spans="1:4" x14ac:dyDescent="0.2">
      <c r="A2423" s="24">
        <v>44013</v>
      </c>
      <c r="B2423" s="25" t="s">
        <v>123</v>
      </c>
      <c r="C2423" s="25" t="s">
        <v>8</v>
      </c>
      <c r="D2423" s="51">
        <v>80353</v>
      </c>
    </row>
    <row r="2424" spans="1:4" x14ac:dyDescent="0.2">
      <c r="A2424" s="24">
        <v>44013</v>
      </c>
      <c r="B2424" s="25" t="s">
        <v>124</v>
      </c>
      <c r="C2424" s="25" t="s">
        <v>8</v>
      </c>
      <c r="D2424" s="51">
        <v>6021</v>
      </c>
    </row>
    <row r="2425" spans="1:4" x14ac:dyDescent="0.2">
      <c r="A2425" s="24">
        <v>44013</v>
      </c>
      <c r="B2425" s="25" t="s">
        <v>125</v>
      </c>
      <c r="C2425" s="25" t="s">
        <v>8</v>
      </c>
      <c r="D2425" s="51">
        <v>5740</v>
      </c>
    </row>
    <row r="2426" spans="1:4" x14ac:dyDescent="0.2">
      <c r="A2426" s="24">
        <v>44013</v>
      </c>
      <c r="B2426" s="25" t="s">
        <v>117</v>
      </c>
      <c r="C2426" s="25" t="s">
        <v>26</v>
      </c>
      <c r="D2426" s="51">
        <v>521409</v>
      </c>
    </row>
    <row r="2427" spans="1:4" x14ac:dyDescent="0.2">
      <c r="A2427" s="24">
        <v>44013</v>
      </c>
      <c r="B2427" s="25" t="s">
        <v>137</v>
      </c>
      <c r="C2427" s="25" t="s">
        <v>26</v>
      </c>
      <c r="D2427" s="51">
        <v>194622</v>
      </c>
    </row>
    <row r="2428" spans="1:4" x14ac:dyDescent="0.2">
      <c r="A2428" s="24">
        <v>44013</v>
      </c>
      <c r="B2428" s="25" t="s">
        <v>118</v>
      </c>
      <c r="C2428" s="25" t="s">
        <v>26</v>
      </c>
      <c r="D2428" s="51">
        <v>57156</v>
      </c>
    </row>
    <row r="2429" spans="1:4" x14ac:dyDescent="0.2">
      <c r="A2429" s="24">
        <v>44013</v>
      </c>
      <c r="B2429" s="25" t="s">
        <v>119</v>
      </c>
      <c r="C2429" s="25" t="s">
        <v>26</v>
      </c>
      <c r="D2429" s="51">
        <v>47485</v>
      </c>
    </row>
    <row r="2430" spans="1:4" x14ac:dyDescent="0.2">
      <c r="A2430" s="24">
        <v>44013</v>
      </c>
      <c r="B2430" s="25" t="s">
        <v>139</v>
      </c>
      <c r="C2430" s="25" t="s">
        <v>26</v>
      </c>
      <c r="D2430" s="51">
        <v>30</v>
      </c>
    </row>
    <row r="2431" spans="1:4" x14ac:dyDescent="0.2">
      <c r="A2431" s="24">
        <v>44013</v>
      </c>
      <c r="B2431" s="25" t="s">
        <v>120</v>
      </c>
      <c r="C2431" s="25" t="s">
        <v>26</v>
      </c>
      <c r="D2431" s="51">
        <v>3323</v>
      </c>
    </row>
    <row r="2432" spans="1:4" x14ac:dyDescent="0.2">
      <c r="A2432" s="24">
        <v>44013</v>
      </c>
      <c r="B2432" s="25" t="s">
        <v>121</v>
      </c>
      <c r="C2432" s="25" t="s">
        <v>26</v>
      </c>
      <c r="D2432" s="51">
        <v>1336</v>
      </c>
    </row>
    <row r="2433" spans="1:4" x14ac:dyDescent="0.2">
      <c r="A2433" s="24">
        <v>44013</v>
      </c>
      <c r="B2433" s="25" t="s">
        <v>122</v>
      </c>
      <c r="C2433" s="25" t="s">
        <v>26</v>
      </c>
      <c r="D2433" s="51">
        <v>24956</v>
      </c>
    </row>
    <row r="2434" spans="1:4" x14ac:dyDescent="0.2">
      <c r="A2434" s="24">
        <v>44013</v>
      </c>
      <c r="B2434" s="25" t="s">
        <v>123</v>
      </c>
      <c r="C2434" s="25" t="s">
        <v>26</v>
      </c>
      <c r="D2434" s="51">
        <v>141973</v>
      </c>
    </row>
    <row r="2435" spans="1:4" x14ac:dyDescent="0.2">
      <c r="A2435" s="24">
        <v>44013</v>
      </c>
      <c r="B2435" s="25" t="s">
        <v>127</v>
      </c>
      <c r="C2435" s="25" t="s">
        <v>26</v>
      </c>
      <c r="D2435" s="51">
        <v>1077</v>
      </c>
    </row>
    <row r="2436" spans="1:4" x14ac:dyDescent="0.2">
      <c r="A2436" s="24">
        <v>44013</v>
      </c>
      <c r="B2436" s="25" t="s">
        <v>128</v>
      </c>
      <c r="C2436" s="25" t="s">
        <v>26</v>
      </c>
      <c r="D2436" s="51">
        <v>1003</v>
      </c>
    </row>
    <row r="2437" spans="1:4" x14ac:dyDescent="0.2">
      <c r="A2437" s="24">
        <v>44013</v>
      </c>
      <c r="B2437" s="25" t="s">
        <v>117</v>
      </c>
      <c r="C2437" s="25" t="s">
        <v>142</v>
      </c>
      <c r="D2437" s="51">
        <v>522269</v>
      </c>
    </row>
    <row r="2438" spans="1:4" x14ac:dyDescent="0.2">
      <c r="A2438" s="24">
        <v>44013</v>
      </c>
      <c r="B2438" s="25" t="s">
        <v>137</v>
      </c>
      <c r="C2438" s="25" t="s">
        <v>142</v>
      </c>
      <c r="D2438" s="51">
        <v>139350</v>
      </c>
    </row>
    <row r="2439" spans="1:4" x14ac:dyDescent="0.2">
      <c r="A2439" s="24">
        <v>44013</v>
      </c>
      <c r="B2439" s="25" t="s">
        <v>118</v>
      </c>
      <c r="C2439" s="25" t="s">
        <v>142</v>
      </c>
      <c r="D2439" s="51">
        <v>89378</v>
      </c>
    </row>
    <row r="2440" spans="1:4" x14ac:dyDescent="0.2">
      <c r="A2440" s="24">
        <v>44013</v>
      </c>
      <c r="B2440" s="25" t="s">
        <v>119</v>
      </c>
      <c r="C2440" s="25" t="s">
        <v>142</v>
      </c>
      <c r="D2440" s="51">
        <v>72925</v>
      </c>
    </row>
    <row r="2441" spans="1:4" x14ac:dyDescent="0.2">
      <c r="A2441" s="24">
        <v>44013</v>
      </c>
      <c r="B2441" s="25" t="s">
        <v>139</v>
      </c>
      <c r="C2441" s="25" t="s">
        <v>142</v>
      </c>
      <c r="D2441" s="51">
        <v>4</v>
      </c>
    </row>
    <row r="2442" spans="1:4" x14ac:dyDescent="0.2">
      <c r="A2442" s="24">
        <v>44013</v>
      </c>
      <c r="B2442" s="25" t="s">
        <v>120</v>
      </c>
      <c r="C2442" s="25" t="s">
        <v>142</v>
      </c>
      <c r="D2442" s="51">
        <v>6046</v>
      </c>
    </row>
    <row r="2443" spans="1:4" x14ac:dyDescent="0.2">
      <c r="A2443" s="24">
        <v>44013</v>
      </c>
      <c r="B2443" s="25" t="s">
        <v>121</v>
      </c>
      <c r="C2443" s="25" t="s">
        <v>142</v>
      </c>
      <c r="D2443" s="51">
        <v>826</v>
      </c>
    </row>
    <row r="2444" spans="1:4" x14ac:dyDescent="0.2">
      <c r="A2444" s="24">
        <v>44013</v>
      </c>
      <c r="B2444" s="25" t="s">
        <v>122</v>
      </c>
      <c r="C2444" s="25" t="s">
        <v>142</v>
      </c>
      <c r="D2444" s="51">
        <v>48768</v>
      </c>
    </row>
    <row r="2445" spans="1:4" x14ac:dyDescent="0.2">
      <c r="A2445" s="24">
        <v>44013</v>
      </c>
      <c r="B2445" s="25" t="s">
        <v>123</v>
      </c>
      <c r="C2445" s="25" t="s">
        <v>142</v>
      </c>
      <c r="D2445" s="51">
        <v>58530</v>
      </c>
    </row>
    <row r="2446" spans="1:4" x14ac:dyDescent="0.2">
      <c r="A2446" s="24">
        <v>44013</v>
      </c>
      <c r="B2446" s="25" t="s">
        <v>129</v>
      </c>
      <c r="C2446" s="25" t="s">
        <v>142</v>
      </c>
      <c r="D2446" s="51">
        <v>2016</v>
      </c>
    </row>
    <row r="2447" spans="1:4" x14ac:dyDescent="0.2">
      <c r="A2447" s="24">
        <v>44013</v>
      </c>
      <c r="B2447" s="25" t="s">
        <v>130</v>
      </c>
      <c r="C2447" s="25" t="s">
        <v>142</v>
      </c>
      <c r="D2447" s="51">
        <v>3662</v>
      </c>
    </row>
    <row r="2448" spans="1:4" x14ac:dyDescent="0.2">
      <c r="A2448" s="24">
        <v>44013</v>
      </c>
      <c r="B2448" s="25" t="s">
        <v>117</v>
      </c>
      <c r="C2448" s="25" t="s">
        <v>2</v>
      </c>
      <c r="D2448" s="51">
        <v>9499639</v>
      </c>
    </row>
    <row r="2449" spans="1:4" x14ac:dyDescent="0.2">
      <c r="A2449" s="24">
        <v>44013</v>
      </c>
      <c r="B2449" s="25" t="s">
        <v>137</v>
      </c>
      <c r="C2449" s="25" t="s">
        <v>2</v>
      </c>
      <c r="D2449" s="51">
        <v>2292077</v>
      </c>
    </row>
    <row r="2450" spans="1:4" x14ac:dyDescent="0.2">
      <c r="A2450" s="24">
        <v>44013</v>
      </c>
      <c r="B2450" s="25" t="s">
        <v>118</v>
      </c>
      <c r="C2450" s="25" t="s">
        <v>2</v>
      </c>
      <c r="D2450" s="51">
        <v>643641</v>
      </c>
    </row>
    <row r="2451" spans="1:4" x14ac:dyDescent="0.2">
      <c r="A2451" s="24">
        <v>44013</v>
      </c>
      <c r="B2451" s="25" t="s">
        <v>119</v>
      </c>
      <c r="C2451" s="25" t="s">
        <v>2</v>
      </c>
      <c r="D2451" s="51">
        <v>722855</v>
      </c>
    </row>
    <row r="2452" spans="1:4" x14ac:dyDescent="0.2">
      <c r="A2452" s="24">
        <v>44013</v>
      </c>
      <c r="B2452" s="25" t="s">
        <v>138</v>
      </c>
      <c r="C2452" s="25" t="s">
        <v>2</v>
      </c>
      <c r="D2452" s="51">
        <v>47</v>
      </c>
    </row>
    <row r="2453" spans="1:4" x14ac:dyDescent="0.2">
      <c r="A2453" s="24">
        <v>44013</v>
      </c>
      <c r="B2453" s="25" t="s">
        <v>139</v>
      </c>
      <c r="C2453" s="25" t="s">
        <v>2</v>
      </c>
      <c r="D2453" s="51">
        <v>579</v>
      </c>
    </row>
    <row r="2454" spans="1:4" x14ac:dyDescent="0.2">
      <c r="A2454" s="24">
        <v>44013</v>
      </c>
      <c r="B2454" s="25" t="s">
        <v>120</v>
      </c>
      <c r="C2454" s="25" t="s">
        <v>2</v>
      </c>
      <c r="D2454" s="51">
        <v>216720</v>
      </c>
    </row>
    <row r="2455" spans="1:4" x14ac:dyDescent="0.2">
      <c r="A2455" s="24">
        <v>44013</v>
      </c>
      <c r="B2455" s="25" t="s">
        <v>121</v>
      </c>
      <c r="C2455" s="25" t="s">
        <v>2</v>
      </c>
      <c r="D2455" s="51">
        <v>16171</v>
      </c>
    </row>
    <row r="2456" spans="1:4" x14ac:dyDescent="0.2">
      <c r="A2456" s="24">
        <v>44013</v>
      </c>
      <c r="B2456" s="25" t="s">
        <v>122</v>
      </c>
      <c r="C2456" s="25" t="s">
        <v>2</v>
      </c>
      <c r="D2456" s="51">
        <v>519597</v>
      </c>
    </row>
    <row r="2457" spans="1:4" x14ac:dyDescent="0.2">
      <c r="A2457" s="24">
        <v>44013</v>
      </c>
      <c r="B2457" s="25" t="s">
        <v>123</v>
      </c>
      <c r="C2457" s="25" t="s">
        <v>2</v>
      </c>
      <c r="D2457" s="51">
        <v>1466814</v>
      </c>
    </row>
    <row r="2458" spans="1:4" x14ac:dyDescent="0.2">
      <c r="A2458" s="24">
        <v>44013</v>
      </c>
      <c r="B2458" s="25" t="s">
        <v>129</v>
      </c>
      <c r="C2458" s="25" t="s">
        <v>2</v>
      </c>
      <c r="D2458" s="51">
        <v>39724</v>
      </c>
    </row>
    <row r="2459" spans="1:4" x14ac:dyDescent="0.2">
      <c r="A2459" s="24">
        <v>44013</v>
      </c>
      <c r="B2459" s="25" t="s">
        <v>130</v>
      </c>
      <c r="C2459" s="25" t="s">
        <v>2</v>
      </c>
      <c r="D2459" s="51">
        <v>29040</v>
      </c>
    </row>
    <row r="2460" spans="1:4" x14ac:dyDescent="0.2">
      <c r="A2460" s="24">
        <v>44044</v>
      </c>
      <c r="B2460" s="25" t="s">
        <v>117</v>
      </c>
      <c r="C2460" s="25" t="s">
        <v>4</v>
      </c>
      <c r="D2460" s="51">
        <v>5609631</v>
      </c>
    </row>
    <row r="2461" spans="1:4" x14ac:dyDescent="0.2">
      <c r="A2461" s="24">
        <v>44044</v>
      </c>
      <c r="B2461" s="25" t="s">
        <v>131</v>
      </c>
      <c r="C2461" s="25" t="s">
        <v>4</v>
      </c>
      <c r="D2461" s="51">
        <v>114</v>
      </c>
    </row>
    <row r="2462" spans="1:4" x14ac:dyDescent="0.2">
      <c r="A2462" s="24">
        <v>44044</v>
      </c>
      <c r="B2462" s="25" t="s">
        <v>132</v>
      </c>
      <c r="C2462" s="25" t="s">
        <v>4</v>
      </c>
      <c r="D2462" s="51">
        <v>41</v>
      </c>
    </row>
    <row r="2463" spans="1:4" x14ac:dyDescent="0.2">
      <c r="A2463" s="24">
        <v>44044</v>
      </c>
      <c r="B2463" s="25" t="s">
        <v>133</v>
      </c>
      <c r="C2463" s="25" t="s">
        <v>4</v>
      </c>
      <c r="D2463" s="51">
        <v>22</v>
      </c>
    </row>
    <row r="2464" spans="1:4" x14ac:dyDescent="0.2">
      <c r="A2464" s="24">
        <v>44044</v>
      </c>
      <c r="B2464" s="25" t="s">
        <v>137</v>
      </c>
      <c r="C2464" s="25" t="s">
        <v>4</v>
      </c>
      <c r="D2464" s="51">
        <v>1939712</v>
      </c>
    </row>
    <row r="2465" spans="1:4" x14ac:dyDescent="0.2">
      <c r="A2465" s="24">
        <v>44044</v>
      </c>
      <c r="B2465" s="25" t="s">
        <v>118</v>
      </c>
      <c r="C2465" s="25" t="s">
        <v>4</v>
      </c>
      <c r="D2465" s="51">
        <v>628201</v>
      </c>
    </row>
    <row r="2466" spans="1:4" x14ac:dyDescent="0.2">
      <c r="A2466" s="24">
        <v>44044</v>
      </c>
      <c r="B2466" s="25" t="s">
        <v>134</v>
      </c>
      <c r="C2466" s="25" t="s">
        <v>4</v>
      </c>
      <c r="D2466" s="51">
        <v>9</v>
      </c>
    </row>
    <row r="2467" spans="1:4" x14ac:dyDescent="0.2">
      <c r="A2467" s="24">
        <v>44044</v>
      </c>
      <c r="B2467" s="25" t="s">
        <v>135</v>
      </c>
      <c r="C2467" s="25" t="s">
        <v>4</v>
      </c>
      <c r="D2467" s="51">
        <v>7</v>
      </c>
    </row>
    <row r="2468" spans="1:4" x14ac:dyDescent="0.2">
      <c r="A2468" s="24">
        <v>44044</v>
      </c>
      <c r="B2468" s="25" t="s">
        <v>136</v>
      </c>
      <c r="C2468" s="25" t="s">
        <v>4</v>
      </c>
      <c r="D2468" s="51">
        <v>5</v>
      </c>
    </row>
    <row r="2469" spans="1:4" x14ac:dyDescent="0.2">
      <c r="A2469" s="24">
        <v>44044</v>
      </c>
      <c r="B2469" s="25" t="s">
        <v>119</v>
      </c>
      <c r="C2469" s="25" t="s">
        <v>4</v>
      </c>
      <c r="D2469" s="51">
        <v>622654</v>
      </c>
    </row>
    <row r="2470" spans="1:4" x14ac:dyDescent="0.2">
      <c r="A2470" s="24">
        <v>44044</v>
      </c>
      <c r="B2470" s="25" t="s">
        <v>138</v>
      </c>
      <c r="C2470" s="25" t="s">
        <v>4</v>
      </c>
      <c r="D2470" s="51">
        <v>1</v>
      </c>
    </row>
    <row r="2471" spans="1:4" x14ac:dyDescent="0.2">
      <c r="A2471" s="24">
        <v>44044</v>
      </c>
      <c r="B2471" s="25" t="s">
        <v>139</v>
      </c>
      <c r="C2471" s="25" t="s">
        <v>4</v>
      </c>
      <c r="D2471" s="51">
        <v>422</v>
      </c>
    </row>
    <row r="2472" spans="1:4" x14ac:dyDescent="0.2">
      <c r="A2472" s="24">
        <v>44044</v>
      </c>
      <c r="B2472" s="25" t="s">
        <v>120</v>
      </c>
      <c r="C2472" s="25" t="s">
        <v>4</v>
      </c>
      <c r="D2472" s="51">
        <v>51775</v>
      </c>
    </row>
    <row r="2473" spans="1:4" x14ac:dyDescent="0.2">
      <c r="A2473" s="24">
        <v>44044</v>
      </c>
      <c r="B2473" s="25" t="s">
        <v>121</v>
      </c>
      <c r="C2473" s="25" t="s">
        <v>4</v>
      </c>
      <c r="D2473" s="51">
        <v>22685</v>
      </c>
    </row>
    <row r="2474" spans="1:4" x14ac:dyDescent="0.2">
      <c r="A2474" s="24">
        <v>44044</v>
      </c>
      <c r="B2474" s="25" t="s">
        <v>140</v>
      </c>
      <c r="C2474" s="25" t="s">
        <v>4</v>
      </c>
      <c r="D2474" s="51">
        <v>14999</v>
      </c>
    </row>
    <row r="2475" spans="1:4" x14ac:dyDescent="0.2">
      <c r="A2475" s="24">
        <v>44044</v>
      </c>
      <c r="B2475" s="25" t="s">
        <v>122</v>
      </c>
      <c r="C2475" s="25" t="s">
        <v>4</v>
      </c>
      <c r="D2475" s="51">
        <v>1806836</v>
      </c>
    </row>
    <row r="2476" spans="1:4" x14ac:dyDescent="0.2">
      <c r="A2476" s="24">
        <v>44044</v>
      </c>
      <c r="B2476" s="25" t="s">
        <v>123</v>
      </c>
      <c r="C2476" s="25" t="s">
        <v>4</v>
      </c>
      <c r="D2476" s="51">
        <v>2410075</v>
      </c>
    </row>
    <row r="2477" spans="1:4" x14ac:dyDescent="0.2">
      <c r="A2477" s="24">
        <v>44044</v>
      </c>
      <c r="B2477" s="25" t="s">
        <v>117</v>
      </c>
      <c r="C2477" s="25" t="s">
        <v>8</v>
      </c>
      <c r="D2477" s="51">
        <v>170746</v>
      </c>
    </row>
    <row r="2478" spans="1:4" x14ac:dyDescent="0.2">
      <c r="A2478" s="24">
        <v>44044</v>
      </c>
      <c r="B2478" s="25" t="s">
        <v>137</v>
      </c>
      <c r="C2478" s="25" t="s">
        <v>8</v>
      </c>
      <c r="D2478" s="51">
        <v>90937</v>
      </c>
    </row>
    <row r="2479" spans="1:4" x14ac:dyDescent="0.2">
      <c r="A2479" s="24">
        <v>44044</v>
      </c>
      <c r="B2479" s="25" t="s">
        <v>118</v>
      </c>
      <c r="C2479" s="25" t="s">
        <v>8</v>
      </c>
      <c r="D2479" s="51">
        <v>16218</v>
      </c>
    </row>
    <row r="2480" spans="1:4" x14ac:dyDescent="0.2">
      <c r="A2480" s="24">
        <v>44044</v>
      </c>
      <c r="B2480" s="25" t="s">
        <v>119</v>
      </c>
      <c r="C2480" s="25" t="s">
        <v>8</v>
      </c>
      <c r="D2480" s="51">
        <v>11428</v>
      </c>
    </row>
    <row r="2481" spans="1:4" x14ac:dyDescent="0.2">
      <c r="A2481" s="24">
        <v>44044</v>
      </c>
      <c r="B2481" s="25" t="s">
        <v>139</v>
      </c>
      <c r="C2481" s="25" t="s">
        <v>8</v>
      </c>
      <c r="D2481" s="51">
        <v>1</v>
      </c>
    </row>
    <row r="2482" spans="1:4" x14ac:dyDescent="0.2">
      <c r="A2482" s="24">
        <v>44044</v>
      </c>
      <c r="B2482" s="25" t="s">
        <v>120</v>
      </c>
      <c r="C2482" s="25" t="s">
        <v>8</v>
      </c>
      <c r="D2482" s="51">
        <v>2368</v>
      </c>
    </row>
    <row r="2483" spans="1:4" x14ac:dyDescent="0.2">
      <c r="A2483" s="24">
        <v>44044</v>
      </c>
      <c r="B2483" s="25" t="s">
        <v>121</v>
      </c>
      <c r="C2483" s="25" t="s">
        <v>8</v>
      </c>
      <c r="D2483" s="51">
        <v>939</v>
      </c>
    </row>
    <row r="2484" spans="1:4" x14ac:dyDescent="0.2">
      <c r="A2484" s="24">
        <v>44044</v>
      </c>
      <c r="B2484" s="25" t="s">
        <v>122</v>
      </c>
      <c r="C2484" s="25" t="s">
        <v>8</v>
      </c>
      <c r="D2484" s="51">
        <v>5201</v>
      </c>
    </row>
    <row r="2485" spans="1:4" x14ac:dyDescent="0.2">
      <c r="A2485" s="24">
        <v>44044</v>
      </c>
      <c r="B2485" s="25" t="s">
        <v>123</v>
      </c>
      <c r="C2485" s="25" t="s">
        <v>8</v>
      </c>
      <c r="D2485" s="51">
        <v>68959</v>
      </c>
    </row>
    <row r="2486" spans="1:4" x14ac:dyDescent="0.2">
      <c r="A2486" s="24">
        <v>44044</v>
      </c>
      <c r="B2486" s="25" t="s">
        <v>124</v>
      </c>
      <c r="C2486" s="25" t="s">
        <v>8</v>
      </c>
      <c r="D2486" s="51">
        <v>1898</v>
      </c>
    </row>
    <row r="2487" spans="1:4" x14ac:dyDescent="0.2">
      <c r="A2487" s="24">
        <v>44044</v>
      </c>
      <c r="B2487" s="25" t="s">
        <v>125</v>
      </c>
      <c r="C2487" s="25" t="s">
        <v>8</v>
      </c>
      <c r="D2487" s="51">
        <v>1282</v>
      </c>
    </row>
    <row r="2488" spans="1:4" x14ac:dyDescent="0.2">
      <c r="A2488" s="24">
        <v>44044</v>
      </c>
      <c r="B2488" s="25" t="s">
        <v>117</v>
      </c>
      <c r="C2488" s="25" t="s">
        <v>26</v>
      </c>
      <c r="D2488" s="51">
        <v>513778</v>
      </c>
    </row>
    <row r="2489" spans="1:4" x14ac:dyDescent="0.2">
      <c r="A2489" s="24">
        <v>44044</v>
      </c>
      <c r="B2489" s="25" t="s">
        <v>137</v>
      </c>
      <c r="C2489" s="25" t="s">
        <v>26</v>
      </c>
      <c r="D2489" s="51">
        <v>192136</v>
      </c>
    </row>
    <row r="2490" spans="1:4" x14ac:dyDescent="0.2">
      <c r="A2490" s="24">
        <v>44044</v>
      </c>
      <c r="B2490" s="25" t="s">
        <v>118</v>
      </c>
      <c r="C2490" s="25" t="s">
        <v>26</v>
      </c>
      <c r="D2490" s="51">
        <v>27831</v>
      </c>
    </row>
    <row r="2491" spans="1:4" x14ac:dyDescent="0.2">
      <c r="A2491" s="24">
        <v>44044</v>
      </c>
      <c r="B2491" s="25" t="s">
        <v>119</v>
      </c>
      <c r="C2491" s="25" t="s">
        <v>26</v>
      </c>
      <c r="D2491" s="51">
        <v>54331</v>
      </c>
    </row>
    <row r="2492" spans="1:4" x14ac:dyDescent="0.2">
      <c r="A2492" s="24">
        <v>44044</v>
      </c>
      <c r="B2492" s="25" t="s">
        <v>139</v>
      </c>
      <c r="C2492" s="25" t="s">
        <v>26</v>
      </c>
      <c r="D2492" s="51">
        <v>20</v>
      </c>
    </row>
    <row r="2493" spans="1:4" x14ac:dyDescent="0.2">
      <c r="A2493" s="24">
        <v>44044</v>
      </c>
      <c r="B2493" s="25" t="s">
        <v>120</v>
      </c>
      <c r="C2493" s="25" t="s">
        <v>26</v>
      </c>
      <c r="D2493" s="51">
        <v>4067</v>
      </c>
    </row>
    <row r="2494" spans="1:4" x14ac:dyDescent="0.2">
      <c r="A2494" s="24">
        <v>44044</v>
      </c>
      <c r="B2494" s="25" t="s">
        <v>121</v>
      </c>
      <c r="C2494" s="25" t="s">
        <v>26</v>
      </c>
      <c r="D2494" s="51">
        <v>1148</v>
      </c>
    </row>
    <row r="2495" spans="1:4" x14ac:dyDescent="0.2">
      <c r="A2495" s="24">
        <v>44044</v>
      </c>
      <c r="B2495" s="25" t="s">
        <v>122</v>
      </c>
      <c r="C2495" s="25" t="s">
        <v>26</v>
      </c>
      <c r="D2495" s="51">
        <v>39183</v>
      </c>
    </row>
    <row r="2496" spans="1:4" x14ac:dyDescent="0.2">
      <c r="A2496" s="24">
        <v>44044</v>
      </c>
      <c r="B2496" s="25" t="s">
        <v>123</v>
      </c>
      <c r="C2496" s="25" t="s">
        <v>26</v>
      </c>
      <c r="D2496" s="51">
        <v>132272</v>
      </c>
    </row>
    <row r="2497" spans="1:4" x14ac:dyDescent="0.2">
      <c r="A2497" s="24">
        <v>44044</v>
      </c>
      <c r="B2497" s="25" t="s">
        <v>127</v>
      </c>
      <c r="C2497" s="25" t="s">
        <v>26</v>
      </c>
      <c r="D2497" s="51">
        <v>451</v>
      </c>
    </row>
    <row r="2498" spans="1:4" x14ac:dyDescent="0.2">
      <c r="A2498" s="24">
        <v>44044</v>
      </c>
      <c r="B2498" s="25" t="s">
        <v>128</v>
      </c>
      <c r="C2498" s="25" t="s">
        <v>26</v>
      </c>
      <c r="D2498" s="51">
        <v>251</v>
      </c>
    </row>
    <row r="2499" spans="1:4" x14ac:dyDescent="0.2">
      <c r="A2499" s="24">
        <v>44044</v>
      </c>
      <c r="B2499" s="25" t="s">
        <v>117</v>
      </c>
      <c r="C2499" s="25" t="s">
        <v>142</v>
      </c>
      <c r="D2499" s="51">
        <v>503923</v>
      </c>
    </row>
    <row r="2500" spans="1:4" x14ac:dyDescent="0.2">
      <c r="A2500" s="24">
        <v>44044</v>
      </c>
      <c r="B2500" s="25" t="s">
        <v>137</v>
      </c>
      <c r="C2500" s="25" t="s">
        <v>142</v>
      </c>
      <c r="D2500" s="51">
        <v>148270</v>
      </c>
    </row>
    <row r="2501" spans="1:4" x14ac:dyDescent="0.2">
      <c r="A2501" s="24">
        <v>44044</v>
      </c>
      <c r="B2501" s="25" t="s">
        <v>118</v>
      </c>
      <c r="C2501" s="25" t="s">
        <v>142</v>
      </c>
      <c r="D2501" s="51">
        <v>47188</v>
      </c>
    </row>
    <row r="2502" spans="1:4" x14ac:dyDescent="0.2">
      <c r="A2502" s="24">
        <v>44044</v>
      </c>
      <c r="B2502" s="25" t="s">
        <v>119</v>
      </c>
      <c r="C2502" s="25" t="s">
        <v>142</v>
      </c>
      <c r="D2502" s="51">
        <v>104706</v>
      </c>
    </row>
    <row r="2503" spans="1:4" x14ac:dyDescent="0.2">
      <c r="A2503" s="24">
        <v>44044</v>
      </c>
      <c r="B2503" s="25" t="s">
        <v>139</v>
      </c>
      <c r="C2503" s="25" t="s">
        <v>142</v>
      </c>
      <c r="D2503" s="51">
        <v>5</v>
      </c>
    </row>
    <row r="2504" spans="1:4" x14ac:dyDescent="0.2">
      <c r="A2504" s="24">
        <v>44044</v>
      </c>
      <c r="B2504" s="25" t="s">
        <v>120</v>
      </c>
      <c r="C2504" s="25" t="s">
        <v>142</v>
      </c>
      <c r="D2504" s="51">
        <v>5770</v>
      </c>
    </row>
    <row r="2505" spans="1:4" x14ac:dyDescent="0.2">
      <c r="A2505" s="24">
        <v>44044</v>
      </c>
      <c r="B2505" s="25" t="s">
        <v>121</v>
      </c>
      <c r="C2505" s="25" t="s">
        <v>142</v>
      </c>
      <c r="D2505" s="51">
        <v>844</v>
      </c>
    </row>
    <row r="2506" spans="1:4" x14ac:dyDescent="0.2">
      <c r="A2506" s="24">
        <v>44044</v>
      </c>
      <c r="B2506" s="25" t="s">
        <v>122</v>
      </c>
      <c r="C2506" s="25" t="s">
        <v>142</v>
      </c>
      <c r="D2506" s="51">
        <v>80446</v>
      </c>
    </row>
    <row r="2507" spans="1:4" x14ac:dyDescent="0.2">
      <c r="A2507" s="24">
        <v>44044</v>
      </c>
      <c r="B2507" s="25" t="s">
        <v>123</v>
      </c>
      <c r="C2507" s="25" t="s">
        <v>142</v>
      </c>
      <c r="D2507" s="51">
        <v>53995</v>
      </c>
    </row>
    <row r="2508" spans="1:4" x14ac:dyDescent="0.2">
      <c r="A2508" s="24">
        <v>44044</v>
      </c>
      <c r="B2508" s="25" t="s">
        <v>129</v>
      </c>
      <c r="C2508" s="25" t="s">
        <v>142</v>
      </c>
      <c r="D2508" s="51">
        <v>1613</v>
      </c>
    </row>
    <row r="2509" spans="1:4" x14ac:dyDescent="0.2">
      <c r="A2509" s="24">
        <v>44044</v>
      </c>
      <c r="B2509" s="25" t="s">
        <v>130</v>
      </c>
      <c r="C2509" s="25" t="s">
        <v>142</v>
      </c>
      <c r="D2509" s="51">
        <v>2142</v>
      </c>
    </row>
    <row r="2510" spans="1:4" x14ac:dyDescent="0.2">
      <c r="A2510" s="24">
        <v>44044</v>
      </c>
      <c r="B2510" s="25" t="s">
        <v>117</v>
      </c>
      <c r="C2510" s="25" t="s">
        <v>2</v>
      </c>
      <c r="D2510" s="51">
        <v>8635155</v>
      </c>
    </row>
    <row r="2511" spans="1:4" x14ac:dyDescent="0.2">
      <c r="A2511" s="24">
        <v>44044</v>
      </c>
      <c r="B2511" s="25" t="s">
        <v>137</v>
      </c>
      <c r="C2511" s="25" t="s">
        <v>2</v>
      </c>
      <c r="D2511" s="51">
        <v>2128878</v>
      </c>
    </row>
    <row r="2512" spans="1:4" x14ac:dyDescent="0.2">
      <c r="A2512" s="24">
        <v>44044</v>
      </c>
      <c r="B2512" s="25" t="s">
        <v>118</v>
      </c>
      <c r="C2512" s="25" t="s">
        <v>2</v>
      </c>
      <c r="D2512" s="51">
        <v>376987</v>
      </c>
    </row>
    <row r="2513" spans="1:4" x14ac:dyDescent="0.2">
      <c r="A2513" s="24">
        <v>44044</v>
      </c>
      <c r="B2513" s="25" t="s">
        <v>119</v>
      </c>
      <c r="C2513" s="25" t="s">
        <v>2</v>
      </c>
      <c r="D2513" s="51">
        <v>756263</v>
      </c>
    </row>
    <row r="2514" spans="1:4" x14ac:dyDescent="0.2">
      <c r="A2514" s="24">
        <v>44044</v>
      </c>
      <c r="B2514" s="25" t="s">
        <v>138</v>
      </c>
      <c r="C2514" s="25" t="s">
        <v>2</v>
      </c>
      <c r="D2514" s="51">
        <v>7</v>
      </c>
    </row>
    <row r="2515" spans="1:4" x14ac:dyDescent="0.2">
      <c r="A2515" s="24">
        <v>44044</v>
      </c>
      <c r="B2515" s="25" t="s">
        <v>139</v>
      </c>
      <c r="C2515" s="25" t="s">
        <v>2</v>
      </c>
      <c r="D2515" s="51">
        <v>514</v>
      </c>
    </row>
    <row r="2516" spans="1:4" x14ac:dyDescent="0.2">
      <c r="A2516" s="24">
        <v>44044</v>
      </c>
      <c r="B2516" s="25" t="s">
        <v>120</v>
      </c>
      <c r="C2516" s="25" t="s">
        <v>2</v>
      </c>
      <c r="D2516" s="51">
        <v>203844</v>
      </c>
    </row>
    <row r="2517" spans="1:4" x14ac:dyDescent="0.2">
      <c r="A2517" s="24">
        <v>44044</v>
      </c>
      <c r="B2517" s="25" t="s">
        <v>121</v>
      </c>
      <c r="C2517" s="25" t="s">
        <v>2</v>
      </c>
      <c r="D2517" s="51">
        <v>15100</v>
      </c>
    </row>
    <row r="2518" spans="1:4" x14ac:dyDescent="0.2">
      <c r="A2518" s="24">
        <v>44044</v>
      </c>
      <c r="B2518" s="25" t="s">
        <v>122</v>
      </c>
      <c r="C2518" s="25" t="s">
        <v>2</v>
      </c>
      <c r="D2518" s="51">
        <v>891939</v>
      </c>
    </row>
    <row r="2519" spans="1:4" x14ac:dyDescent="0.2">
      <c r="A2519" s="24">
        <v>44044</v>
      </c>
      <c r="B2519" s="25" t="s">
        <v>123</v>
      </c>
      <c r="C2519" s="25" t="s">
        <v>2</v>
      </c>
      <c r="D2519" s="51">
        <v>1333085</v>
      </c>
    </row>
    <row r="2520" spans="1:4" x14ac:dyDescent="0.2">
      <c r="A2520" s="24">
        <v>44044</v>
      </c>
      <c r="B2520" s="25" t="s">
        <v>129</v>
      </c>
      <c r="C2520" s="25" t="s">
        <v>2</v>
      </c>
      <c r="D2520" s="51">
        <v>26791</v>
      </c>
    </row>
    <row r="2521" spans="1:4" x14ac:dyDescent="0.2">
      <c r="A2521" s="24">
        <v>44044</v>
      </c>
      <c r="B2521" s="25" t="s">
        <v>130</v>
      </c>
      <c r="C2521" s="25" t="s">
        <v>2</v>
      </c>
      <c r="D2521" s="51">
        <v>16736</v>
      </c>
    </row>
    <row r="2522" spans="1:4" x14ac:dyDescent="0.2">
      <c r="A2522" s="24">
        <v>44075</v>
      </c>
      <c r="B2522" s="25" t="s">
        <v>117</v>
      </c>
      <c r="C2522" s="25" t="s">
        <v>4</v>
      </c>
      <c r="D2522" s="51">
        <v>5844392</v>
      </c>
    </row>
    <row r="2523" spans="1:4" x14ac:dyDescent="0.2">
      <c r="A2523" s="24">
        <v>44075</v>
      </c>
      <c r="B2523" s="25" t="s">
        <v>131</v>
      </c>
      <c r="C2523" s="25" t="s">
        <v>4</v>
      </c>
      <c r="D2523" s="51">
        <v>76</v>
      </c>
    </row>
    <row r="2524" spans="1:4" x14ac:dyDescent="0.2">
      <c r="A2524" s="24">
        <v>44075</v>
      </c>
      <c r="B2524" s="25" t="s">
        <v>132</v>
      </c>
      <c r="C2524" s="25" t="s">
        <v>4</v>
      </c>
      <c r="D2524" s="51">
        <v>36</v>
      </c>
    </row>
    <row r="2525" spans="1:4" x14ac:dyDescent="0.2">
      <c r="A2525" s="24">
        <v>44075</v>
      </c>
      <c r="B2525" s="25" t="s">
        <v>133</v>
      </c>
      <c r="C2525" s="25" t="s">
        <v>4</v>
      </c>
      <c r="D2525" s="51">
        <v>24</v>
      </c>
    </row>
    <row r="2526" spans="1:4" x14ac:dyDescent="0.2">
      <c r="A2526" s="24">
        <v>44075</v>
      </c>
      <c r="B2526" s="25" t="s">
        <v>137</v>
      </c>
      <c r="C2526" s="25" t="s">
        <v>4</v>
      </c>
      <c r="D2526" s="51">
        <v>2131509</v>
      </c>
    </row>
    <row r="2527" spans="1:4" x14ac:dyDescent="0.2">
      <c r="A2527" s="24">
        <v>44075</v>
      </c>
      <c r="B2527" s="25" t="s">
        <v>118</v>
      </c>
      <c r="C2527" s="25" t="s">
        <v>4</v>
      </c>
      <c r="D2527" s="51">
        <v>715957</v>
      </c>
    </row>
    <row r="2528" spans="1:4" x14ac:dyDescent="0.2">
      <c r="A2528" s="24">
        <v>44075</v>
      </c>
      <c r="B2528" s="25" t="s">
        <v>134</v>
      </c>
      <c r="C2528" s="25" t="s">
        <v>4</v>
      </c>
      <c r="D2528" s="51">
        <v>5</v>
      </c>
    </row>
    <row r="2529" spans="1:4" x14ac:dyDescent="0.2">
      <c r="A2529" s="24">
        <v>44075</v>
      </c>
      <c r="B2529" s="25" t="s">
        <v>135</v>
      </c>
      <c r="C2529" s="25" t="s">
        <v>4</v>
      </c>
      <c r="D2529" s="51">
        <v>1</v>
      </c>
    </row>
    <row r="2530" spans="1:4" x14ac:dyDescent="0.2">
      <c r="A2530" s="24">
        <v>44075</v>
      </c>
      <c r="B2530" s="25" t="s">
        <v>136</v>
      </c>
      <c r="C2530" s="25" t="s">
        <v>4</v>
      </c>
      <c r="D2530" s="51">
        <v>5</v>
      </c>
    </row>
    <row r="2531" spans="1:4" x14ac:dyDescent="0.2">
      <c r="A2531" s="24">
        <v>44075</v>
      </c>
      <c r="B2531" s="25" t="s">
        <v>119</v>
      </c>
      <c r="C2531" s="25" t="s">
        <v>4</v>
      </c>
      <c r="D2531" s="51">
        <v>674595</v>
      </c>
    </row>
    <row r="2532" spans="1:4" x14ac:dyDescent="0.2">
      <c r="A2532" s="24">
        <v>44075</v>
      </c>
      <c r="B2532" s="25" t="s">
        <v>138</v>
      </c>
      <c r="C2532" s="25" t="s">
        <v>4</v>
      </c>
      <c r="D2532" s="51">
        <v>1</v>
      </c>
    </row>
    <row r="2533" spans="1:4" x14ac:dyDescent="0.2">
      <c r="A2533" s="24">
        <v>44075</v>
      </c>
      <c r="B2533" s="25" t="s">
        <v>139</v>
      </c>
      <c r="C2533" s="25" t="s">
        <v>4</v>
      </c>
      <c r="D2533" s="51">
        <v>436</v>
      </c>
    </row>
    <row r="2534" spans="1:4" x14ac:dyDescent="0.2">
      <c r="A2534" s="24">
        <v>44075</v>
      </c>
      <c r="B2534" s="25" t="s">
        <v>120</v>
      </c>
      <c r="C2534" s="25" t="s">
        <v>4</v>
      </c>
      <c r="D2534" s="51">
        <v>53927</v>
      </c>
    </row>
    <row r="2535" spans="1:4" x14ac:dyDescent="0.2">
      <c r="A2535" s="24">
        <v>44075</v>
      </c>
      <c r="B2535" s="25" t="s">
        <v>121</v>
      </c>
      <c r="C2535" s="25" t="s">
        <v>4</v>
      </c>
      <c r="D2535" s="51">
        <v>23695</v>
      </c>
    </row>
    <row r="2536" spans="1:4" x14ac:dyDescent="0.2">
      <c r="A2536" s="24">
        <v>44075</v>
      </c>
      <c r="B2536" s="25" t="s">
        <v>140</v>
      </c>
      <c r="C2536" s="25" t="s">
        <v>4</v>
      </c>
      <c r="D2536" s="51">
        <v>16714</v>
      </c>
    </row>
    <row r="2537" spans="1:4" x14ac:dyDescent="0.2">
      <c r="A2537" s="24">
        <v>44075</v>
      </c>
      <c r="B2537" s="25" t="s">
        <v>122</v>
      </c>
      <c r="C2537" s="25" t="s">
        <v>4</v>
      </c>
      <c r="D2537" s="51">
        <v>1625421</v>
      </c>
    </row>
    <row r="2538" spans="1:4" x14ac:dyDescent="0.2">
      <c r="A2538" s="24">
        <v>44075</v>
      </c>
      <c r="B2538" s="25" t="s">
        <v>123</v>
      </c>
      <c r="C2538" s="25" t="s">
        <v>4</v>
      </c>
      <c r="D2538" s="51">
        <v>2603832</v>
      </c>
    </row>
    <row r="2539" spans="1:4" x14ac:dyDescent="0.2">
      <c r="A2539" s="24">
        <v>44075</v>
      </c>
      <c r="B2539" s="25" t="s">
        <v>117</v>
      </c>
      <c r="C2539" s="25" t="s">
        <v>8</v>
      </c>
      <c r="D2539" s="51">
        <v>192004</v>
      </c>
    </row>
    <row r="2540" spans="1:4" x14ac:dyDescent="0.2">
      <c r="A2540" s="24">
        <v>44075</v>
      </c>
      <c r="B2540" s="25" t="s">
        <v>137</v>
      </c>
      <c r="C2540" s="25" t="s">
        <v>8</v>
      </c>
      <c r="D2540" s="51">
        <v>104920</v>
      </c>
    </row>
    <row r="2541" spans="1:4" x14ac:dyDescent="0.2">
      <c r="A2541" s="24">
        <v>44075</v>
      </c>
      <c r="B2541" s="25" t="s">
        <v>118</v>
      </c>
      <c r="C2541" s="25" t="s">
        <v>8</v>
      </c>
      <c r="D2541" s="51">
        <v>28018</v>
      </c>
    </row>
    <row r="2542" spans="1:4" x14ac:dyDescent="0.2">
      <c r="A2542" s="24">
        <v>44075</v>
      </c>
      <c r="B2542" s="25" t="s">
        <v>119</v>
      </c>
      <c r="C2542" s="25" t="s">
        <v>8</v>
      </c>
      <c r="D2542" s="51">
        <v>12944</v>
      </c>
    </row>
    <row r="2543" spans="1:4" x14ac:dyDescent="0.2">
      <c r="A2543" s="24">
        <v>44075</v>
      </c>
      <c r="B2543" s="25" t="s">
        <v>139</v>
      </c>
      <c r="C2543" s="25" t="s">
        <v>8</v>
      </c>
      <c r="D2543" s="51">
        <v>4</v>
      </c>
    </row>
    <row r="2544" spans="1:4" x14ac:dyDescent="0.2">
      <c r="A2544" s="24">
        <v>44075</v>
      </c>
      <c r="B2544" s="25" t="s">
        <v>120</v>
      </c>
      <c r="C2544" s="25" t="s">
        <v>8</v>
      </c>
      <c r="D2544" s="51">
        <v>3019</v>
      </c>
    </row>
    <row r="2545" spans="1:4" x14ac:dyDescent="0.2">
      <c r="A2545" s="24">
        <v>44075</v>
      </c>
      <c r="B2545" s="25" t="s">
        <v>121</v>
      </c>
      <c r="C2545" s="25" t="s">
        <v>8</v>
      </c>
      <c r="D2545" s="51">
        <v>1163</v>
      </c>
    </row>
    <row r="2546" spans="1:4" x14ac:dyDescent="0.2">
      <c r="A2546" s="24">
        <v>44075</v>
      </c>
      <c r="B2546" s="25" t="s">
        <v>122</v>
      </c>
      <c r="C2546" s="25" t="s">
        <v>8</v>
      </c>
      <c r="D2546" s="51">
        <v>5788</v>
      </c>
    </row>
    <row r="2547" spans="1:4" x14ac:dyDescent="0.2">
      <c r="A2547" s="24">
        <v>44075</v>
      </c>
      <c r="B2547" s="25" t="s">
        <v>123</v>
      </c>
      <c r="C2547" s="25" t="s">
        <v>8</v>
      </c>
      <c r="D2547" s="51">
        <v>89053</v>
      </c>
    </row>
    <row r="2548" spans="1:4" x14ac:dyDescent="0.2">
      <c r="A2548" s="24">
        <v>44075</v>
      </c>
      <c r="B2548" s="25" t="s">
        <v>124</v>
      </c>
      <c r="C2548" s="25" t="s">
        <v>8</v>
      </c>
      <c r="D2548" s="51">
        <v>2772</v>
      </c>
    </row>
    <row r="2549" spans="1:4" x14ac:dyDescent="0.2">
      <c r="A2549" s="24">
        <v>44075</v>
      </c>
      <c r="B2549" s="25" t="s">
        <v>125</v>
      </c>
      <c r="C2549" s="25" t="s">
        <v>8</v>
      </c>
      <c r="D2549" s="51">
        <v>2306</v>
      </c>
    </row>
    <row r="2550" spans="1:4" x14ac:dyDescent="0.2">
      <c r="A2550" s="24">
        <v>44075</v>
      </c>
      <c r="B2550" s="25" t="s">
        <v>117</v>
      </c>
      <c r="C2550" s="25" t="s">
        <v>26</v>
      </c>
      <c r="D2550" s="51">
        <v>539264</v>
      </c>
    </row>
    <row r="2551" spans="1:4" x14ac:dyDescent="0.2">
      <c r="A2551" s="24">
        <v>44075</v>
      </c>
      <c r="B2551" s="25" t="s">
        <v>137</v>
      </c>
      <c r="C2551" s="25" t="s">
        <v>26</v>
      </c>
      <c r="D2551" s="51">
        <v>214718</v>
      </c>
    </row>
    <row r="2552" spans="1:4" x14ac:dyDescent="0.2">
      <c r="A2552" s="24">
        <v>44075</v>
      </c>
      <c r="B2552" s="25" t="s">
        <v>118</v>
      </c>
      <c r="C2552" s="25" t="s">
        <v>26</v>
      </c>
      <c r="D2552" s="51">
        <v>36925</v>
      </c>
    </row>
    <row r="2553" spans="1:4" x14ac:dyDescent="0.2">
      <c r="A2553" s="24">
        <v>44075</v>
      </c>
      <c r="B2553" s="25" t="s">
        <v>119</v>
      </c>
      <c r="C2553" s="25" t="s">
        <v>26</v>
      </c>
      <c r="D2553" s="51">
        <v>68439</v>
      </c>
    </row>
    <row r="2554" spans="1:4" x14ac:dyDescent="0.2">
      <c r="A2554" s="24">
        <v>44075</v>
      </c>
      <c r="B2554" s="25" t="s">
        <v>139</v>
      </c>
      <c r="C2554" s="25" t="s">
        <v>26</v>
      </c>
      <c r="D2554" s="51">
        <v>13</v>
      </c>
    </row>
    <row r="2555" spans="1:4" x14ac:dyDescent="0.2">
      <c r="A2555" s="24">
        <v>44075</v>
      </c>
      <c r="B2555" s="25" t="s">
        <v>120</v>
      </c>
      <c r="C2555" s="25" t="s">
        <v>26</v>
      </c>
      <c r="D2555" s="51">
        <v>4332</v>
      </c>
    </row>
    <row r="2556" spans="1:4" x14ac:dyDescent="0.2">
      <c r="A2556" s="24">
        <v>44075</v>
      </c>
      <c r="B2556" s="25" t="s">
        <v>121</v>
      </c>
      <c r="C2556" s="25" t="s">
        <v>26</v>
      </c>
      <c r="D2556" s="51">
        <v>1379</v>
      </c>
    </row>
    <row r="2557" spans="1:4" x14ac:dyDescent="0.2">
      <c r="A2557" s="24">
        <v>44075</v>
      </c>
      <c r="B2557" s="25" t="s">
        <v>122</v>
      </c>
      <c r="C2557" s="25" t="s">
        <v>26</v>
      </c>
      <c r="D2557" s="51">
        <v>39608</v>
      </c>
    </row>
    <row r="2558" spans="1:4" x14ac:dyDescent="0.2">
      <c r="A2558" s="24">
        <v>44075</v>
      </c>
      <c r="B2558" s="25" t="s">
        <v>123</v>
      </c>
      <c r="C2558" s="25" t="s">
        <v>26</v>
      </c>
      <c r="D2558" s="51">
        <v>153899</v>
      </c>
    </row>
    <row r="2559" spans="1:4" x14ac:dyDescent="0.2">
      <c r="A2559" s="24">
        <v>44075</v>
      </c>
      <c r="B2559" s="25" t="s">
        <v>127</v>
      </c>
      <c r="C2559" s="25" t="s">
        <v>26</v>
      </c>
      <c r="D2559" s="51">
        <v>634</v>
      </c>
    </row>
    <row r="2560" spans="1:4" x14ac:dyDescent="0.2">
      <c r="A2560" s="24">
        <v>44075</v>
      </c>
      <c r="B2560" s="25" t="s">
        <v>128</v>
      </c>
      <c r="C2560" s="25" t="s">
        <v>26</v>
      </c>
      <c r="D2560" s="51">
        <v>394</v>
      </c>
    </row>
    <row r="2561" spans="1:4" x14ac:dyDescent="0.2">
      <c r="A2561" s="24">
        <v>44075</v>
      </c>
      <c r="B2561" s="25" t="s">
        <v>117</v>
      </c>
      <c r="C2561" s="25" t="s">
        <v>142</v>
      </c>
      <c r="D2561" s="51">
        <v>533927</v>
      </c>
    </row>
    <row r="2562" spans="1:4" x14ac:dyDescent="0.2">
      <c r="A2562" s="24">
        <v>44075</v>
      </c>
      <c r="B2562" s="25" t="s">
        <v>137</v>
      </c>
      <c r="C2562" s="25" t="s">
        <v>142</v>
      </c>
      <c r="D2562" s="51">
        <v>159481</v>
      </c>
    </row>
    <row r="2563" spans="1:4" x14ac:dyDescent="0.2">
      <c r="A2563" s="24">
        <v>44075</v>
      </c>
      <c r="B2563" s="25" t="s">
        <v>118</v>
      </c>
      <c r="C2563" s="25" t="s">
        <v>142</v>
      </c>
      <c r="D2563" s="51">
        <v>61501</v>
      </c>
    </row>
    <row r="2564" spans="1:4" x14ac:dyDescent="0.2">
      <c r="A2564" s="24">
        <v>44075</v>
      </c>
      <c r="B2564" s="25" t="s">
        <v>119</v>
      </c>
      <c r="C2564" s="25" t="s">
        <v>142</v>
      </c>
      <c r="D2564" s="51">
        <v>94107</v>
      </c>
    </row>
    <row r="2565" spans="1:4" x14ac:dyDescent="0.2">
      <c r="A2565" s="24">
        <v>44075</v>
      </c>
      <c r="B2565" s="25" t="s">
        <v>139</v>
      </c>
      <c r="C2565" s="25" t="s">
        <v>142</v>
      </c>
      <c r="D2565" s="51">
        <v>6</v>
      </c>
    </row>
    <row r="2566" spans="1:4" x14ac:dyDescent="0.2">
      <c r="A2566" s="24">
        <v>44075</v>
      </c>
      <c r="B2566" s="25" t="s">
        <v>120</v>
      </c>
      <c r="C2566" s="25" t="s">
        <v>142</v>
      </c>
      <c r="D2566" s="51">
        <v>6245</v>
      </c>
    </row>
    <row r="2567" spans="1:4" x14ac:dyDescent="0.2">
      <c r="A2567" s="24">
        <v>44075</v>
      </c>
      <c r="B2567" s="25" t="s">
        <v>121</v>
      </c>
      <c r="C2567" s="25" t="s">
        <v>142</v>
      </c>
      <c r="D2567" s="51">
        <v>878</v>
      </c>
    </row>
    <row r="2568" spans="1:4" x14ac:dyDescent="0.2">
      <c r="A2568" s="24">
        <v>44075</v>
      </c>
      <c r="B2568" s="25" t="s">
        <v>122</v>
      </c>
      <c r="C2568" s="25" t="s">
        <v>142</v>
      </c>
      <c r="D2568" s="51">
        <v>80811</v>
      </c>
    </row>
    <row r="2569" spans="1:4" x14ac:dyDescent="0.2">
      <c r="A2569" s="24">
        <v>44075</v>
      </c>
      <c r="B2569" s="25" t="s">
        <v>123</v>
      </c>
      <c r="C2569" s="25" t="s">
        <v>142</v>
      </c>
      <c r="D2569" s="51">
        <v>62527</v>
      </c>
    </row>
    <row r="2570" spans="1:4" x14ac:dyDescent="0.2">
      <c r="A2570" s="24">
        <v>44075</v>
      </c>
      <c r="B2570" s="25" t="s">
        <v>129</v>
      </c>
      <c r="C2570" s="25" t="s">
        <v>142</v>
      </c>
      <c r="D2570" s="51">
        <v>1676</v>
      </c>
    </row>
    <row r="2571" spans="1:4" x14ac:dyDescent="0.2">
      <c r="A2571" s="24">
        <v>44075</v>
      </c>
      <c r="B2571" s="25" t="s">
        <v>130</v>
      </c>
      <c r="C2571" s="25" t="s">
        <v>142</v>
      </c>
      <c r="D2571" s="51">
        <v>2653</v>
      </c>
    </row>
    <row r="2572" spans="1:4" x14ac:dyDescent="0.2">
      <c r="A2572" s="24">
        <v>44075</v>
      </c>
      <c r="B2572" s="25" t="s">
        <v>117</v>
      </c>
      <c r="C2572" s="25" t="s">
        <v>2</v>
      </c>
      <c r="D2572" s="51">
        <v>9172681</v>
      </c>
    </row>
    <row r="2573" spans="1:4" x14ac:dyDescent="0.2">
      <c r="A2573" s="24">
        <v>44075</v>
      </c>
      <c r="B2573" s="25" t="s">
        <v>137</v>
      </c>
      <c r="C2573" s="25" t="s">
        <v>2</v>
      </c>
      <c r="D2573" s="51">
        <v>2433375</v>
      </c>
    </row>
    <row r="2574" spans="1:4" x14ac:dyDescent="0.2">
      <c r="A2574" s="24">
        <v>44075</v>
      </c>
      <c r="B2574" s="25" t="s">
        <v>118</v>
      </c>
      <c r="C2574" s="25" t="s">
        <v>2</v>
      </c>
      <c r="D2574" s="51">
        <v>481158</v>
      </c>
    </row>
    <row r="2575" spans="1:4" x14ac:dyDescent="0.2">
      <c r="A2575" s="24">
        <v>44075</v>
      </c>
      <c r="B2575" s="25" t="s">
        <v>119</v>
      </c>
      <c r="C2575" s="25" t="s">
        <v>2</v>
      </c>
      <c r="D2575" s="51">
        <v>836827</v>
      </c>
    </row>
    <row r="2576" spans="1:4" x14ac:dyDescent="0.2">
      <c r="A2576" s="24">
        <v>44075</v>
      </c>
      <c r="B2576" s="25" t="s">
        <v>138</v>
      </c>
      <c r="C2576" s="25" t="s">
        <v>2</v>
      </c>
      <c r="D2576" s="51">
        <v>17</v>
      </c>
    </row>
    <row r="2577" spans="1:4" x14ac:dyDescent="0.2">
      <c r="A2577" s="24">
        <v>44075</v>
      </c>
      <c r="B2577" s="25" t="s">
        <v>139</v>
      </c>
      <c r="C2577" s="25" t="s">
        <v>2</v>
      </c>
      <c r="D2577" s="51">
        <v>470</v>
      </c>
    </row>
    <row r="2578" spans="1:4" x14ac:dyDescent="0.2">
      <c r="A2578" s="24">
        <v>44075</v>
      </c>
      <c r="B2578" s="25" t="s">
        <v>120</v>
      </c>
      <c r="C2578" s="25" t="s">
        <v>2</v>
      </c>
      <c r="D2578" s="51">
        <v>213889</v>
      </c>
    </row>
    <row r="2579" spans="1:4" x14ac:dyDescent="0.2">
      <c r="A2579" s="24">
        <v>44075</v>
      </c>
      <c r="B2579" s="25" t="s">
        <v>121</v>
      </c>
      <c r="C2579" s="25" t="s">
        <v>2</v>
      </c>
      <c r="D2579" s="51">
        <v>16910</v>
      </c>
    </row>
    <row r="2580" spans="1:4" x14ac:dyDescent="0.2">
      <c r="A2580" s="24">
        <v>44075</v>
      </c>
      <c r="B2580" s="25" t="s">
        <v>122</v>
      </c>
      <c r="C2580" s="25" t="s">
        <v>2</v>
      </c>
      <c r="D2580" s="51">
        <v>846898</v>
      </c>
    </row>
    <row r="2581" spans="1:4" x14ac:dyDescent="0.2">
      <c r="A2581" s="24">
        <v>44075</v>
      </c>
      <c r="B2581" s="25" t="s">
        <v>123</v>
      </c>
      <c r="C2581" s="25" t="s">
        <v>2</v>
      </c>
      <c r="D2581" s="51">
        <v>1501862</v>
      </c>
    </row>
    <row r="2582" spans="1:4" x14ac:dyDescent="0.2">
      <c r="A2582" s="24">
        <v>44075</v>
      </c>
      <c r="B2582" s="25" t="s">
        <v>129</v>
      </c>
      <c r="C2582" s="25" t="s">
        <v>2</v>
      </c>
      <c r="D2582" s="51">
        <v>31229</v>
      </c>
    </row>
    <row r="2583" spans="1:4" x14ac:dyDescent="0.2">
      <c r="A2583" s="24">
        <v>44075</v>
      </c>
      <c r="B2583" s="25" t="s">
        <v>130</v>
      </c>
      <c r="C2583" s="25" t="s">
        <v>2</v>
      </c>
      <c r="D2583" s="51">
        <v>20973</v>
      </c>
    </row>
    <row r="2584" spans="1:4" x14ac:dyDescent="0.2">
      <c r="A2584" s="24">
        <v>44105</v>
      </c>
      <c r="B2584" s="25" t="s">
        <v>117</v>
      </c>
      <c r="C2584" s="25" t="s">
        <v>4</v>
      </c>
      <c r="D2584" s="51">
        <v>6006332</v>
      </c>
    </row>
    <row r="2585" spans="1:4" x14ac:dyDescent="0.2">
      <c r="A2585" s="24">
        <v>44105</v>
      </c>
      <c r="B2585" s="25" t="s">
        <v>131</v>
      </c>
      <c r="C2585" s="25" t="s">
        <v>4</v>
      </c>
      <c r="D2585" s="51">
        <v>107</v>
      </c>
    </row>
    <row r="2586" spans="1:4" x14ac:dyDescent="0.2">
      <c r="A2586" s="24">
        <v>44105</v>
      </c>
      <c r="B2586" s="25" t="s">
        <v>132</v>
      </c>
      <c r="C2586" s="25" t="s">
        <v>4</v>
      </c>
      <c r="D2586" s="51">
        <v>46</v>
      </c>
    </row>
    <row r="2587" spans="1:4" x14ac:dyDescent="0.2">
      <c r="A2587" s="24">
        <v>44105</v>
      </c>
      <c r="B2587" s="25" t="s">
        <v>133</v>
      </c>
      <c r="C2587" s="25" t="s">
        <v>4</v>
      </c>
      <c r="D2587" s="51">
        <v>25</v>
      </c>
    </row>
    <row r="2588" spans="1:4" x14ac:dyDescent="0.2">
      <c r="A2588" s="24">
        <v>44105</v>
      </c>
      <c r="B2588" s="25" t="s">
        <v>137</v>
      </c>
      <c r="C2588" s="25" t="s">
        <v>4</v>
      </c>
      <c r="D2588" s="51">
        <v>2395589</v>
      </c>
    </row>
    <row r="2589" spans="1:4" x14ac:dyDescent="0.2">
      <c r="A2589" s="24">
        <v>44105</v>
      </c>
      <c r="B2589" s="25" t="s">
        <v>118</v>
      </c>
      <c r="C2589" s="25" t="s">
        <v>4</v>
      </c>
      <c r="D2589" s="51">
        <v>838452</v>
      </c>
    </row>
    <row r="2590" spans="1:4" x14ac:dyDescent="0.2">
      <c r="A2590" s="24">
        <v>44105</v>
      </c>
      <c r="B2590" s="25" t="s">
        <v>134</v>
      </c>
      <c r="C2590" s="25" t="s">
        <v>4</v>
      </c>
      <c r="D2590" s="51">
        <v>17</v>
      </c>
    </row>
    <row r="2591" spans="1:4" x14ac:dyDescent="0.2">
      <c r="A2591" s="24">
        <v>44105</v>
      </c>
      <c r="B2591" s="25" t="s">
        <v>135</v>
      </c>
      <c r="C2591" s="25" t="s">
        <v>4</v>
      </c>
      <c r="D2591" s="51">
        <v>10</v>
      </c>
    </row>
    <row r="2592" spans="1:4" x14ac:dyDescent="0.2">
      <c r="A2592" s="24">
        <v>44105</v>
      </c>
      <c r="B2592" s="25" t="s">
        <v>136</v>
      </c>
      <c r="C2592" s="25" t="s">
        <v>4</v>
      </c>
      <c r="D2592" s="51">
        <v>7</v>
      </c>
    </row>
    <row r="2593" spans="1:4" x14ac:dyDescent="0.2">
      <c r="A2593" s="24">
        <v>44105</v>
      </c>
      <c r="B2593" s="25" t="s">
        <v>119</v>
      </c>
      <c r="C2593" s="25" t="s">
        <v>4</v>
      </c>
      <c r="D2593" s="51">
        <v>691561</v>
      </c>
    </row>
    <row r="2594" spans="1:4" x14ac:dyDescent="0.2">
      <c r="A2594" s="24">
        <v>44105</v>
      </c>
      <c r="B2594" s="25" t="s">
        <v>138</v>
      </c>
      <c r="C2594" s="25" t="s">
        <v>4</v>
      </c>
      <c r="D2594" s="51">
        <v>1</v>
      </c>
    </row>
    <row r="2595" spans="1:4" x14ac:dyDescent="0.2">
      <c r="A2595" s="24">
        <v>44105</v>
      </c>
      <c r="B2595" s="25" t="s">
        <v>139</v>
      </c>
      <c r="C2595" s="25" t="s">
        <v>4</v>
      </c>
      <c r="D2595" s="51">
        <v>527</v>
      </c>
    </row>
    <row r="2596" spans="1:4" x14ac:dyDescent="0.2">
      <c r="A2596" s="24">
        <v>44105</v>
      </c>
      <c r="B2596" s="25" t="s">
        <v>120</v>
      </c>
      <c r="C2596" s="25" t="s">
        <v>4</v>
      </c>
      <c r="D2596" s="51">
        <v>56430</v>
      </c>
    </row>
    <row r="2597" spans="1:4" x14ac:dyDescent="0.2">
      <c r="A2597" s="24">
        <v>44105</v>
      </c>
      <c r="B2597" s="25" t="s">
        <v>121</v>
      </c>
      <c r="C2597" s="25" t="s">
        <v>4</v>
      </c>
      <c r="D2597" s="51">
        <v>24881</v>
      </c>
    </row>
    <row r="2598" spans="1:4" x14ac:dyDescent="0.2">
      <c r="A2598" s="24">
        <v>44105</v>
      </c>
      <c r="B2598" s="25" t="s">
        <v>140</v>
      </c>
      <c r="C2598" s="25" t="s">
        <v>4</v>
      </c>
      <c r="D2598" s="51">
        <v>16944</v>
      </c>
    </row>
    <row r="2599" spans="1:4" x14ac:dyDescent="0.2">
      <c r="A2599" s="24">
        <v>44105</v>
      </c>
      <c r="B2599" s="25" t="s">
        <v>122</v>
      </c>
      <c r="C2599" s="25" t="s">
        <v>4</v>
      </c>
      <c r="D2599" s="51">
        <v>1261371</v>
      </c>
    </row>
    <row r="2600" spans="1:4" x14ac:dyDescent="0.2">
      <c r="A2600" s="24">
        <v>44105</v>
      </c>
      <c r="B2600" s="25" t="s">
        <v>123</v>
      </c>
      <c r="C2600" s="25" t="s">
        <v>4</v>
      </c>
      <c r="D2600" s="51">
        <v>2766738</v>
      </c>
    </row>
    <row r="2601" spans="1:4" x14ac:dyDescent="0.2">
      <c r="A2601" s="24">
        <v>44105</v>
      </c>
      <c r="B2601" s="25" t="s">
        <v>117</v>
      </c>
      <c r="C2601" s="25" t="s">
        <v>8</v>
      </c>
      <c r="D2601" s="51">
        <v>232826</v>
      </c>
    </row>
    <row r="2602" spans="1:4" x14ac:dyDescent="0.2">
      <c r="A2602" s="24">
        <v>44105</v>
      </c>
      <c r="B2602" s="25" t="s">
        <v>137</v>
      </c>
      <c r="C2602" s="25" t="s">
        <v>8</v>
      </c>
      <c r="D2602" s="51">
        <v>128751</v>
      </c>
    </row>
    <row r="2603" spans="1:4" x14ac:dyDescent="0.2">
      <c r="A2603" s="24">
        <v>44105</v>
      </c>
      <c r="B2603" s="25" t="s">
        <v>118</v>
      </c>
      <c r="C2603" s="25" t="s">
        <v>8</v>
      </c>
      <c r="D2603" s="51">
        <v>57850</v>
      </c>
    </row>
    <row r="2604" spans="1:4" x14ac:dyDescent="0.2">
      <c r="A2604" s="24">
        <v>44105</v>
      </c>
      <c r="B2604" s="25" t="s">
        <v>119</v>
      </c>
      <c r="C2604" s="25" t="s">
        <v>8</v>
      </c>
      <c r="D2604" s="51">
        <v>14082</v>
      </c>
    </row>
    <row r="2605" spans="1:4" x14ac:dyDescent="0.2">
      <c r="A2605" s="24">
        <v>44105</v>
      </c>
      <c r="B2605" s="25" t="s">
        <v>138</v>
      </c>
      <c r="C2605" s="25" t="s">
        <v>8</v>
      </c>
      <c r="D2605" s="51">
        <v>4</v>
      </c>
    </row>
    <row r="2606" spans="1:4" x14ac:dyDescent="0.2">
      <c r="A2606" s="24">
        <v>44105</v>
      </c>
      <c r="B2606" s="25" t="s">
        <v>139</v>
      </c>
      <c r="C2606" s="25" t="s">
        <v>8</v>
      </c>
      <c r="D2606" s="51">
        <v>20</v>
      </c>
    </row>
    <row r="2607" spans="1:4" x14ac:dyDescent="0.2">
      <c r="A2607" s="24">
        <v>44105</v>
      </c>
      <c r="B2607" s="25" t="s">
        <v>120</v>
      </c>
      <c r="C2607" s="25" t="s">
        <v>8</v>
      </c>
      <c r="D2607" s="51">
        <v>3562</v>
      </c>
    </row>
    <row r="2608" spans="1:4" x14ac:dyDescent="0.2">
      <c r="A2608" s="24">
        <v>44105</v>
      </c>
      <c r="B2608" s="25" t="s">
        <v>121</v>
      </c>
      <c r="C2608" s="25" t="s">
        <v>8</v>
      </c>
      <c r="D2608" s="51">
        <v>1425</v>
      </c>
    </row>
    <row r="2609" spans="1:4" x14ac:dyDescent="0.2">
      <c r="A2609" s="24">
        <v>44105</v>
      </c>
      <c r="B2609" s="25" t="s">
        <v>122</v>
      </c>
      <c r="C2609" s="25" t="s">
        <v>8</v>
      </c>
      <c r="D2609" s="51">
        <v>4702</v>
      </c>
    </row>
    <row r="2610" spans="1:4" x14ac:dyDescent="0.2">
      <c r="A2610" s="24">
        <v>44105</v>
      </c>
      <c r="B2610" s="25" t="s">
        <v>123</v>
      </c>
      <c r="C2610" s="25" t="s">
        <v>8</v>
      </c>
      <c r="D2610" s="51">
        <v>106677</v>
      </c>
    </row>
    <row r="2611" spans="1:4" x14ac:dyDescent="0.2">
      <c r="A2611" s="24">
        <v>44105</v>
      </c>
      <c r="B2611" s="25" t="s">
        <v>124</v>
      </c>
      <c r="C2611" s="25" t="s">
        <v>8</v>
      </c>
      <c r="D2611" s="51">
        <v>5593</v>
      </c>
    </row>
    <row r="2612" spans="1:4" x14ac:dyDescent="0.2">
      <c r="A2612" s="24">
        <v>44105</v>
      </c>
      <c r="B2612" s="25" t="s">
        <v>125</v>
      </c>
      <c r="C2612" s="25" t="s">
        <v>8</v>
      </c>
      <c r="D2612" s="51">
        <v>5240</v>
      </c>
    </row>
    <row r="2613" spans="1:4" x14ac:dyDescent="0.2">
      <c r="A2613" s="24">
        <v>44105</v>
      </c>
      <c r="B2613" s="25" t="s">
        <v>117</v>
      </c>
      <c r="C2613" s="25" t="s">
        <v>26</v>
      </c>
      <c r="D2613" s="51">
        <v>632151</v>
      </c>
    </row>
    <row r="2614" spans="1:4" x14ac:dyDescent="0.2">
      <c r="A2614" s="24">
        <v>44105</v>
      </c>
      <c r="B2614" s="25" t="s">
        <v>137</v>
      </c>
      <c r="C2614" s="25" t="s">
        <v>26</v>
      </c>
      <c r="D2614" s="51">
        <v>274808</v>
      </c>
    </row>
    <row r="2615" spans="1:4" x14ac:dyDescent="0.2">
      <c r="A2615" s="24">
        <v>44105</v>
      </c>
      <c r="B2615" s="25" t="s">
        <v>118</v>
      </c>
      <c r="C2615" s="25" t="s">
        <v>26</v>
      </c>
      <c r="D2615" s="51">
        <v>58974</v>
      </c>
    </row>
    <row r="2616" spans="1:4" x14ac:dyDescent="0.2">
      <c r="A2616" s="24">
        <v>44105</v>
      </c>
      <c r="B2616" s="25" t="s">
        <v>119</v>
      </c>
      <c r="C2616" s="25" t="s">
        <v>26</v>
      </c>
      <c r="D2616" s="51">
        <v>85187</v>
      </c>
    </row>
    <row r="2617" spans="1:4" x14ac:dyDescent="0.2">
      <c r="A2617" s="24">
        <v>44105</v>
      </c>
      <c r="B2617" s="25" t="s">
        <v>139</v>
      </c>
      <c r="C2617" s="25" t="s">
        <v>26</v>
      </c>
      <c r="D2617" s="51">
        <v>30</v>
      </c>
    </row>
    <row r="2618" spans="1:4" x14ac:dyDescent="0.2">
      <c r="A2618" s="24">
        <v>44105</v>
      </c>
      <c r="B2618" s="25" t="s">
        <v>120</v>
      </c>
      <c r="C2618" s="25" t="s">
        <v>26</v>
      </c>
      <c r="D2618" s="51">
        <v>5719</v>
      </c>
    </row>
    <row r="2619" spans="1:4" x14ac:dyDescent="0.2">
      <c r="A2619" s="24">
        <v>44105</v>
      </c>
      <c r="B2619" s="25" t="s">
        <v>121</v>
      </c>
      <c r="C2619" s="25" t="s">
        <v>26</v>
      </c>
      <c r="D2619" s="51">
        <v>1541</v>
      </c>
    </row>
    <row r="2620" spans="1:4" x14ac:dyDescent="0.2">
      <c r="A2620" s="24">
        <v>44105</v>
      </c>
      <c r="B2620" s="25" t="s">
        <v>122</v>
      </c>
      <c r="C2620" s="25" t="s">
        <v>26</v>
      </c>
      <c r="D2620" s="51">
        <v>28522</v>
      </c>
    </row>
    <row r="2621" spans="1:4" x14ac:dyDescent="0.2">
      <c r="A2621" s="24">
        <v>44105</v>
      </c>
      <c r="B2621" s="25" t="s">
        <v>123</v>
      </c>
      <c r="C2621" s="25" t="s">
        <v>26</v>
      </c>
      <c r="D2621" s="51">
        <v>188672</v>
      </c>
    </row>
    <row r="2622" spans="1:4" x14ac:dyDescent="0.2">
      <c r="A2622" s="24">
        <v>44105</v>
      </c>
      <c r="B2622" s="25" t="s">
        <v>127</v>
      </c>
      <c r="C2622" s="25" t="s">
        <v>26</v>
      </c>
      <c r="D2622" s="51">
        <v>1075</v>
      </c>
    </row>
    <row r="2623" spans="1:4" x14ac:dyDescent="0.2">
      <c r="A2623" s="24">
        <v>44105</v>
      </c>
      <c r="B2623" s="25" t="s">
        <v>128</v>
      </c>
      <c r="C2623" s="25" t="s">
        <v>26</v>
      </c>
      <c r="D2623" s="51">
        <v>866</v>
      </c>
    </row>
    <row r="2624" spans="1:4" x14ac:dyDescent="0.2">
      <c r="A2624" s="24">
        <v>44105</v>
      </c>
      <c r="B2624" s="25" t="s">
        <v>117</v>
      </c>
      <c r="C2624" s="25" t="s">
        <v>142</v>
      </c>
      <c r="D2624" s="51">
        <v>552180</v>
      </c>
    </row>
    <row r="2625" spans="1:4" x14ac:dyDescent="0.2">
      <c r="A2625" s="24">
        <v>44105</v>
      </c>
      <c r="B2625" s="25" t="s">
        <v>137</v>
      </c>
      <c r="C2625" s="25" t="s">
        <v>142</v>
      </c>
      <c r="D2625" s="51">
        <v>173066</v>
      </c>
    </row>
    <row r="2626" spans="1:4" x14ac:dyDescent="0.2">
      <c r="A2626" s="24">
        <v>44105</v>
      </c>
      <c r="B2626" s="25" t="s">
        <v>118</v>
      </c>
      <c r="C2626" s="25" t="s">
        <v>142</v>
      </c>
      <c r="D2626" s="51">
        <v>80137</v>
      </c>
    </row>
    <row r="2627" spans="1:4" x14ac:dyDescent="0.2">
      <c r="A2627" s="24">
        <v>44105</v>
      </c>
      <c r="B2627" s="25" t="s">
        <v>119</v>
      </c>
      <c r="C2627" s="25" t="s">
        <v>142</v>
      </c>
      <c r="D2627" s="51">
        <v>102905</v>
      </c>
    </row>
    <row r="2628" spans="1:4" x14ac:dyDescent="0.2">
      <c r="A2628" s="24">
        <v>44105</v>
      </c>
      <c r="B2628" s="25" t="s">
        <v>139</v>
      </c>
      <c r="C2628" s="25" t="s">
        <v>142</v>
      </c>
      <c r="D2628" s="51">
        <v>13</v>
      </c>
    </row>
    <row r="2629" spans="1:4" x14ac:dyDescent="0.2">
      <c r="A2629" s="24">
        <v>44105</v>
      </c>
      <c r="B2629" s="25" t="s">
        <v>120</v>
      </c>
      <c r="C2629" s="25" t="s">
        <v>142</v>
      </c>
      <c r="D2629" s="51">
        <v>6414</v>
      </c>
    </row>
    <row r="2630" spans="1:4" x14ac:dyDescent="0.2">
      <c r="A2630" s="24">
        <v>44105</v>
      </c>
      <c r="B2630" s="25" t="s">
        <v>121</v>
      </c>
      <c r="C2630" s="25" t="s">
        <v>142</v>
      </c>
      <c r="D2630" s="51">
        <v>945</v>
      </c>
    </row>
    <row r="2631" spans="1:4" x14ac:dyDescent="0.2">
      <c r="A2631" s="24">
        <v>44105</v>
      </c>
      <c r="B2631" s="25" t="s">
        <v>122</v>
      </c>
      <c r="C2631" s="25" t="s">
        <v>142</v>
      </c>
      <c r="D2631" s="51">
        <v>63594</v>
      </c>
    </row>
    <row r="2632" spans="1:4" x14ac:dyDescent="0.2">
      <c r="A2632" s="24">
        <v>44105</v>
      </c>
      <c r="B2632" s="25" t="s">
        <v>123</v>
      </c>
      <c r="C2632" s="25" t="s">
        <v>142</v>
      </c>
      <c r="D2632" s="51">
        <v>68481</v>
      </c>
    </row>
    <row r="2633" spans="1:4" x14ac:dyDescent="0.2">
      <c r="A2633" s="24">
        <v>44105</v>
      </c>
      <c r="B2633" s="25" t="s">
        <v>129</v>
      </c>
      <c r="C2633" s="25" t="s">
        <v>142</v>
      </c>
      <c r="D2633" s="51">
        <v>2060</v>
      </c>
    </row>
    <row r="2634" spans="1:4" x14ac:dyDescent="0.2">
      <c r="A2634" s="24">
        <v>44105</v>
      </c>
      <c r="B2634" s="25" t="s">
        <v>130</v>
      </c>
      <c r="C2634" s="25" t="s">
        <v>142</v>
      </c>
      <c r="D2634" s="51">
        <v>3007</v>
      </c>
    </row>
    <row r="2635" spans="1:4" x14ac:dyDescent="0.2">
      <c r="A2635" s="24">
        <v>44105</v>
      </c>
      <c r="B2635" s="25" t="s">
        <v>117</v>
      </c>
      <c r="C2635" s="25" t="s">
        <v>2</v>
      </c>
      <c r="D2635" s="51">
        <v>9591778</v>
      </c>
    </row>
    <row r="2636" spans="1:4" x14ac:dyDescent="0.2">
      <c r="A2636" s="24">
        <v>44105</v>
      </c>
      <c r="B2636" s="25" t="s">
        <v>137</v>
      </c>
      <c r="C2636" s="25" t="s">
        <v>2</v>
      </c>
      <c r="D2636" s="51">
        <v>2817668</v>
      </c>
    </row>
    <row r="2637" spans="1:4" x14ac:dyDescent="0.2">
      <c r="A2637" s="24">
        <v>44105</v>
      </c>
      <c r="B2637" s="25" t="s">
        <v>118</v>
      </c>
      <c r="C2637" s="25" t="s">
        <v>2</v>
      </c>
      <c r="D2637" s="51">
        <v>638173</v>
      </c>
    </row>
    <row r="2638" spans="1:4" x14ac:dyDescent="0.2">
      <c r="A2638" s="24">
        <v>44105</v>
      </c>
      <c r="B2638" s="25" t="s">
        <v>119</v>
      </c>
      <c r="C2638" s="25" t="s">
        <v>2</v>
      </c>
      <c r="D2638" s="51">
        <v>859401</v>
      </c>
    </row>
    <row r="2639" spans="1:4" x14ac:dyDescent="0.2">
      <c r="A2639" s="24">
        <v>44105</v>
      </c>
      <c r="B2639" s="25" t="s">
        <v>138</v>
      </c>
      <c r="C2639" s="25" t="s">
        <v>2</v>
      </c>
      <c r="D2639" s="51">
        <v>11</v>
      </c>
    </row>
    <row r="2640" spans="1:4" x14ac:dyDescent="0.2">
      <c r="A2640" s="24">
        <v>44105</v>
      </c>
      <c r="B2640" s="25" t="s">
        <v>139</v>
      </c>
      <c r="C2640" s="25" t="s">
        <v>2</v>
      </c>
      <c r="D2640" s="51">
        <v>523</v>
      </c>
    </row>
    <row r="2641" spans="1:4" x14ac:dyDescent="0.2">
      <c r="A2641" s="24">
        <v>44105</v>
      </c>
      <c r="B2641" s="25" t="s">
        <v>120</v>
      </c>
      <c r="C2641" s="25" t="s">
        <v>2</v>
      </c>
      <c r="D2641" s="51">
        <v>217613</v>
      </c>
    </row>
    <row r="2642" spans="1:4" x14ac:dyDescent="0.2">
      <c r="A2642" s="24">
        <v>44105</v>
      </c>
      <c r="B2642" s="25" t="s">
        <v>121</v>
      </c>
      <c r="C2642" s="25" t="s">
        <v>2</v>
      </c>
      <c r="D2642" s="51">
        <v>18019</v>
      </c>
    </row>
    <row r="2643" spans="1:4" x14ac:dyDescent="0.2">
      <c r="A2643" s="24">
        <v>44105</v>
      </c>
      <c r="B2643" s="25" t="s">
        <v>122</v>
      </c>
      <c r="C2643" s="25" t="s">
        <v>2</v>
      </c>
      <c r="D2643" s="51">
        <v>646636</v>
      </c>
    </row>
    <row r="2644" spans="1:4" x14ac:dyDescent="0.2">
      <c r="A2644" s="24">
        <v>44105</v>
      </c>
      <c r="B2644" s="25" t="s">
        <v>123</v>
      </c>
      <c r="C2644" s="25" t="s">
        <v>2</v>
      </c>
      <c r="D2644" s="51">
        <v>1644798</v>
      </c>
    </row>
    <row r="2645" spans="1:4" x14ac:dyDescent="0.2">
      <c r="A2645" s="24">
        <v>44105</v>
      </c>
      <c r="B2645" s="25" t="s">
        <v>129</v>
      </c>
      <c r="C2645" s="25" t="s">
        <v>2</v>
      </c>
      <c r="D2645" s="51">
        <v>39312</v>
      </c>
    </row>
    <row r="2646" spans="1:4" x14ac:dyDescent="0.2">
      <c r="A2646" s="24">
        <v>44105</v>
      </c>
      <c r="B2646" s="25" t="s">
        <v>130</v>
      </c>
      <c r="C2646" s="25" t="s">
        <v>2</v>
      </c>
      <c r="D2646" s="51">
        <v>28525</v>
      </c>
    </row>
    <row r="2647" spans="1:4" x14ac:dyDescent="0.2">
      <c r="A2647" s="24">
        <v>44136</v>
      </c>
      <c r="B2647" s="25" t="s">
        <v>117</v>
      </c>
      <c r="C2647" s="25" t="s">
        <v>4</v>
      </c>
      <c r="D2647" s="51">
        <v>6166389</v>
      </c>
    </row>
    <row r="2648" spans="1:4" x14ac:dyDescent="0.2">
      <c r="A2648" s="24">
        <v>44136</v>
      </c>
      <c r="B2648" s="25" t="s">
        <v>131</v>
      </c>
      <c r="C2648" s="25" t="s">
        <v>4</v>
      </c>
      <c r="D2648" s="51">
        <v>78</v>
      </c>
    </row>
    <row r="2649" spans="1:4" x14ac:dyDescent="0.2">
      <c r="A2649" s="24">
        <v>44136</v>
      </c>
      <c r="B2649" s="25" t="s">
        <v>132</v>
      </c>
      <c r="C2649" s="25" t="s">
        <v>4</v>
      </c>
      <c r="D2649" s="51">
        <v>30</v>
      </c>
    </row>
    <row r="2650" spans="1:4" x14ac:dyDescent="0.2">
      <c r="A2650" s="24">
        <v>44136</v>
      </c>
      <c r="B2650" s="25" t="s">
        <v>133</v>
      </c>
      <c r="C2650" s="25" t="s">
        <v>4</v>
      </c>
      <c r="D2650" s="51">
        <v>13</v>
      </c>
    </row>
    <row r="2651" spans="1:4" x14ac:dyDescent="0.2">
      <c r="A2651" s="24">
        <v>44136</v>
      </c>
      <c r="B2651" s="25" t="s">
        <v>137</v>
      </c>
      <c r="C2651" s="25" t="s">
        <v>4</v>
      </c>
      <c r="D2651" s="51">
        <v>2558091</v>
      </c>
    </row>
    <row r="2652" spans="1:4" x14ac:dyDescent="0.2">
      <c r="A2652" s="24">
        <v>44136</v>
      </c>
      <c r="B2652" s="25" t="s">
        <v>118</v>
      </c>
      <c r="C2652" s="25" t="s">
        <v>4</v>
      </c>
      <c r="D2652" s="51">
        <v>704689</v>
      </c>
    </row>
    <row r="2653" spans="1:4" x14ac:dyDescent="0.2">
      <c r="A2653" s="24">
        <v>44136</v>
      </c>
      <c r="B2653" s="25" t="s">
        <v>134</v>
      </c>
      <c r="C2653" s="25" t="s">
        <v>4</v>
      </c>
      <c r="D2653" s="51">
        <v>4</v>
      </c>
    </row>
    <row r="2654" spans="1:4" x14ac:dyDescent="0.2">
      <c r="A2654" s="24">
        <v>44136</v>
      </c>
      <c r="B2654" s="25" t="s">
        <v>135</v>
      </c>
      <c r="C2654" s="25" t="s">
        <v>4</v>
      </c>
      <c r="D2654" s="51">
        <v>7</v>
      </c>
    </row>
    <row r="2655" spans="1:4" x14ac:dyDescent="0.2">
      <c r="A2655" s="24">
        <v>44136</v>
      </c>
      <c r="B2655" s="25" t="s">
        <v>136</v>
      </c>
      <c r="C2655" s="25" t="s">
        <v>4</v>
      </c>
      <c r="D2655" s="51">
        <v>4</v>
      </c>
    </row>
    <row r="2656" spans="1:4" x14ac:dyDescent="0.2">
      <c r="A2656" s="24">
        <v>44136</v>
      </c>
      <c r="B2656" s="25" t="s">
        <v>119</v>
      </c>
      <c r="C2656" s="25" t="s">
        <v>4</v>
      </c>
      <c r="D2656" s="51">
        <v>678187</v>
      </c>
    </row>
    <row r="2657" spans="1:4" x14ac:dyDescent="0.2">
      <c r="A2657" s="24">
        <v>44136</v>
      </c>
      <c r="B2657" s="25" t="s">
        <v>138</v>
      </c>
      <c r="C2657" s="25" t="s">
        <v>4</v>
      </c>
      <c r="D2657" s="51">
        <v>17</v>
      </c>
    </row>
    <row r="2658" spans="1:4" x14ac:dyDescent="0.2">
      <c r="A2658" s="24">
        <v>44136</v>
      </c>
      <c r="B2658" s="25" t="s">
        <v>139</v>
      </c>
      <c r="C2658" s="25" t="s">
        <v>4</v>
      </c>
      <c r="D2658" s="51">
        <v>563</v>
      </c>
    </row>
    <row r="2659" spans="1:4" x14ac:dyDescent="0.2">
      <c r="A2659" s="24">
        <v>44136</v>
      </c>
      <c r="B2659" s="25" t="s">
        <v>120</v>
      </c>
      <c r="C2659" s="25" t="s">
        <v>4</v>
      </c>
      <c r="D2659" s="51">
        <v>59168</v>
      </c>
    </row>
    <row r="2660" spans="1:4" x14ac:dyDescent="0.2">
      <c r="A2660" s="24">
        <v>44136</v>
      </c>
      <c r="B2660" s="25" t="s">
        <v>121</v>
      </c>
      <c r="C2660" s="25" t="s">
        <v>4</v>
      </c>
      <c r="D2660" s="51">
        <v>26771</v>
      </c>
    </row>
    <row r="2661" spans="1:4" x14ac:dyDescent="0.2">
      <c r="A2661" s="24">
        <v>44136</v>
      </c>
      <c r="B2661" s="25" t="s">
        <v>140</v>
      </c>
      <c r="C2661" s="25" t="s">
        <v>4</v>
      </c>
      <c r="D2661" s="51">
        <v>17146</v>
      </c>
    </row>
    <row r="2662" spans="1:4" x14ac:dyDescent="0.2">
      <c r="A2662" s="24">
        <v>44136</v>
      </c>
      <c r="B2662" s="25" t="s">
        <v>122</v>
      </c>
      <c r="C2662" s="25" t="s">
        <v>4</v>
      </c>
      <c r="D2662" s="51">
        <v>1701786</v>
      </c>
    </row>
    <row r="2663" spans="1:4" x14ac:dyDescent="0.2">
      <c r="A2663" s="24">
        <v>44136</v>
      </c>
      <c r="B2663" s="25" t="s">
        <v>123</v>
      </c>
      <c r="C2663" s="25" t="s">
        <v>4</v>
      </c>
      <c r="D2663" s="51">
        <v>2896802</v>
      </c>
    </row>
    <row r="2664" spans="1:4" x14ac:dyDescent="0.2">
      <c r="A2664" s="24">
        <v>44136</v>
      </c>
      <c r="B2664" s="25" t="s">
        <v>117</v>
      </c>
      <c r="C2664" s="25" t="s">
        <v>8</v>
      </c>
      <c r="D2664" s="51">
        <v>219061</v>
      </c>
    </row>
    <row r="2665" spans="1:4" x14ac:dyDescent="0.2">
      <c r="A2665" s="24">
        <v>44136</v>
      </c>
      <c r="B2665" s="25" t="s">
        <v>137</v>
      </c>
      <c r="C2665" s="25" t="s">
        <v>8</v>
      </c>
      <c r="D2665" s="51">
        <v>132605</v>
      </c>
    </row>
    <row r="2666" spans="1:4" x14ac:dyDescent="0.2">
      <c r="A2666" s="24">
        <v>44136</v>
      </c>
      <c r="B2666" s="25" t="s">
        <v>118</v>
      </c>
      <c r="C2666" s="25" t="s">
        <v>8</v>
      </c>
      <c r="D2666" s="51">
        <v>28016</v>
      </c>
    </row>
    <row r="2667" spans="1:4" x14ac:dyDescent="0.2">
      <c r="A2667" s="24">
        <v>44136</v>
      </c>
      <c r="B2667" s="25" t="s">
        <v>119</v>
      </c>
      <c r="C2667" s="25" t="s">
        <v>8</v>
      </c>
      <c r="D2667" s="51">
        <v>13061</v>
      </c>
    </row>
    <row r="2668" spans="1:4" x14ac:dyDescent="0.2">
      <c r="A2668" s="24">
        <v>44136</v>
      </c>
      <c r="B2668" s="25" t="s">
        <v>139</v>
      </c>
      <c r="C2668" s="25" t="s">
        <v>8</v>
      </c>
      <c r="D2668" s="51">
        <v>12</v>
      </c>
    </row>
    <row r="2669" spans="1:4" x14ac:dyDescent="0.2">
      <c r="A2669" s="24">
        <v>44136</v>
      </c>
      <c r="B2669" s="25" t="s">
        <v>120</v>
      </c>
      <c r="C2669" s="25" t="s">
        <v>8</v>
      </c>
      <c r="D2669" s="51">
        <v>3443</v>
      </c>
    </row>
    <row r="2670" spans="1:4" x14ac:dyDescent="0.2">
      <c r="A2670" s="24">
        <v>44136</v>
      </c>
      <c r="B2670" s="25" t="s">
        <v>121</v>
      </c>
      <c r="C2670" s="25" t="s">
        <v>8</v>
      </c>
      <c r="D2670" s="51">
        <v>1514</v>
      </c>
    </row>
    <row r="2671" spans="1:4" x14ac:dyDescent="0.2">
      <c r="A2671" s="24">
        <v>44136</v>
      </c>
      <c r="B2671" s="25" t="s">
        <v>122</v>
      </c>
      <c r="C2671" s="25" t="s">
        <v>8</v>
      </c>
      <c r="D2671" s="51">
        <v>7451</v>
      </c>
    </row>
    <row r="2672" spans="1:4" x14ac:dyDescent="0.2">
      <c r="A2672" s="24">
        <v>44136</v>
      </c>
      <c r="B2672" s="25" t="s">
        <v>123</v>
      </c>
      <c r="C2672" s="25" t="s">
        <v>8</v>
      </c>
      <c r="D2672" s="51">
        <v>116804</v>
      </c>
    </row>
    <row r="2673" spans="1:4" x14ac:dyDescent="0.2">
      <c r="A2673" s="24">
        <v>44136</v>
      </c>
      <c r="B2673" s="25" t="s">
        <v>124</v>
      </c>
      <c r="C2673" s="25" t="s">
        <v>8</v>
      </c>
      <c r="D2673" s="51">
        <v>4573</v>
      </c>
    </row>
    <row r="2674" spans="1:4" x14ac:dyDescent="0.2">
      <c r="A2674" s="24">
        <v>44136</v>
      </c>
      <c r="B2674" s="25" t="s">
        <v>125</v>
      </c>
      <c r="C2674" s="25" t="s">
        <v>8</v>
      </c>
      <c r="D2674" s="51">
        <v>2573</v>
      </c>
    </row>
    <row r="2675" spans="1:4" x14ac:dyDescent="0.2">
      <c r="A2675" s="24">
        <v>44136</v>
      </c>
      <c r="B2675" s="25" t="s">
        <v>117</v>
      </c>
      <c r="C2675" s="25" t="s">
        <v>26</v>
      </c>
      <c r="D2675" s="51">
        <v>685141</v>
      </c>
    </row>
    <row r="2676" spans="1:4" x14ac:dyDescent="0.2">
      <c r="A2676" s="24">
        <v>44136</v>
      </c>
      <c r="B2676" s="25" t="s">
        <v>137</v>
      </c>
      <c r="C2676" s="25" t="s">
        <v>26</v>
      </c>
      <c r="D2676" s="51">
        <v>314136</v>
      </c>
    </row>
    <row r="2677" spans="1:4" x14ac:dyDescent="0.2">
      <c r="A2677" s="24">
        <v>44136</v>
      </c>
      <c r="B2677" s="25" t="s">
        <v>118</v>
      </c>
      <c r="C2677" s="25" t="s">
        <v>26</v>
      </c>
      <c r="D2677" s="51">
        <v>45912</v>
      </c>
    </row>
    <row r="2678" spans="1:4" x14ac:dyDescent="0.2">
      <c r="A2678" s="24">
        <v>44136</v>
      </c>
      <c r="B2678" s="25" t="s">
        <v>119</v>
      </c>
      <c r="C2678" s="25" t="s">
        <v>26</v>
      </c>
      <c r="D2678" s="51">
        <v>85355</v>
      </c>
    </row>
    <row r="2679" spans="1:4" x14ac:dyDescent="0.2">
      <c r="A2679" s="24">
        <v>44136</v>
      </c>
      <c r="B2679" s="25" t="s">
        <v>139</v>
      </c>
      <c r="C2679" s="25" t="s">
        <v>26</v>
      </c>
      <c r="D2679" s="51">
        <v>23</v>
      </c>
    </row>
    <row r="2680" spans="1:4" x14ac:dyDescent="0.2">
      <c r="A2680" s="24">
        <v>44136</v>
      </c>
      <c r="B2680" s="25" t="s">
        <v>120</v>
      </c>
      <c r="C2680" s="25" t="s">
        <v>26</v>
      </c>
      <c r="D2680" s="51">
        <v>5995</v>
      </c>
    </row>
    <row r="2681" spans="1:4" x14ac:dyDescent="0.2">
      <c r="A2681" s="24">
        <v>44136</v>
      </c>
      <c r="B2681" s="25" t="s">
        <v>121</v>
      </c>
      <c r="C2681" s="25" t="s">
        <v>26</v>
      </c>
      <c r="D2681" s="51">
        <v>1759</v>
      </c>
    </row>
    <row r="2682" spans="1:4" x14ac:dyDescent="0.2">
      <c r="A2682" s="24">
        <v>44136</v>
      </c>
      <c r="B2682" s="25" t="s">
        <v>122</v>
      </c>
      <c r="C2682" s="25" t="s">
        <v>26</v>
      </c>
      <c r="D2682" s="51">
        <v>38838</v>
      </c>
    </row>
    <row r="2683" spans="1:4" x14ac:dyDescent="0.2">
      <c r="A2683" s="24">
        <v>44136</v>
      </c>
      <c r="B2683" s="25" t="s">
        <v>123</v>
      </c>
      <c r="C2683" s="25" t="s">
        <v>26</v>
      </c>
      <c r="D2683" s="51">
        <v>213033</v>
      </c>
    </row>
    <row r="2684" spans="1:4" x14ac:dyDescent="0.2">
      <c r="A2684" s="24">
        <v>44136</v>
      </c>
      <c r="B2684" s="25" t="s">
        <v>127</v>
      </c>
      <c r="C2684" s="25" t="s">
        <v>26</v>
      </c>
      <c r="D2684" s="51">
        <v>1026</v>
      </c>
    </row>
    <row r="2685" spans="1:4" x14ac:dyDescent="0.2">
      <c r="A2685" s="24">
        <v>44136</v>
      </c>
      <c r="B2685" s="25" t="s">
        <v>128</v>
      </c>
      <c r="C2685" s="25" t="s">
        <v>26</v>
      </c>
      <c r="D2685" s="51">
        <v>597</v>
      </c>
    </row>
    <row r="2686" spans="1:4" x14ac:dyDescent="0.2">
      <c r="A2686" s="24">
        <v>44136</v>
      </c>
      <c r="B2686" s="25" t="s">
        <v>117</v>
      </c>
      <c r="C2686" s="25" t="s">
        <v>142</v>
      </c>
      <c r="D2686" s="51">
        <v>617476</v>
      </c>
    </row>
    <row r="2687" spans="1:4" x14ac:dyDescent="0.2">
      <c r="A2687" s="24">
        <v>44136</v>
      </c>
      <c r="B2687" s="25" t="s">
        <v>137</v>
      </c>
      <c r="C2687" s="25" t="s">
        <v>142</v>
      </c>
      <c r="D2687" s="51">
        <v>201491</v>
      </c>
    </row>
    <row r="2688" spans="1:4" x14ac:dyDescent="0.2">
      <c r="A2688" s="24">
        <v>44136</v>
      </c>
      <c r="B2688" s="25" t="s">
        <v>118</v>
      </c>
      <c r="C2688" s="25" t="s">
        <v>142</v>
      </c>
      <c r="D2688" s="51">
        <v>66747</v>
      </c>
    </row>
    <row r="2689" spans="1:4" x14ac:dyDescent="0.2">
      <c r="A2689" s="24">
        <v>44136</v>
      </c>
      <c r="B2689" s="25" t="s">
        <v>119</v>
      </c>
      <c r="C2689" s="25" t="s">
        <v>142</v>
      </c>
      <c r="D2689" s="51">
        <v>86880</v>
      </c>
    </row>
    <row r="2690" spans="1:4" x14ac:dyDescent="0.2">
      <c r="A2690" s="24">
        <v>44136</v>
      </c>
      <c r="B2690" s="25" t="s">
        <v>139</v>
      </c>
      <c r="C2690" s="25" t="s">
        <v>142</v>
      </c>
      <c r="D2690" s="51">
        <v>1</v>
      </c>
    </row>
    <row r="2691" spans="1:4" x14ac:dyDescent="0.2">
      <c r="A2691" s="24">
        <v>44136</v>
      </c>
      <c r="B2691" s="25" t="s">
        <v>120</v>
      </c>
      <c r="C2691" s="25" t="s">
        <v>142</v>
      </c>
      <c r="D2691" s="51">
        <v>7401</v>
      </c>
    </row>
    <row r="2692" spans="1:4" x14ac:dyDescent="0.2">
      <c r="A2692" s="24">
        <v>44136</v>
      </c>
      <c r="B2692" s="25" t="s">
        <v>121</v>
      </c>
      <c r="C2692" s="25" t="s">
        <v>142</v>
      </c>
      <c r="D2692" s="51">
        <v>1081</v>
      </c>
    </row>
    <row r="2693" spans="1:4" x14ac:dyDescent="0.2">
      <c r="A2693" s="24">
        <v>44136</v>
      </c>
      <c r="B2693" s="25" t="s">
        <v>122</v>
      </c>
      <c r="C2693" s="25" t="s">
        <v>142</v>
      </c>
      <c r="D2693" s="51">
        <v>93904</v>
      </c>
    </row>
    <row r="2694" spans="1:4" x14ac:dyDescent="0.2">
      <c r="A2694" s="24">
        <v>44136</v>
      </c>
      <c r="B2694" s="25" t="s">
        <v>123</v>
      </c>
      <c r="C2694" s="25" t="s">
        <v>142</v>
      </c>
      <c r="D2694" s="51">
        <v>81964</v>
      </c>
    </row>
    <row r="2695" spans="1:4" x14ac:dyDescent="0.2">
      <c r="A2695" s="24">
        <v>44136</v>
      </c>
      <c r="B2695" s="25" t="s">
        <v>129</v>
      </c>
      <c r="C2695" s="25" t="s">
        <v>142</v>
      </c>
      <c r="D2695" s="51">
        <v>2462</v>
      </c>
    </row>
    <row r="2696" spans="1:4" x14ac:dyDescent="0.2">
      <c r="A2696" s="24">
        <v>44136</v>
      </c>
      <c r="B2696" s="25" t="s">
        <v>130</v>
      </c>
      <c r="C2696" s="25" t="s">
        <v>142</v>
      </c>
      <c r="D2696" s="51">
        <v>2839</v>
      </c>
    </row>
    <row r="2697" spans="1:4" x14ac:dyDescent="0.2">
      <c r="A2697" s="24">
        <v>44136</v>
      </c>
      <c r="B2697" s="25" t="s">
        <v>117</v>
      </c>
      <c r="C2697" s="25" t="s">
        <v>2</v>
      </c>
      <c r="D2697" s="51">
        <v>9919415</v>
      </c>
    </row>
    <row r="2698" spans="1:4" x14ac:dyDescent="0.2">
      <c r="A2698" s="24">
        <v>44136</v>
      </c>
      <c r="B2698" s="25" t="s">
        <v>137</v>
      </c>
      <c r="C2698" s="25" t="s">
        <v>2</v>
      </c>
      <c r="D2698" s="51">
        <v>3065452</v>
      </c>
    </row>
    <row r="2699" spans="1:4" x14ac:dyDescent="0.2">
      <c r="A2699" s="24">
        <v>44136</v>
      </c>
      <c r="B2699" s="25" t="s">
        <v>118</v>
      </c>
      <c r="C2699" s="25" t="s">
        <v>2</v>
      </c>
      <c r="D2699" s="51">
        <v>514868</v>
      </c>
    </row>
    <row r="2700" spans="1:4" x14ac:dyDescent="0.2">
      <c r="A2700" s="24">
        <v>44136</v>
      </c>
      <c r="B2700" s="25" t="s">
        <v>119</v>
      </c>
      <c r="C2700" s="25" t="s">
        <v>2</v>
      </c>
      <c r="D2700" s="51">
        <v>837790</v>
      </c>
    </row>
    <row r="2701" spans="1:4" x14ac:dyDescent="0.2">
      <c r="A2701" s="24">
        <v>44136</v>
      </c>
      <c r="B2701" s="25" t="s">
        <v>138</v>
      </c>
      <c r="C2701" s="25" t="s">
        <v>2</v>
      </c>
      <c r="D2701" s="51">
        <v>29</v>
      </c>
    </row>
    <row r="2702" spans="1:4" x14ac:dyDescent="0.2">
      <c r="A2702" s="24">
        <v>44136</v>
      </c>
      <c r="B2702" s="25" t="s">
        <v>139</v>
      </c>
      <c r="C2702" s="25" t="s">
        <v>2</v>
      </c>
      <c r="D2702" s="51">
        <v>522</v>
      </c>
    </row>
    <row r="2703" spans="1:4" x14ac:dyDescent="0.2">
      <c r="A2703" s="24">
        <v>44136</v>
      </c>
      <c r="B2703" s="25" t="s">
        <v>120</v>
      </c>
      <c r="C2703" s="25" t="s">
        <v>2</v>
      </c>
      <c r="D2703" s="51">
        <v>226179</v>
      </c>
    </row>
    <row r="2704" spans="1:4" x14ac:dyDescent="0.2">
      <c r="A2704" s="24">
        <v>44136</v>
      </c>
      <c r="B2704" s="25" t="s">
        <v>121</v>
      </c>
      <c r="C2704" s="25" t="s">
        <v>2</v>
      </c>
      <c r="D2704" s="51">
        <v>19717</v>
      </c>
    </row>
    <row r="2705" spans="1:4" x14ac:dyDescent="0.2">
      <c r="A2705" s="24">
        <v>44136</v>
      </c>
      <c r="B2705" s="25" t="s">
        <v>122</v>
      </c>
      <c r="C2705" s="25" t="s">
        <v>2</v>
      </c>
      <c r="D2705" s="51">
        <v>900820</v>
      </c>
    </row>
    <row r="2706" spans="1:4" x14ac:dyDescent="0.2">
      <c r="A2706" s="24">
        <v>44136</v>
      </c>
      <c r="B2706" s="25" t="s">
        <v>123</v>
      </c>
      <c r="C2706" s="25" t="s">
        <v>2</v>
      </c>
      <c r="D2706" s="51">
        <v>1767809</v>
      </c>
    </row>
    <row r="2707" spans="1:4" x14ac:dyDescent="0.2">
      <c r="A2707" s="24">
        <v>44136</v>
      </c>
      <c r="B2707" s="25" t="s">
        <v>129</v>
      </c>
      <c r="C2707" s="25" t="s">
        <v>2</v>
      </c>
      <c r="D2707" s="51">
        <v>41236</v>
      </c>
    </row>
    <row r="2708" spans="1:4" x14ac:dyDescent="0.2">
      <c r="A2708" s="24">
        <v>44136</v>
      </c>
      <c r="B2708" s="25" t="s">
        <v>130</v>
      </c>
      <c r="C2708" s="25" t="s">
        <v>2</v>
      </c>
      <c r="D2708" s="51">
        <v>23433</v>
      </c>
    </row>
    <row r="2709" spans="1:4" x14ac:dyDescent="0.2">
      <c r="A2709" s="24">
        <v>44166</v>
      </c>
      <c r="B2709" s="25" t="s">
        <v>117</v>
      </c>
      <c r="C2709" s="25" t="s">
        <v>4</v>
      </c>
      <c r="D2709" s="51">
        <v>5739175</v>
      </c>
    </row>
    <row r="2710" spans="1:4" x14ac:dyDescent="0.2">
      <c r="A2710" s="24">
        <v>44166</v>
      </c>
      <c r="B2710" s="25" t="s">
        <v>131</v>
      </c>
      <c r="C2710" s="25" t="s">
        <v>4</v>
      </c>
      <c r="D2710" s="51">
        <v>96</v>
      </c>
    </row>
    <row r="2711" spans="1:4" x14ac:dyDescent="0.2">
      <c r="A2711" s="24">
        <v>44166</v>
      </c>
      <c r="B2711" s="25" t="s">
        <v>132</v>
      </c>
      <c r="C2711" s="25" t="s">
        <v>4</v>
      </c>
      <c r="D2711" s="51">
        <v>30</v>
      </c>
    </row>
    <row r="2712" spans="1:4" x14ac:dyDescent="0.2">
      <c r="A2712" s="24">
        <v>44166</v>
      </c>
      <c r="B2712" s="25" t="s">
        <v>133</v>
      </c>
      <c r="C2712" s="25" t="s">
        <v>4</v>
      </c>
      <c r="D2712" s="51">
        <v>6</v>
      </c>
    </row>
    <row r="2713" spans="1:4" x14ac:dyDescent="0.2">
      <c r="A2713" s="24">
        <v>44166</v>
      </c>
      <c r="B2713" s="25" t="s">
        <v>137</v>
      </c>
      <c r="C2713" s="25" t="s">
        <v>4</v>
      </c>
      <c r="D2713" s="51">
        <v>2549345</v>
      </c>
    </row>
    <row r="2714" spans="1:4" x14ac:dyDescent="0.2">
      <c r="A2714" s="24">
        <v>44166</v>
      </c>
      <c r="B2714" s="25" t="s">
        <v>118</v>
      </c>
      <c r="C2714" s="25" t="s">
        <v>4</v>
      </c>
      <c r="D2714" s="51">
        <v>800460</v>
      </c>
    </row>
    <row r="2715" spans="1:4" x14ac:dyDescent="0.2">
      <c r="A2715" s="24">
        <v>44166</v>
      </c>
      <c r="B2715" s="25" t="s">
        <v>134</v>
      </c>
      <c r="C2715" s="25" t="s">
        <v>4</v>
      </c>
      <c r="D2715" s="51">
        <v>1</v>
      </c>
    </row>
    <row r="2716" spans="1:4" x14ac:dyDescent="0.2">
      <c r="A2716" s="24">
        <v>44166</v>
      </c>
      <c r="B2716" s="25" t="s">
        <v>135</v>
      </c>
      <c r="C2716" s="25" t="s">
        <v>4</v>
      </c>
      <c r="D2716" s="51">
        <v>6</v>
      </c>
    </row>
    <row r="2717" spans="1:4" x14ac:dyDescent="0.2">
      <c r="A2717" s="24">
        <v>44166</v>
      </c>
      <c r="B2717" s="25" t="s">
        <v>136</v>
      </c>
      <c r="C2717" s="25" t="s">
        <v>4</v>
      </c>
      <c r="D2717" s="51">
        <v>2</v>
      </c>
    </row>
    <row r="2718" spans="1:4" x14ac:dyDescent="0.2">
      <c r="A2718" s="24">
        <v>44166</v>
      </c>
      <c r="B2718" s="25" t="s">
        <v>119</v>
      </c>
      <c r="C2718" s="25" t="s">
        <v>4</v>
      </c>
      <c r="D2718" s="51">
        <v>580697</v>
      </c>
    </row>
    <row r="2719" spans="1:4" x14ac:dyDescent="0.2">
      <c r="A2719" s="24">
        <v>44166</v>
      </c>
      <c r="B2719" s="25" t="s">
        <v>138</v>
      </c>
      <c r="C2719" s="25" t="s">
        <v>4</v>
      </c>
      <c r="D2719" s="51">
        <v>11</v>
      </c>
    </row>
    <row r="2720" spans="1:4" x14ac:dyDescent="0.2">
      <c r="A2720" s="24">
        <v>44166</v>
      </c>
      <c r="B2720" s="25" t="s">
        <v>139</v>
      </c>
      <c r="C2720" s="25" t="s">
        <v>4</v>
      </c>
      <c r="D2720" s="51">
        <v>618</v>
      </c>
    </row>
    <row r="2721" spans="1:4" x14ac:dyDescent="0.2">
      <c r="A2721" s="24">
        <v>44166</v>
      </c>
      <c r="B2721" s="25" t="s">
        <v>120</v>
      </c>
      <c r="C2721" s="25" t="s">
        <v>4</v>
      </c>
      <c r="D2721" s="51">
        <v>56361</v>
      </c>
    </row>
    <row r="2722" spans="1:4" x14ac:dyDescent="0.2">
      <c r="A2722" s="24">
        <v>44166</v>
      </c>
      <c r="B2722" s="25" t="s">
        <v>121</v>
      </c>
      <c r="C2722" s="25" t="s">
        <v>4</v>
      </c>
      <c r="D2722" s="51">
        <v>25512</v>
      </c>
    </row>
    <row r="2723" spans="1:4" x14ac:dyDescent="0.2">
      <c r="A2723" s="24">
        <v>44166</v>
      </c>
      <c r="B2723" s="25" t="s">
        <v>140</v>
      </c>
      <c r="C2723" s="25" t="s">
        <v>4</v>
      </c>
      <c r="D2723" s="51">
        <v>17201</v>
      </c>
    </row>
    <row r="2724" spans="1:4" x14ac:dyDescent="0.2">
      <c r="A2724" s="24">
        <v>44166</v>
      </c>
      <c r="B2724" s="25" t="s">
        <v>122</v>
      </c>
      <c r="C2724" s="25" t="s">
        <v>4</v>
      </c>
      <c r="D2724" s="51">
        <v>780929</v>
      </c>
    </row>
    <row r="2725" spans="1:4" x14ac:dyDescent="0.2">
      <c r="A2725" s="24">
        <v>44166</v>
      </c>
      <c r="B2725" s="25" t="s">
        <v>123</v>
      </c>
      <c r="C2725" s="25" t="s">
        <v>4</v>
      </c>
      <c r="D2725" s="51">
        <v>2841423</v>
      </c>
    </row>
    <row r="2726" spans="1:4" x14ac:dyDescent="0.2">
      <c r="A2726" s="24">
        <v>44166</v>
      </c>
      <c r="B2726" s="25" t="s">
        <v>117</v>
      </c>
      <c r="C2726" s="25" t="s">
        <v>8</v>
      </c>
      <c r="D2726" s="51">
        <v>197131</v>
      </c>
    </row>
    <row r="2727" spans="1:4" x14ac:dyDescent="0.2">
      <c r="A2727" s="24">
        <v>44166</v>
      </c>
      <c r="B2727" s="25" t="s">
        <v>137</v>
      </c>
      <c r="C2727" s="25" t="s">
        <v>8</v>
      </c>
      <c r="D2727" s="51">
        <v>126639</v>
      </c>
    </row>
    <row r="2728" spans="1:4" x14ac:dyDescent="0.2">
      <c r="A2728" s="24">
        <v>44166</v>
      </c>
      <c r="B2728" s="25" t="s">
        <v>118</v>
      </c>
      <c r="C2728" s="25" t="s">
        <v>8</v>
      </c>
      <c r="D2728" s="51">
        <v>34165</v>
      </c>
    </row>
    <row r="2729" spans="1:4" x14ac:dyDescent="0.2">
      <c r="A2729" s="24">
        <v>44166</v>
      </c>
      <c r="B2729" s="25" t="s">
        <v>119</v>
      </c>
      <c r="C2729" s="25" t="s">
        <v>8</v>
      </c>
      <c r="D2729" s="51">
        <v>11777</v>
      </c>
    </row>
    <row r="2730" spans="1:4" x14ac:dyDescent="0.2">
      <c r="A2730" s="24">
        <v>44166</v>
      </c>
      <c r="B2730" s="25" t="s">
        <v>139</v>
      </c>
      <c r="C2730" s="25" t="s">
        <v>8</v>
      </c>
      <c r="D2730" s="51">
        <v>15</v>
      </c>
    </row>
    <row r="2731" spans="1:4" x14ac:dyDescent="0.2">
      <c r="A2731" s="24">
        <v>44166</v>
      </c>
      <c r="B2731" s="25" t="s">
        <v>120</v>
      </c>
      <c r="C2731" s="25" t="s">
        <v>8</v>
      </c>
      <c r="D2731" s="51">
        <v>2932</v>
      </c>
    </row>
    <row r="2732" spans="1:4" x14ac:dyDescent="0.2">
      <c r="A2732" s="24">
        <v>44166</v>
      </c>
      <c r="B2732" s="25" t="s">
        <v>121</v>
      </c>
      <c r="C2732" s="25" t="s">
        <v>8</v>
      </c>
      <c r="D2732" s="51">
        <v>1292</v>
      </c>
    </row>
    <row r="2733" spans="1:4" x14ac:dyDescent="0.2">
      <c r="A2733" s="24">
        <v>44166</v>
      </c>
      <c r="B2733" s="25" t="s">
        <v>122</v>
      </c>
      <c r="C2733" s="25" t="s">
        <v>8</v>
      </c>
      <c r="D2733" s="51">
        <v>4291</v>
      </c>
    </row>
    <row r="2734" spans="1:4" x14ac:dyDescent="0.2">
      <c r="A2734" s="24">
        <v>44166</v>
      </c>
      <c r="B2734" s="25" t="s">
        <v>123</v>
      </c>
      <c r="C2734" s="25" t="s">
        <v>8</v>
      </c>
      <c r="D2734" s="51">
        <v>93970</v>
      </c>
    </row>
    <row r="2735" spans="1:4" x14ac:dyDescent="0.2">
      <c r="A2735" s="24">
        <v>44166</v>
      </c>
      <c r="B2735" s="25" t="s">
        <v>124</v>
      </c>
      <c r="C2735" s="25" t="s">
        <v>8</v>
      </c>
      <c r="D2735" s="51">
        <v>5608</v>
      </c>
    </row>
    <row r="2736" spans="1:4" x14ac:dyDescent="0.2">
      <c r="A2736" s="24">
        <v>44166</v>
      </c>
      <c r="B2736" s="25" t="s">
        <v>125</v>
      </c>
      <c r="C2736" s="25" t="s">
        <v>8</v>
      </c>
      <c r="D2736" s="51">
        <v>3470</v>
      </c>
    </row>
    <row r="2737" spans="1:4" x14ac:dyDescent="0.2">
      <c r="A2737" s="24">
        <v>44166</v>
      </c>
      <c r="B2737" s="25" t="s">
        <v>117</v>
      </c>
      <c r="C2737" s="25" t="s">
        <v>26</v>
      </c>
      <c r="D2737" s="51">
        <v>716948</v>
      </c>
    </row>
    <row r="2738" spans="1:4" x14ac:dyDescent="0.2">
      <c r="A2738" s="24">
        <v>44166</v>
      </c>
      <c r="B2738" s="25" t="s">
        <v>137</v>
      </c>
      <c r="C2738" s="25" t="s">
        <v>26</v>
      </c>
      <c r="D2738" s="51">
        <v>350597</v>
      </c>
    </row>
    <row r="2739" spans="1:4" x14ac:dyDescent="0.2">
      <c r="A2739" s="24">
        <v>44166</v>
      </c>
      <c r="B2739" s="25" t="s">
        <v>118</v>
      </c>
      <c r="C2739" s="25" t="s">
        <v>26</v>
      </c>
      <c r="D2739" s="51">
        <v>64923</v>
      </c>
    </row>
    <row r="2740" spans="1:4" x14ac:dyDescent="0.2">
      <c r="A2740" s="24">
        <v>44166</v>
      </c>
      <c r="B2740" s="25" t="s">
        <v>119</v>
      </c>
      <c r="C2740" s="25" t="s">
        <v>26</v>
      </c>
      <c r="D2740" s="51">
        <v>71350</v>
      </c>
    </row>
    <row r="2741" spans="1:4" x14ac:dyDescent="0.2">
      <c r="A2741" s="24">
        <v>44166</v>
      </c>
      <c r="B2741" s="25" t="s">
        <v>138</v>
      </c>
      <c r="C2741" s="25" t="s">
        <v>26</v>
      </c>
      <c r="D2741" s="51">
        <v>2</v>
      </c>
    </row>
    <row r="2742" spans="1:4" x14ac:dyDescent="0.2">
      <c r="A2742" s="24">
        <v>44166</v>
      </c>
      <c r="B2742" s="25" t="s">
        <v>139</v>
      </c>
      <c r="C2742" s="25" t="s">
        <v>26</v>
      </c>
      <c r="D2742" s="51">
        <v>21</v>
      </c>
    </row>
    <row r="2743" spans="1:4" x14ac:dyDescent="0.2">
      <c r="A2743" s="24">
        <v>44166</v>
      </c>
      <c r="B2743" s="25" t="s">
        <v>120</v>
      </c>
      <c r="C2743" s="25" t="s">
        <v>26</v>
      </c>
      <c r="D2743" s="51">
        <v>6826</v>
      </c>
    </row>
    <row r="2744" spans="1:4" x14ac:dyDescent="0.2">
      <c r="A2744" s="24">
        <v>44166</v>
      </c>
      <c r="B2744" s="25" t="s">
        <v>121</v>
      </c>
      <c r="C2744" s="25" t="s">
        <v>26</v>
      </c>
      <c r="D2744" s="51">
        <v>1830</v>
      </c>
    </row>
    <row r="2745" spans="1:4" x14ac:dyDescent="0.2">
      <c r="A2745" s="24">
        <v>44166</v>
      </c>
      <c r="B2745" s="25" t="s">
        <v>122</v>
      </c>
      <c r="C2745" s="25" t="s">
        <v>26</v>
      </c>
      <c r="D2745" s="51">
        <v>20519</v>
      </c>
    </row>
    <row r="2746" spans="1:4" x14ac:dyDescent="0.2">
      <c r="A2746" s="24">
        <v>44166</v>
      </c>
      <c r="B2746" s="25" t="s">
        <v>123</v>
      </c>
      <c r="C2746" s="25" t="s">
        <v>26</v>
      </c>
      <c r="D2746" s="51">
        <v>216952</v>
      </c>
    </row>
    <row r="2747" spans="1:4" x14ac:dyDescent="0.2">
      <c r="A2747" s="24">
        <v>44166</v>
      </c>
      <c r="B2747" s="25" t="s">
        <v>127</v>
      </c>
      <c r="C2747" s="25" t="s">
        <v>26</v>
      </c>
      <c r="D2747" s="51">
        <v>1418</v>
      </c>
    </row>
    <row r="2748" spans="1:4" x14ac:dyDescent="0.2">
      <c r="A2748" s="24">
        <v>44166</v>
      </c>
      <c r="B2748" s="25" t="s">
        <v>128</v>
      </c>
      <c r="C2748" s="25" t="s">
        <v>26</v>
      </c>
      <c r="D2748" s="51">
        <v>860</v>
      </c>
    </row>
    <row r="2749" spans="1:4" x14ac:dyDescent="0.2">
      <c r="A2749" s="24">
        <v>44166</v>
      </c>
      <c r="B2749" s="25" t="s">
        <v>117</v>
      </c>
      <c r="C2749" s="25" t="s">
        <v>142</v>
      </c>
      <c r="D2749" s="51">
        <v>583500</v>
      </c>
    </row>
    <row r="2750" spans="1:4" x14ac:dyDescent="0.2">
      <c r="A2750" s="24">
        <v>44166</v>
      </c>
      <c r="B2750" s="25" t="s">
        <v>137</v>
      </c>
      <c r="C2750" s="25" t="s">
        <v>142</v>
      </c>
      <c r="D2750" s="51">
        <v>215788</v>
      </c>
    </row>
    <row r="2751" spans="1:4" x14ac:dyDescent="0.2">
      <c r="A2751" s="24">
        <v>44166</v>
      </c>
      <c r="B2751" s="25" t="s">
        <v>118</v>
      </c>
      <c r="C2751" s="25" t="s">
        <v>142</v>
      </c>
      <c r="D2751" s="51">
        <v>94959</v>
      </c>
    </row>
    <row r="2752" spans="1:4" x14ac:dyDescent="0.2">
      <c r="A2752" s="24">
        <v>44166</v>
      </c>
      <c r="B2752" s="25" t="s">
        <v>119</v>
      </c>
      <c r="C2752" s="25" t="s">
        <v>142</v>
      </c>
      <c r="D2752" s="51">
        <v>78503</v>
      </c>
    </row>
    <row r="2753" spans="1:4" x14ac:dyDescent="0.2">
      <c r="A2753" s="24">
        <v>44166</v>
      </c>
      <c r="B2753" s="25" t="s">
        <v>139</v>
      </c>
      <c r="C2753" s="25" t="s">
        <v>142</v>
      </c>
      <c r="D2753" s="51">
        <v>9</v>
      </c>
    </row>
    <row r="2754" spans="1:4" x14ac:dyDescent="0.2">
      <c r="A2754" s="24">
        <v>44166</v>
      </c>
      <c r="B2754" s="25" t="s">
        <v>120</v>
      </c>
      <c r="C2754" s="25" t="s">
        <v>142</v>
      </c>
      <c r="D2754" s="51">
        <v>7699</v>
      </c>
    </row>
    <row r="2755" spans="1:4" x14ac:dyDescent="0.2">
      <c r="A2755" s="24">
        <v>44166</v>
      </c>
      <c r="B2755" s="25" t="s">
        <v>121</v>
      </c>
      <c r="C2755" s="25" t="s">
        <v>142</v>
      </c>
      <c r="D2755" s="51">
        <v>1082</v>
      </c>
    </row>
    <row r="2756" spans="1:4" x14ac:dyDescent="0.2">
      <c r="A2756" s="24">
        <v>44166</v>
      </c>
      <c r="B2756" s="25" t="s">
        <v>122</v>
      </c>
      <c r="C2756" s="25" t="s">
        <v>142</v>
      </c>
      <c r="D2756" s="51">
        <v>51121</v>
      </c>
    </row>
    <row r="2757" spans="1:4" x14ac:dyDescent="0.2">
      <c r="A2757" s="24">
        <v>44166</v>
      </c>
      <c r="B2757" s="25" t="s">
        <v>123</v>
      </c>
      <c r="C2757" s="25" t="s">
        <v>142</v>
      </c>
      <c r="D2757" s="51">
        <v>77723</v>
      </c>
    </row>
    <row r="2758" spans="1:4" x14ac:dyDescent="0.2">
      <c r="A2758" s="24">
        <v>44166</v>
      </c>
      <c r="B2758" s="25" t="s">
        <v>129</v>
      </c>
      <c r="C2758" s="25" t="s">
        <v>142</v>
      </c>
      <c r="D2758" s="51">
        <v>3080</v>
      </c>
    </row>
    <row r="2759" spans="1:4" x14ac:dyDescent="0.2">
      <c r="A2759" s="24">
        <v>44166</v>
      </c>
      <c r="B2759" s="25" t="s">
        <v>130</v>
      </c>
      <c r="C2759" s="25" t="s">
        <v>142</v>
      </c>
      <c r="D2759" s="51">
        <v>4100</v>
      </c>
    </row>
    <row r="2760" spans="1:4" x14ac:dyDescent="0.2">
      <c r="A2760" s="24">
        <v>44166</v>
      </c>
      <c r="B2760" s="25" t="s">
        <v>117</v>
      </c>
      <c r="C2760" s="25" t="s">
        <v>2</v>
      </c>
      <c r="D2760" s="51">
        <v>9225046</v>
      </c>
    </row>
    <row r="2761" spans="1:4" x14ac:dyDescent="0.2">
      <c r="A2761" s="24">
        <v>44166</v>
      </c>
      <c r="B2761" s="25" t="s">
        <v>137</v>
      </c>
      <c r="C2761" s="25" t="s">
        <v>2</v>
      </c>
      <c r="D2761" s="51">
        <v>3091734</v>
      </c>
    </row>
    <row r="2762" spans="1:4" x14ac:dyDescent="0.2">
      <c r="A2762" s="24">
        <v>44166</v>
      </c>
      <c r="B2762" s="25" t="s">
        <v>118</v>
      </c>
      <c r="C2762" s="25" t="s">
        <v>2</v>
      </c>
      <c r="D2762" s="51">
        <v>635972</v>
      </c>
    </row>
    <row r="2763" spans="1:4" x14ac:dyDescent="0.2">
      <c r="A2763" s="24">
        <v>44166</v>
      </c>
      <c r="B2763" s="25" t="s">
        <v>119</v>
      </c>
      <c r="C2763" s="25" t="s">
        <v>2</v>
      </c>
      <c r="D2763" s="51">
        <v>756484</v>
      </c>
    </row>
    <row r="2764" spans="1:4" x14ac:dyDescent="0.2">
      <c r="A2764" s="24">
        <v>44166</v>
      </c>
      <c r="B2764" s="25" t="s">
        <v>138</v>
      </c>
      <c r="C2764" s="25" t="s">
        <v>2</v>
      </c>
      <c r="D2764" s="51">
        <v>12</v>
      </c>
    </row>
    <row r="2765" spans="1:4" x14ac:dyDescent="0.2">
      <c r="A2765" s="24">
        <v>44166</v>
      </c>
      <c r="B2765" s="25" t="s">
        <v>139</v>
      </c>
      <c r="C2765" s="25" t="s">
        <v>2</v>
      </c>
      <c r="D2765" s="51">
        <v>641</v>
      </c>
    </row>
    <row r="2766" spans="1:4" x14ac:dyDescent="0.2">
      <c r="A2766" s="24">
        <v>44166</v>
      </c>
      <c r="B2766" s="25" t="s">
        <v>120</v>
      </c>
      <c r="C2766" s="25" t="s">
        <v>2</v>
      </c>
      <c r="D2766" s="51">
        <v>226494</v>
      </c>
    </row>
    <row r="2767" spans="1:4" x14ac:dyDescent="0.2">
      <c r="A2767" s="24">
        <v>44166</v>
      </c>
      <c r="B2767" s="25" t="s">
        <v>121</v>
      </c>
      <c r="C2767" s="25" t="s">
        <v>2</v>
      </c>
      <c r="D2767" s="51">
        <v>18057</v>
      </c>
    </row>
    <row r="2768" spans="1:4" x14ac:dyDescent="0.2">
      <c r="A2768" s="24">
        <v>44166</v>
      </c>
      <c r="B2768" s="25" t="s">
        <v>122</v>
      </c>
      <c r="C2768" s="25" t="s">
        <v>2</v>
      </c>
      <c r="D2768" s="51">
        <v>429805</v>
      </c>
    </row>
    <row r="2769" spans="1:4" x14ac:dyDescent="0.2">
      <c r="A2769" s="24">
        <v>44166</v>
      </c>
      <c r="B2769" s="25" t="s">
        <v>123</v>
      </c>
      <c r="C2769" s="25" t="s">
        <v>2</v>
      </c>
      <c r="D2769" s="51">
        <v>1706291</v>
      </c>
    </row>
    <row r="2770" spans="1:4" x14ac:dyDescent="0.2">
      <c r="A2770" s="24">
        <v>44166</v>
      </c>
      <c r="B2770" s="25" t="s">
        <v>129</v>
      </c>
      <c r="C2770" s="25" t="s">
        <v>2</v>
      </c>
      <c r="D2770" s="51">
        <v>51766</v>
      </c>
    </row>
    <row r="2771" spans="1:4" x14ac:dyDescent="0.2">
      <c r="A2771" s="24">
        <v>44166</v>
      </c>
      <c r="B2771" s="25" t="s">
        <v>130</v>
      </c>
      <c r="C2771" s="25" t="s">
        <v>2</v>
      </c>
      <c r="D2771" s="51">
        <v>31494</v>
      </c>
    </row>
    <row r="2772" spans="1:4" x14ac:dyDescent="0.2">
      <c r="A2772" s="24">
        <v>44197</v>
      </c>
      <c r="B2772" s="25" t="s">
        <v>117</v>
      </c>
      <c r="C2772" s="25" t="s">
        <v>4</v>
      </c>
      <c r="D2772" s="51">
        <v>5148624</v>
      </c>
    </row>
    <row r="2773" spans="1:4" x14ac:dyDescent="0.2">
      <c r="A2773" s="24">
        <v>44197</v>
      </c>
      <c r="B2773" s="25" t="s">
        <v>131</v>
      </c>
      <c r="C2773" s="25" t="s">
        <v>4</v>
      </c>
      <c r="D2773" s="51">
        <v>61</v>
      </c>
    </row>
    <row r="2774" spans="1:4" x14ac:dyDescent="0.2">
      <c r="A2774" s="24">
        <v>44197</v>
      </c>
      <c r="B2774" s="25" t="s">
        <v>132</v>
      </c>
      <c r="C2774" s="25" t="s">
        <v>4</v>
      </c>
      <c r="D2774" s="51">
        <v>23</v>
      </c>
    </row>
    <row r="2775" spans="1:4" x14ac:dyDescent="0.2">
      <c r="A2775" s="24">
        <v>44197</v>
      </c>
      <c r="B2775" s="25" t="s">
        <v>133</v>
      </c>
      <c r="C2775" s="25" t="s">
        <v>4</v>
      </c>
      <c r="D2775" s="51">
        <v>9</v>
      </c>
    </row>
    <row r="2776" spans="1:4" x14ac:dyDescent="0.2">
      <c r="A2776" s="24">
        <v>44197</v>
      </c>
      <c r="B2776" s="25" t="s">
        <v>137</v>
      </c>
      <c r="C2776" s="25" t="s">
        <v>4</v>
      </c>
      <c r="D2776" s="51">
        <v>2416896</v>
      </c>
    </row>
    <row r="2777" spans="1:4" x14ac:dyDescent="0.2">
      <c r="A2777" s="24">
        <v>44197</v>
      </c>
      <c r="B2777" s="25" t="s">
        <v>118</v>
      </c>
      <c r="C2777" s="25" t="s">
        <v>4</v>
      </c>
      <c r="D2777" s="51">
        <v>887024</v>
      </c>
    </row>
    <row r="2778" spans="1:4" x14ac:dyDescent="0.2">
      <c r="A2778" s="24">
        <v>44197</v>
      </c>
      <c r="B2778" s="25" t="s">
        <v>134</v>
      </c>
      <c r="C2778" s="25" t="s">
        <v>4</v>
      </c>
      <c r="D2778" s="51">
        <v>17</v>
      </c>
    </row>
    <row r="2779" spans="1:4" x14ac:dyDescent="0.2">
      <c r="A2779" s="24">
        <v>44197</v>
      </c>
      <c r="B2779" s="25" t="s">
        <v>135</v>
      </c>
      <c r="C2779" s="25" t="s">
        <v>4</v>
      </c>
      <c r="D2779" s="51">
        <v>2</v>
      </c>
    </row>
    <row r="2780" spans="1:4" x14ac:dyDescent="0.2">
      <c r="A2780" s="24">
        <v>44197</v>
      </c>
      <c r="B2780" s="25" t="s">
        <v>119</v>
      </c>
      <c r="C2780" s="25" t="s">
        <v>4</v>
      </c>
      <c r="D2780" s="51">
        <v>499048</v>
      </c>
    </row>
    <row r="2781" spans="1:4" x14ac:dyDescent="0.2">
      <c r="A2781" s="24">
        <v>44197</v>
      </c>
      <c r="B2781" s="25" t="s">
        <v>138</v>
      </c>
      <c r="C2781" s="25" t="s">
        <v>4</v>
      </c>
      <c r="D2781" s="51">
        <v>2</v>
      </c>
    </row>
    <row r="2782" spans="1:4" x14ac:dyDescent="0.2">
      <c r="A2782" s="24">
        <v>44197</v>
      </c>
      <c r="B2782" s="25" t="s">
        <v>139</v>
      </c>
      <c r="C2782" s="25" t="s">
        <v>4</v>
      </c>
      <c r="D2782" s="51">
        <v>604</v>
      </c>
    </row>
    <row r="2783" spans="1:4" x14ac:dyDescent="0.2">
      <c r="A2783" s="24">
        <v>44197</v>
      </c>
      <c r="B2783" s="25" t="s">
        <v>120</v>
      </c>
      <c r="C2783" s="25" t="s">
        <v>4</v>
      </c>
      <c r="D2783" s="51">
        <v>48782</v>
      </c>
    </row>
    <row r="2784" spans="1:4" x14ac:dyDescent="0.2">
      <c r="A2784" s="24">
        <v>44197</v>
      </c>
      <c r="B2784" s="25" t="s">
        <v>121</v>
      </c>
      <c r="C2784" s="25" t="s">
        <v>4</v>
      </c>
      <c r="D2784" s="51">
        <v>21806</v>
      </c>
    </row>
    <row r="2785" spans="1:4" x14ac:dyDescent="0.2">
      <c r="A2785" s="24">
        <v>44197</v>
      </c>
      <c r="B2785" s="25" t="s">
        <v>140</v>
      </c>
      <c r="C2785" s="25" t="s">
        <v>4</v>
      </c>
      <c r="D2785" s="51">
        <v>15373</v>
      </c>
    </row>
    <row r="2786" spans="1:4" x14ac:dyDescent="0.2">
      <c r="A2786" s="24">
        <v>44197</v>
      </c>
      <c r="B2786" s="25" t="s">
        <v>122</v>
      </c>
      <c r="C2786" s="25" t="s">
        <v>4</v>
      </c>
      <c r="D2786" s="51">
        <v>81935</v>
      </c>
    </row>
    <row r="2787" spans="1:4" x14ac:dyDescent="0.2">
      <c r="A2787" s="24">
        <v>44197</v>
      </c>
      <c r="B2787" s="25" t="s">
        <v>123</v>
      </c>
      <c r="C2787" s="25" t="s">
        <v>4</v>
      </c>
      <c r="D2787" s="51">
        <v>2447119</v>
      </c>
    </row>
    <row r="2788" spans="1:4" x14ac:dyDescent="0.2">
      <c r="A2788" s="24">
        <v>44197</v>
      </c>
      <c r="B2788" s="25" t="s">
        <v>117</v>
      </c>
      <c r="C2788" s="25" t="s">
        <v>8</v>
      </c>
      <c r="D2788" s="51">
        <v>211318</v>
      </c>
    </row>
    <row r="2789" spans="1:4" x14ac:dyDescent="0.2">
      <c r="A2789" s="24">
        <v>44197</v>
      </c>
      <c r="B2789" s="25" t="s">
        <v>137</v>
      </c>
      <c r="C2789" s="25" t="s">
        <v>8</v>
      </c>
      <c r="D2789" s="51">
        <v>141585</v>
      </c>
    </row>
    <row r="2790" spans="1:4" x14ac:dyDescent="0.2">
      <c r="A2790" s="24">
        <v>44197</v>
      </c>
      <c r="B2790" s="25" t="s">
        <v>118</v>
      </c>
      <c r="C2790" s="25" t="s">
        <v>8</v>
      </c>
      <c r="D2790" s="51">
        <v>62949</v>
      </c>
    </row>
    <row r="2791" spans="1:4" x14ac:dyDescent="0.2">
      <c r="A2791" s="24">
        <v>44197</v>
      </c>
      <c r="B2791" s="25" t="s">
        <v>119</v>
      </c>
      <c r="C2791" s="25" t="s">
        <v>8</v>
      </c>
      <c r="D2791" s="51">
        <v>13986</v>
      </c>
    </row>
    <row r="2792" spans="1:4" x14ac:dyDescent="0.2">
      <c r="A2792" s="24">
        <v>44197</v>
      </c>
      <c r="B2792" s="25" t="s">
        <v>138</v>
      </c>
      <c r="C2792" s="25" t="s">
        <v>8</v>
      </c>
      <c r="D2792" s="51">
        <v>1</v>
      </c>
    </row>
    <row r="2793" spans="1:4" x14ac:dyDescent="0.2">
      <c r="A2793" s="24">
        <v>44197</v>
      </c>
      <c r="B2793" s="25" t="s">
        <v>139</v>
      </c>
      <c r="C2793" s="25" t="s">
        <v>8</v>
      </c>
      <c r="D2793" s="51">
        <v>18</v>
      </c>
    </row>
    <row r="2794" spans="1:4" x14ac:dyDescent="0.2">
      <c r="A2794" s="24">
        <v>44197</v>
      </c>
      <c r="B2794" s="25" t="s">
        <v>120</v>
      </c>
      <c r="C2794" s="25" t="s">
        <v>8</v>
      </c>
      <c r="D2794" s="51">
        <v>3292</v>
      </c>
    </row>
    <row r="2795" spans="1:4" x14ac:dyDescent="0.2">
      <c r="A2795" s="24">
        <v>44197</v>
      </c>
      <c r="B2795" s="25" t="s">
        <v>121</v>
      </c>
      <c r="C2795" s="25" t="s">
        <v>8</v>
      </c>
      <c r="D2795" s="51">
        <v>1329</v>
      </c>
    </row>
    <row r="2796" spans="1:4" x14ac:dyDescent="0.2">
      <c r="A2796" s="24">
        <v>44197</v>
      </c>
      <c r="B2796" s="25" t="s">
        <v>122</v>
      </c>
      <c r="C2796" s="25" t="s">
        <v>8</v>
      </c>
      <c r="D2796" s="51">
        <v>730</v>
      </c>
    </row>
    <row r="2797" spans="1:4" x14ac:dyDescent="0.2">
      <c r="A2797" s="24">
        <v>44197</v>
      </c>
      <c r="B2797" s="25" t="s">
        <v>123</v>
      </c>
      <c r="C2797" s="25" t="s">
        <v>8</v>
      </c>
      <c r="D2797" s="51">
        <v>94831</v>
      </c>
    </row>
    <row r="2798" spans="1:4" x14ac:dyDescent="0.2">
      <c r="A2798" s="24">
        <v>44197</v>
      </c>
      <c r="B2798" s="25" t="s">
        <v>124</v>
      </c>
      <c r="C2798" s="25" t="s">
        <v>8</v>
      </c>
      <c r="D2798" s="51">
        <v>4247</v>
      </c>
    </row>
    <row r="2799" spans="1:4" x14ac:dyDescent="0.2">
      <c r="A2799" s="24">
        <v>44197</v>
      </c>
      <c r="B2799" s="25" t="s">
        <v>125</v>
      </c>
      <c r="C2799" s="25" t="s">
        <v>8</v>
      </c>
      <c r="D2799" s="51">
        <v>4985</v>
      </c>
    </row>
    <row r="2800" spans="1:4" x14ac:dyDescent="0.2">
      <c r="A2800" s="24">
        <v>44197</v>
      </c>
      <c r="B2800" s="25" t="s">
        <v>117</v>
      </c>
      <c r="C2800" s="25" t="s">
        <v>26</v>
      </c>
      <c r="D2800" s="51">
        <v>627839</v>
      </c>
    </row>
    <row r="2801" spans="1:4" x14ac:dyDescent="0.2">
      <c r="A2801" s="24">
        <v>44197</v>
      </c>
      <c r="B2801" s="25" t="s">
        <v>137</v>
      </c>
      <c r="C2801" s="25" t="s">
        <v>26</v>
      </c>
      <c r="D2801" s="51">
        <v>309592</v>
      </c>
    </row>
    <row r="2802" spans="1:4" x14ac:dyDescent="0.2">
      <c r="A2802" s="24">
        <v>44197</v>
      </c>
      <c r="B2802" s="25" t="s">
        <v>118</v>
      </c>
      <c r="C2802" s="25" t="s">
        <v>26</v>
      </c>
      <c r="D2802" s="51">
        <v>77802</v>
      </c>
    </row>
    <row r="2803" spans="1:4" x14ac:dyDescent="0.2">
      <c r="A2803" s="24">
        <v>44197</v>
      </c>
      <c r="B2803" s="25" t="s">
        <v>119</v>
      </c>
      <c r="C2803" s="25" t="s">
        <v>26</v>
      </c>
      <c r="D2803" s="51">
        <v>64830</v>
      </c>
    </row>
    <row r="2804" spans="1:4" x14ac:dyDescent="0.2">
      <c r="A2804" s="24">
        <v>44197</v>
      </c>
      <c r="B2804" s="25" t="s">
        <v>139</v>
      </c>
      <c r="C2804" s="25" t="s">
        <v>26</v>
      </c>
      <c r="D2804" s="51">
        <v>27</v>
      </c>
    </row>
    <row r="2805" spans="1:4" x14ac:dyDescent="0.2">
      <c r="A2805" s="24">
        <v>44197</v>
      </c>
      <c r="B2805" s="25" t="s">
        <v>120</v>
      </c>
      <c r="C2805" s="25" t="s">
        <v>26</v>
      </c>
      <c r="D2805" s="51">
        <v>5735</v>
      </c>
    </row>
    <row r="2806" spans="1:4" x14ac:dyDescent="0.2">
      <c r="A2806" s="24">
        <v>44197</v>
      </c>
      <c r="B2806" s="25" t="s">
        <v>121</v>
      </c>
      <c r="C2806" s="25" t="s">
        <v>26</v>
      </c>
      <c r="D2806" s="51">
        <v>1690</v>
      </c>
    </row>
    <row r="2807" spans="1:4" x14ac:dyDescent="0.2">
      <c r="A2807" s="24">
        <v>44197</v>
      </c>
      <c r="B2807" s="25" t="s">
        <v>122</v>
      </c>
      <c r="C2807" s="25" t="s">
        <v>26</v>
      </c>
      <c r="D2807" s="51">
        <v>2499</v>
      </c>
    </row>
    <row r="2808" spans="1:4" x14ac:dyDescent="0.2">
      <c r="A2808" s="24">
        <v>44197</v>
      </c>
      <c r="B2808" s="25" t="s">
        <v>123</v>
      </c>
      <c r="C2808" s="25" t="s">
        <v>26</v>
      </c>
      <c r="D2808" s="51">
        <v>181710</v>
      </c>
    </row>
    <row r="2809" spans="1:4" x14ac:dyDescent="0.2">
      <c r="A2809" s="24">
        <v>44197</v>
      </c>
      <c r="B2809" s="25" t="s">
        <v>127</v>
      </c>
      <c r="C2809" s="25" t="s">
        <v>26</v>
      </c>
      <c r="D2809" s="51">
        <v>918</v>
      </c>
    </row>
    <row r="2810" spans="1:4" x14ac:dyDescent="0.2">
      <c r="A2810" s="24">
        <v>44197</v>
      </c>
      <c r="B2810" s="25" t="s">
        <v>128</v>
      </c>
      <c r="C2810" s="25" t="s">
        <v>26</v>
      </c>
      <c r="D2810" s="51">
        <v>987</v>
      </c>
    </row>
    <row r="2811" spans="1:4" x14ac:dyDescent="0.2">
      <c r="A2811" s="24">
        <v>44197</v>
      </c>
      <c r="B2811" s="25" t="s">
        <v>117</v>
      </c>
      <c r="C2811" s="25" t="s">
        <v>142</v>
      </c>
      <c r="D2811" s="51">
        <v>489531</v>
      </c>
    </row>
    <row r="2812" spans="1:4" x14ac:dyDescent="0.2">
      <c r="A2812" s="24">
        <v>44197</v>
      </c>
      <c r="B2812" s="25" t="s">
        <v>137</v>
      </c>
      <c r="C2812" s="25" t="s">
        <v>142</v>
      </c>
      <c r="D2812" s="51">
        <v>180974</v>
      </c>
    </row>
    <row r="2813" spans="1:4" x14ac:dyDescent="0.2">
      <c r="A2813" s="24">
        <v>44197</v>
      </c>
      <c r="B2813" s="25" t="s">
        <v>118</v>
      </c>
      <c r="C2813" s="25" t="s">
        <v>142</v>
      </c>
      <c r="D2813" s="51">
        <v>105764</v>
      </c>
    </row>
    <row r="2814" spans="1:4" x14ac:dyDescent="0.2">
      <c r="A2814" s="24">
        <v>44197</v>
      </c>
      <c r="B2814" s="25" t="s">
        <v>119</v>
      </c>
      <c r="C2814" s="25" t="s">
        <v>142</v>
      </c>
      <c r="D2814" s="51">
        <v>67660</v>
      </c>
    </row>
    <row r="2815" spans="1:4" x14ac:dyDescent="0.2">
      <c r="A2815" s="24">
        <v>44197</v>
      </c>
      <c r="B2815" s="25" t="s">
        <v>139</v>
      </c>
      <c r="C2815" s="25" t="s">
        <v>142</v>
      </c>
      <c r="D2815" s="51">
        <v>6</v>
      </c>
    </row>
    <row r="2816" spans="1:4" x14ac:dyDescent="0.2">
      <c r="A2816" s="24">
        <v>44197</v>
      </c>
      <c r="B2816" s="25" t="s">
        <v>120</v>
      </c>
      <c r="C2816" s="25" t="s">
        <v>142</v>
      </c>
      <c r="D2816" s="51">
        <v>6574</v>
      </c>
    </row>
    <row r="2817" spans="1:4" x14ac:dyDescent="0.2">
      <c r="A2817" s="24">
        <v>44197</v>
      </c>
      <c r="B2817" s="25" t="s">
        <v>121</v>
      </c>
      <c r="C2817" s="25" t="s">
        <v>142</v>
      </c>
      <c r="D2817" s="51">
        <v>812</v>
      </c>
    </row>
    <row r="2818" spans="1:4" x14ac:dyDescent="0.2">
      <c r="A2818" s="24">
        <v>44197</v>
      </c>
      <c r="B2818" s="25" t="s">
        <v>122</v>
      </c>
      <c r="C2818" s="25" t="s">
        <v>142</v>
      </c>
      <c r="D2818" s="51">
        <v>5223</v>
      </c>
    </row>
    <row r="2819" spans="1:4" x14ac:dyDescent="0.2">
      <c r="A2819" s="24">
        <v>44197</v>
      </c>
      <c r="B2819" s="25" t="s">
        <v>123</v>
      </c>
      <c r="C2819" s="25" t="s">
        <v>142</v>
      </c>
      <c r="D2819" s="51">
        <v>62489</v>
      </c>
    </row>
    <row r="2820" spans="1:4" x14ac:dyDescent="0.2">
      <c r="A2820" s="24">
        <v>44197</v>
      </c>
      <c r="B2820" s="25" t="s">
        <v>129</v>
      </c>
      <c r="C2820" s="25" t="s">
        <v>142</v>
      </c>
      <c r="D2820" s="51">
        <v>1901</v>
      </c>
    </row>
    <row r="2821" spans="1:4" x14ac:dyDescent="0.2">
      <c r="A2821" s="24">
        <v>44197</v>
      </c>
      <c r="B2821" s="25" t="s">
        <v>130</v>
      </c>
      <c r="C2821" s="25" t="s">
        <v>142</v>
      </c>
      <c r="D2821" s="51">
        <v>3751</v>
      </c>
    </row>
    <row r="2822" spans="1:4" x14ac:dyDescent="0.2">
      <c r="A2822" s="24">
        <v>44197</v>
      </c>
      <c r="B2822" s="25" t="s">
        <v>117</v>
      </c>
      <c r="C2822" s="25" t="s">
        <v>2</v>
      </c>
      <c r="D2822" s="51">
        <v>7869191</v>
      </c>
    </row>
    <row r="2823" spans="1:4" x14ac:dyDescent="0.2">
      <c r="A2823" s="24">
        <v>44197</v>
      </c>
      <c r="B2823" s="25" t="s">
        <v>137</v>
      </c>
      <c r="C2823" s="25" t="s">
        <v>2</v>
      </c>
      <c r="D2823" s="51">
        <v>2686459</v>
      </c>
    </row>
    <row r="2824" spans="1:4" x14ac:dyDescent="0.2">
      <c r="A2824" s="24">
        <v>44197</v>
      </c>
      <c r="B2824" s="25" t="s">
        <v>118</v>
      </c>
      <c r="C2824" s="25" t="s">
        <v>2</v>
      </c>
      <c r="D2824" s="51">
        <v>715610</v>
      </c>
    </row>
    <row r="2825" spans="1:4" x14ac:dyDescent="0.2">
      <c r="A2825" s="24">
        <v>44197</v>
      </c>
      <c r="B2825" s="25" t="s">
        <v>119</v>
      </c>
      <c r="C2825" s="25" t="s">
        <v>2</v>
      </c>
      <c r="D2825" s="51">
        <v>628940</v>
      </c>
    </row>
    <row r="2826" spans="1:4" x14ac:dyDescent="0.2">
      <c r="A2826" s="24">
        <v>44197</v>
      </c>
      <c r="B2826" s="25" t="s">
        <v>138</v>
      </c>
      <c r="C2826" s="25" t="s">
        <v>2</v>
      </c>
      <c r="D2826" s="51">
        <v>1</v>
      </c>
    </row>
    <row r="2827" spans="1:4" x14ac:dyDescent="0.2">
      <c r="A2827" s="24">
        <v>44197</v>
      </c>
      <c r="B2827" s="25" t="s">
        <v>139</v>
      </c>
      <c r="C2827" s="25" t="s">
        <v>2</v>
      </c>
      <c r="D2827" s="51">
        <v>721</v>
      </c>
    </row>
    <row r="2828" spans="1:4" x14ac:dyDescent="0.2">
      <c r="A2828" s="24">
        <v>44197</v>
      </c>
      <c r="B2828" s="25" t="s">
        <v>120</v>
      </c>
      <c r="C2828" s="25" t="s">
        <v>2</v>
      </c>
      <c r="D2828" s="51">
        <v>205188</v>
      </c>
    </row>
    <row r="2829" spans="1:4" x14ac:dyDescent="0.2">
      <c r="A2829" s="24">
        <v>44197</v>
      </c>
      <c r="B2829" s="25" t="s">
        <v>121</v>
      </c>
      <c r="C2829" s="25" t="s">
        <v>2</v>
      </c>
      <c r="D2829" s="51">
        <v>13909</v>
      </c>
    </row>
    <row r="2830" spans="1:4" x14ac:dyDescent="0.2">
      <c r="A2830" s="24">
        <v>44197</v>
      </c>
      <c r="B2830" s="25" t="s">
        <v>122</v>
      </c>
      <c r="C2830" s="25" t="s">
        <v>2</v>
      </c>
      <c r="D2830" s="51">
        <v>50576</v>
      </c>
    </row>
    <row r="2831" spans="1:4" x14ac:dyDescent="0.2">
      <c r="A2831" s="24">
        <v>44197</v>
      </c>
      <c r="B2831" s="25" t="s">
        <v>123</v>
      </c>
      <c r="C2831" s="25" t="s">
        <v>2</v>
      </c>
      <c r="D2831" s="51">
        <v>1384427</v>
      </c>
    </row>
    <row r="2832" spans="1:4" x14ac:dyDescent="0.2">
      <c r="A2832" s="24">
        <v>44197</v>
      </c>
      <c r="B2832" s="25" t="s">
        <v>129</v>
      </c>
      <c r="C2832" s="25" t="s">
        <v>2</v>
      </c>
      <c r="D2832" s="51">
        <v>31739</v>
      </c>
    </row>
    <row r="2833" spans="1:4" x14ac:dyDescent="0.2">
      <c r="A2833" s="24">
        <v>44197</v>
      </c>
      <c r="B2833" s="25" t="s">
        <v>130</v>
      </c>
      <c r="C2833" s="25" t="s">
        <v>2</v>
      </c>
      <c r="D2833" s="51">
        <v>29775</v>
      </c>
    </row>
    <row r="2834" spans="1:4" x14ac:dyDescent="0.2">
      <c r="A2834" s="24">
        <v>44228</v>
      </c>
      <c r="B2834" s="25" t="s">
        <v>117</v>
      </c>
      <c r="C2834" s="25" t="s">
        <v>4</v>
      </c>
      <c r="D2834" s="51">
        <v>5907430</v>
      </c>
    </row>
    <row r="2835" spans="1:4" x14ac:dyDescent="0.2">
      <c r="A2835" s="24">
        <v>44228</v>
      </c>
      <c r="B2835" s="25" t="s">
        <v>131</v>
      </c>
      <c r="C2835" s="25" t="s">
        <v>4</v>
      </c>
      <c r="D2835" s="51">
        <v>152</v>
      </c>
    </row>
    <row r="2836" spans="1:4" x14ac:dyDescent="0.2">
      <c r="A2836" s="24">
        <v>44228</v>
      </c>
      <c r="B2836" s="25" t="s">
        <v>132</v>
      </c>
      <c r="C2836" s="25" t="s">
        <v>4</v>
      </c>
      <c r="D2836" s="51">
        <v>33</v>
      </c>
    </row>
    <row r="2837" spans="1:4" x14ac:dyDescent="0.2">
      <c r="A2837" s="24">
        <v>44228</v>
      </c>
      <c r="B2837" s="25" t="s">
        <v>133</v>
      </c>
      <c r="C2837" s="25" t="s">
        <v>4</v>
      </c>
      <c r="D2837" s="51">
        <v>11</v>
      </c>
    </row>
    <row r="2838" spans="1:4" x14ac:dyDescent="0.2">
      <c r="A2838" s="24">
        <v>44228</v>
      </c>
      <c r="B2838" s="25" t="s">
        <v>137</v>
      </c>
      <c r="C2838" s="25" t="s">
        <v>4</v>
      </c>
      <c r="D2838" s="51">
        <v>2714548</v>
      </c>
    </row>
    <row r="2839" spans="1:4" x14ac:dyDescent="0.2">
      <c r="A2839" s="24">
        <v>44228</v>
      </c>
      <c r="B2839" s="25" t="s">
        <v>118</v>
      </c>
      <c r="C2839" s="25" t="s">
        <v>4</v>
      </c>
      <c r="D2839" s="51">
        <v>737454</v>
      </c>
    </row>
    <row r="2840" spans="1:4" x14ac:dyDescent="0.2">
      <c r="A2840" s="24">
        <v>44228</v>
      </c>
      <c r="B2840" s="25" t="s">
        <v>134</v>
      </c>
      <c r="C2840" s="25" t="s">
        <v>4</v>
      </c>
      <c r="D2840" s="51">
        <v>3</v>
      </c>
    </row>
    <row r="2841" spans="1:4" x14ac:dyDescent="0.2">
      <c r="A2841" s="24">
        <v>44228</v>
      </c>
      <c r="B2841" s="25" t="s">
        <v>136</v>
      </c>
      <c r="C2841" s="25" t="s">
        <v>4</v>
      </c>
      <c r="D2841" s="51">
        <v>2</v>
      </c>
    </row>
    <row r="2842" spans="1:4" x14ac:dyDescent="0.2">
      <c r="A2842" s="24">
        <v>44228</v>
      </c>
      <c r="B2842" s="25" t="s">
        <v>119</v>
      </c>
      <c r="C2842" s="25" t="s">
        <v>4</v>
      </c>
      <c r="D2842" s="51">
        <v>707314</v>
      </c>
    </row>
    <row r="2843" spans="1:4" x14ac:dyDescent="0.2">
      <c r="A2843" s="24">
        <v>44228</v>
      </c>
      <c r="B2843" s="25" t="s">
        <v>138</v>
      </c>
      <c r="C2843" s="25" t="s">
        <v>4</v>
      </c>
      <c r="D2843" s="51">
        <v>15</v>
      </c>
    </row>
    <row r="2844" spans="1:4" x14ac:dyDescent="0.2">
      <c r="A2844" s="24">
        <v>44228</v>
      </c>
      <c r="B2844" s="25" t="s">
        <v>139</v>
      </c>
      <c r="C2844" s="25" t="s">
        <v>4</v>
      </c>
      <c r="D2844" s="51">
        <v>667</v>
      </c>
    </row>
    <row r="2845" spans="1:4" x14ac:dyDescent="0.2">
      <c r="A2845" s="24">
        <v>44228</v>
      </c>
      <c r="B2845" s="25" t="s">
        <v>120</v>
      </c>
      <c r="C2845" s="25" t="s">
        <v>4</v>
      </c>
      <c r="D2845" s="51">
        <v>55329</v>
      </c>
    </row>
    <row r="2846" spans="1:4" x14ac:dyDescent="0.2">
      <c r="A2846" s="24">
        <v>44228</v>
      </c>
      <c r="B2846" s="25" t="s">
        <v>121</v>
      </c>
      <c r="C2846" s="25" t="s">
        <v>4</v>
      </c>
      <c r="D2846" s="51">
        <v>26110</v>
      </c>
    </row>
    <row r="2847" spans="1:4" x14ac:dyDescent="0.2">
      <c r="A2847" s="24">
        <v>44228</v>
      </c>
      <c r="B2847" s="25" t="s">
        <v>140</v>
      </c>
      <c r="C2847" s="25" t="s">
        <v>4</v>
      </c>
      <c r="D2847" s="51">
        <v>18068</v>
      </c>
    </row>
    <row r="2848" spans="1:4" x14ac:dyDescent="0.2">
      <c r="A2848" s="24">
        <v>44228</v>
      </c>
      <c r="B2848" s="25" t="s">
        <v>122</v>
      </c>
      <c r="C2848" s="25" t="s">
        <v>4</v>
      </c>
      <c r="D2848" s="51">
        <v>1989485</v>
      </c>
    </row>
    <row r="2849" spans="1:4" x14ac:dyDescent="0.2">
      <c r="A2849" s="24">
        <v>44228</v>
      </c>
      <c r="B2849" s="25" t="s">
        <v>123</v>
      </c>
      <c r="C2849" s="25" t="s">
        <v>4</v>
      </c>
      <c r="D2849" s="51">
        <v>2808255</v>
      </c>
    </row>
    <row r="2850" spans="1:4" x14ac:dyDescent="0.2">
      <c r="A2850" s="24">
        <v>44228</v>
      </c>
      <c r="B2850" s="25" t="s">
        <v>117</v>
      </c>
      <c r="C2850" s="25" t="s">
        <v>8</v>
      </c>
      <c r="D2850" s="51">
        <v>218010</v>
      </c>
    </row>
    <row r="2851" spans="1:4" x14ac:dyDescent="0.2">
      <c r="A2851" s="24">
        <v>44228</v>
      </c>
      <c r="B2851" s="25" t="s">
        <v>137</v>
      </c>
      <c r="C2851" s="25" t="s">
        <v>8</v>
      </c>
      <c r="D2851" s="51">
        <v>148965</v>
      </c>
    </row>
    <row r="2852" spans="1:4" x14ac:dyDescent="0.2">
      <c r="A2852" s="24">
        <v>44228</v>
      </c>
      <c r="B2852" s="25" t="s">
        <v>118</v>
      </c>
      <c r="C2852" s="25" t="s">
        <v>8</v>
      </c>
      <c r="D2852" s="51">
        <v>25386</v>
      </c>
    </row>
    <row r="2853" spans="1:4" x14ac:dyDescent="0.2">
      <c r="A2853" s="24">
        <v>44228</v>
      </c>
      <c r="B2853" s="25" t="s">
        <v>119</v>
      </c>
      <c r="C2853" s="25" t="s">
        <v>8</v>
      </c>
      <c r="D2853" s="51">
        <v>15515</v>
      </c>
    </row>
    <row r="2854" spans="1:4" x14ac:dyDescent="0.2">
      <c r="A2854" s="24">
        <v>44228</v>
      </c>
      <c r="B2854" s="25" t="s">
        <v>139</v>
      </c>
      <c r="C2854" s="25" t="s">
        <v>8</v>
      </c>
      <c r="D2854" s="51">
        <v>6</v>
      </c>
    </row>
    <row r="2855" spans="1:4" x14ac:dyDescent="0.2">
      <c r="A2855" s="24">
        <v>44228</v>
      </c>
      <c r="B2855" s="25" t="s">
        <v>120</v>
      </c>
      <c r="C2855" s="25" t="s">
        <v>8</v>
      </c>
      <c r="D2855" s="51">
        <v>3479</v>
      </c>
    </row>
    <row r="2856" spans="1:4" x14ac:dyDescent="0.2">
      <c r="A2856" s="24">
        <v>44228</v>
      </c>
      <c r="B2856" s="25" t="s">
        <v>121</v>
      </c>
      <c r="C2856" s="25" t="s">
        <v>8</v>
      </c>
      <c r="D2856" s="51">
        <v>1444</v>
      </c>
    </row>
    <row r="2857" spans="1:4" x14ac:dyDescent="0.2">
      <c r="A2857" s="24">
        <v>44228</v>
      </c>
      <c r="B2857" s="25" t="s">
        <v>122</v>
      </c>
      <c r="C2857" s="25" t="s">
        <v>8</v>
      </c>
      <c r="D2857" s="51">
        <v>9873</v>
      </c>
    </row>
    <row r="2858" spans="1:4" x14ac:dyDescent="0.2">
      <c r="A2858" s="24">
        <v>44228</v>
      </c>
      <c r="B2858" s="25" t="s">
        <v>123</v>
      </c>
      <c r="C2858" s="25" t="s">
        <v>8</v>
      </c>
      <c r="D2858" s="51">
        <v>118035</v>
      </c>
    </row>
    <row r="2859" spans="1:4" x14ac:dyDescent="0.2">
      <c r="A2859" s="24">
        <v>44228</v>
      </c>
      <c r="B2859" s="25" t="s">
        <v>124</v>
      </c>
      <c r="C2859" s="25" t="s">
        <v>8</v>
      </c>
      <c r="D2859" s="51">
        <v>4346</v>
      </c>
    </row>
    <row r="2860" spans="1:4" x14ac:dyDescent="0.2">
      <c r="A2860" s="24">
        <v>44228</v>
      </c>
      <c r="B2860" s="25" t="s">
        <v>125</v>
      </c>
      <c r="C2860" s="25" t="s">
        <v>8</v>
      </c>
      <c r="D2860" s="51">
        <v>2201</v>
      </c>
    </row>
    <row r="2861" spans="1:4" x14ac:dyDescent="0.2">
      <c r="A2861" s="24">
        <v>44228</v>
      </c>
      <c r="B2861" s="25" t="s">
        <v>117</v>
      </c>
      <c r="C2861" s="25" t="s">
        <v>26</v>
      </c>
      <c r="D2861" s="51">
        <v>759987</v>
      </c>
    </row>
    <row r="2862" spans="1:4" x14ac:dyDescent="0.2">
      <c r="A2862" s="24">
        <v>44228</v>
      </c>
      <c r="B2862" s="25" t="s">
        <v>137</v>
      </c>
      <c r="C2862" s="25" t="s">
        <v>26</v>
      </c>
      <c r="D2862" s="51">
        <v>385649</v>
      </c>
    </row>
    <row r="2863" spans="1:4" x14ac:dyDescent="0.2">
      <c r="A2863" s="24">
        <v>44228</v>
      </c>
      <c r="B2863" s="25" t="s">
        <v>118</v>
      </c>
      <c r="C2863" s="25" t="s">
        <v>26</v>
      </c>
      <c r="D2863" s="51">
        <v>67431</v>
      </c>
    </row>
    <row r="2864" spans="1:4" x14ac:dyDescent="0.2">
      <c r="A2864" s="24">
        <v>44228</v>
      </c>
      <c r="B2864" s="25" t="s">
        <v>119</v>
      </c>
      <c r="C2864" s="25" t="s">
        <v>26</v>
      </c>
      <c r="D2864" s="51">
        <v>159731</v>
      </c>
    </row>
    <row r="2865" spans="1:4" x14ac:dyDescent="0.2">
      <c r="A2865" s="24">
        <v>44228</v>
      </c>
      <c r="B2865" s="25" t="s">
        <v>139</v>
      </c>
      <c r="C2865" s="25" t="s">
        <v>26</v>
      </c>
      <c r="D2865" s="51">
        <v>21</v>
      </c>
    </row>
    <row r="2866" spans="1:4" x14ac:dyDescent="0.2">
      <c r="A2866" s="24">
        <v>44228</v>
      </c>
      <c r="B2866" s="25" t="s">
        <v>120</v>
      </c>
      <c r="C2866" s="25" t="s">
        <v>26</v>
      </c>
      <c r="D2866" s="51">
        <v>5960</v>
      </c>
    </row>
    <row r="2867" spans="1:4" x14ac:dyDescent="0.2">
      <c r="A2867" s="24">
        <v>44228</v>
      </c>
      <c r="B2867" s="25" t="s">
        <v>121</v>
      </c>
      <c r="C2867" s="25" t="s">
        <v>26</v>
      </c>
      <c r="D2867" s="51">
        <v>1983</v>
      </c>
    </row>
    <row r="2868" spans="1:4" x14ac:dyDescent="0.2">
      <c r="A2868" s="24">
        <v>44228</v>
      </c>
      <c r="B2868" s="25" t="s">
        <v>122</v>
      </c>
      <c r="C2868" s="25" t="s">
        <v>26</v>
      </c>
      <c r="D2868" s="51">
        <v>52130</v>
      </c>
    </row>
    <row r="2869" spans="1:4" x14ac:dyDescent="0.2">
      <c r="A2869" s="24">
        <v>44228</v>
      </c>
      <c r="B2869" s="25" t="s">
        <v>123</v>
      </c>
      <c r="C2869" s="25" t="s">
        <v>26</v>
      </c>
      <c r="D2869" s="51">
        <v>228925</v>
      </c>
    </row>
    <row r="2870" spans="1:4" x14ac:dyDescent="0.2">
      <c r="A2870" s="24">
        <v>44228</v>
      </c>
      <c r="B2870" s="25" t="s">
        <v>127</v>
      </c>
      <c r="C2870" s="25" t="s">
        <v>26</v>
      </c>
      <c r="D2870" s="51">
        <v>884</v>
      </c>
    </row>
    <row r="2871" spans="1:4" x14ac:dyDescent="0.2">
      <c r="A2871" s="24">
        <v>44228</v>
      </c>
      <c r="B2871" s="25" t="s">
        <v>128</v>
      </c>
      <c r="C2871" s="25" t="s">
        <v>26</v>
      </c>
      <c r="D2871" s="51">
        <v>506</v>
      </c>
    </row>
    <row r="2872" spans="1:4" x14ac:dyDescent="0.2">
      <c r="A2872" s="24">
        <v>44228</v>
      </c>
      <c r="B2872" s="25" t="s">
        <v>117</v>
      </c>
      <c r="C2872" s="25" t="s">
        <v>142</v>
      </c>
      <c r="D2872" s="51">
        <v>642411</v>
      </c>
    </row>
    <row r="2873" spans="1:4" x14ac:dyDescent="0.2">
      <c r="A2873" s="24">
        <v>44228</v>
      </c>
      <c r="B2873" s="25" t="s">
        <v>137</v>
      </c>
      <c r="C2873" s="25" t="s">
        <v>142</v>
      </c>
      <c r="D2873" s="51">
        <v>236161</v>
      </c>
    </row>
    <row r="2874" spans="1:4" x14ac:dyDescent="0.2">
      <c r="A2874" s="24">
        <v>44228</v>
      </c>
      <c r="B2874" s="25" t="s">
        <v>118</v>
      </c>
      <c r="C2874" s="25" t="s">
        <v>142</v>
      </c>
      <c r="D2874" s="51">
        <v>77584</v>
      </c>
    </row>
    <row r="2875" spans="1:4" x14ac:dyDescent="0.2">
      <c r="A2875" s="24">
        <v>44228</v>
      </c>
      <c r="B2875" s="25" t="s">
        <v>119</v>
      </c>
      <c r="C2875" s="25" t="s">
        <v>142</v>
      </c>
      <c r="D2875" s="51">
        <v>104930</v>
      </c>
    </row>
    <row r="2876" spans="1:4" x14ac:dyDescent="0.2">
      <c r="A2876" s="24">
        <v>44228</v>
      </c>
      <c r="B2876" s="25" t="s">
        <v>139</v>
      </c>
      <c r="C2876" s="25" t="s">
        <v>142</v>
      </c>
      <c r="D2876" s="51">
        <v>10</v>
      </c>
    </row>
    <row r="2877" spans="1:4" x14ac:dyDescent="0.2">
      <c r="A2877" s="24">
        <v>44228</v>
      </c>
      <c r="B2877" s="25" t="s">
        <v>120</v>
      </c>
      <c r="C2877" s="25" t="s">
        <v>142</v>
      </c>
      <c r="D2877" s="51">
        <v>7230</v>
      </c>
    </row>
    <row r="2878" spans="1:4" x14ac:dyDescent="0.2">
      <c r="A2878" s="24">
        <v>44228</v>
      </c>
      <c r="B2878" s="25" t="s">
        <v>121</v>
      </c>
      <c r="C2878" s="25" t="s">
        <v>142</v>
      </c>
      <c r="D2878" s="51">
        <v>1117</v>
      </c>
    </row>
    <row r="2879" spans="1:4" x14ac:dyDescent="0.2">
      <c r="A2879" s="24">
        <v>44228</v>
      </c>
      <c r="B2879" s="25" t="s">
        <v>122</v>
      </c>
      <c r="C2879" s="25" t="s">
        <v>142</v>
      </c>
      <c r="D2879" s="51">
        <v>103196</v>
      </c>
    </row>
    <row r="2880" spans="1:4" x14ac:dyDescent="0.2">
      <c r="A2880" s="24">
        <v>44228</v>
      </c>
      <c r="B2880" s="25" t="s">
        <v>123</v>
      </c>
      <c r="C2880" s="25" t="s">
        <v>142</v>
      </c>
      <c r="D2880" s="51">
        <v>85141</v>
      </c>
    </row>
    <row r="2881" spans="1:4" x14ac:dyDescent="0.2">
      <c r="A2881" s="24">
        <v>44228</v>
      </c>
      <c r="B2881" s="25" t="s">
        <v>129</v>
      </c>
      <c r="C2881" s="25" t="s">
        <v>142</v>
      </c>
      <c r="D2881" s="51">
        <v>2486</v>
      </c>
    </row>
    <row r="2882" spans="1:4" x14ac:dyDescent="0.2">
      <c r="A2882" s="24">
        <v>44228</v>
      </c>
      <c r="B2882" s="25" t="s">
        <v>130</v>
      </c>
      <c r="C2882" s="25" t="s">
        <v>142</v>
      </c>
      <c r="D2882" s="51">
        <v>2792</v>
      </c>
    </row>
    <row r="2883" spans="1:4" x14ac:dyDescent="0.2">
      <c r="A2883" s="24">
        <v>44228</v>
      </c>
      <c r="B2883" s="25" t="s">
        <v>117</v>
      </c>
      <c r="C2883" s="25" t="s">
        <v>2</v>
      </c>
      <c r="D2883" s="51">
        <v>9681207</v>
      </c>
    </row>
    <row r="2884" spans="1:4" x14ac:dyDescent="0.2">
      <c r="A2884" s="24">
        <v>44228</v>
      </c>
      <c r="B2884" s="25" t="s">
        <v>137</v>
      </c>
      <c r="C2884" s="25" t="s">
        <v>2</v>
      </c>
      <c r="D2884" s="51">
        <v>3440694</v>
      </c>
    </row>
    <row r="2885" spans="1:4" x14ac:dyDescent="0.2">
      <c r="A2885" s="24">
        <v>44228</v>
      </c>
      <c r="B2885" s="25" t="s">
        <v>118</v>
      </c>
      <c r="C2885" s="25" t="s">
        <v>2</v>
      </c>
      <c r="D2885" s="51">
        <v>556563</v>
      </c>
    </row>
    <row r="2886" spans="1:4" x14ac:dyDescent="0.2">
      <c r="A2886" s="24">
        <v>44228</v>
      </c>
      <c r="B2886" s="25" t="s">
        <v>119</v>
      </c>
      <c r="C2886" s="25" t="s">
        <v>2</v>
      </c>
      <c r="D2886" s="51">
        <v>980597</v>
      </c>
    </row>
    <row r="2887" spans="1:4" x14ac:dyDescent="0.2">
      <c r="A2887" s="24">
        <v>44228</v>
      </c>
      <c r="B2887" s="25" t="s">
        <v>138</v>
      </c>
      <c r="C2887" s="25" t="s">
        <v>2</v>
      </c>
      <c r="D2887" s="51">
        <v>3</v>
      </c>
    </row>
    <row r="2888" spans="1:4" x14ac:dyDescent="0.2">
      <c r="A2888" s="24">
        <v>44228</v>
      </c>
      <c r="B2888" s="25" t="s">
        <v>139</v>
      </c>
      <c r="C2888" s="25" t="s">
        <v>2</v>
      </c>
      <c r="D2888" s="51">
        <v>605</v>
      </c>
    </row>
    <row r="2889" spans="1:4" x14ac:dyDescent="0.2">
      <c r="A2889" s="24">
        <v>44228</v>
      </c>
      <c r="B2889" s="25" t="s">
        <v>120</v>
      </c>
      <c r="C2889" s="25" t="s">
        <v>2</v>
      </c>
      <c r="D2889" s="51">
        <v>221297</v>
      </c>
    </row>
    <row r="2890" spans="1:4" x14ac:dyDescent="0.2">
      <c r="A2890" s="24">
        <v>44228</v>
      </c>
      <c r="B2890" s="25" t="s">
        <v>121</v>
      </c>
      <c r="C2890" s="25" t="s">
        <v>2</v>
      </c>
      <c r="D2890" s="51">
        <v>20426</v>
      </c>
    </row>
    <row r="2891" spans="1:4" x14ac:dyDescent="0.2">
      <c r="A2891" s="24">
        <v>44228</v>
      </c>
      <c r="B2891" s="25" t="s">
        <v>122</v>
      </c>
      <c r="C2891" s="25" t="s">
        <v>2</v>
      </c>
      <c r="D2891" s="51">
        <v>1037993</v>
      </c>
    </row>
    <row r="2892" spans="1:4" x14ac:dyDescent="0.2">
      <c r="A2892" s="24">
        <v>44228</v>
      </c>
      <c r="B2892" s="25" t="s">
        <v>123</v>
      </c>
      <c r="C2892" s="25" t="s">
        <v>2</v>
      </c>
      <c r="D2892" s="51">
        <v>1758361</v>
      </c>
    </row>
    <row r="2893" spans="1:4" x14ac:dyDescent="0.2">
      <c r="A2893" s="24">
        <v>44228</v>
      </c>
      <c r="B2893" s="25" t="s">
        <v>129</v>
      </c>
      <c r="C2893" s="25" t="s">
        <v>2</v>
      </c>
      <c r="D2893" s="51">
        <v>44261</v>
      </c>
    </row>
    <row r="2894" spans="1:4" x14ac:dyDescent="0.2">
      <c r="A2894" s="24">
        <v>44228</v>
      </c>
      <c r="B2894" s="25" t="s">
        <v>130</v>
      </c>
      <c r="C2894" s="25" t="s">
        <v>2</v>
      </c>
      <c r="D2894" s="51">
        <v>23446</v>
      </c>
    </row>
    <row r="2895" spans="1:4" x14ac:dyDescent="0.2">
      <c r="A2895" s="24">
        <v>44256</v>
      </c>
      <c r="B2895" s="25" t="s">
        <v>117</v>
      </c>
      <c r="C2895" s="25" t="s">
        <v>4</v>
      </c>
      <c r="D2895" s="51">
        <v>6661997</v>
      </c>
    </row>
    <row r="2896" spans="1:4" x14ac:dyDescent="0.2">
      <c r="A2896" s="24">
        <v>44256</v>
      </c>
      <c r="B2896" s="25" t="s">
        <v>131</v>
      </c>
      <c r="C2896" s="25" t="s">
        <v>4</v>
      </c>
      <c r="D2896" s="51">
        <v>92</v>
      </c>
    </row>
    <row r="2897" spans="1:4" x14ac:dyDescent="0.2">
      <c r="A2897" s="24">
        <v>44256</v>
      </c>
      <c r="B2897" s="25" t="s">
        <v>132</v>
      </c>
      <c r="C2897" s="25" t="s">
        <v>4</v>
      </c>
      <c r="D2897" s="51">
        <v>35</v>
      </c>
    </row>
    <row r="2898" spans="1:4" x14ac:dyDescent="0.2">
      <c r="A2898" s="24">
        <v>44256</v>
      </c>
      <c r="B2898" s="25" t="s">
        <v>133</v>
      </c>
      <c r="C2898" s="25" t="s">
        <v>4</v>
      </c>
      <c r="D2898" s="51">
        <v>19</v>
      </c>
    </row>
    <row r="2899" spans="1:4" x14ac:dyDescent="0.2">
      <c r="A2899" s="24">
        <v>44256</v>
      </c>
      <c r="B2899" s="25" t="s">
        <v>137</v>
      </c>
      <c r="C2899" s="25" t="s">
        <v>4</v>
      </c>
      <c r="D2899" s="51">
        <v>3112024</v>
      </c>
    </row>
    <row r="2900" spans="1:4" x14ac:dyDescent="0.2">
      <c r="A2900" s="24">
        <v>44256</v>
      </c>
      <c r="B2900" s="25" t="s">
        <v>118</v>
      </c>
      <c r="C2900" s="25" t="s">
        <v>4</v>
      </c>
      <c r="D2900" s="51">
        <v>697395</v>
      </c>
    </row>
    <row r="2901" spans="1:4" x14ac:dyDescent="0.2">
      <c r="A2901" s="24">
        <v>44256</v>
      </c>
      <c r="B2901" s="25" t="s">
        <v>119</v>
      </c>
      <c r="C2901" s="25" t="s">
        <v>4</v>
      </c>
      <c r="D2901" s="51">
        <v>1076821</v>
      </c>
    </row>
    <row r="2902" spans="1:4" x14ac:dyDescent="0.2">
      <c r="A2902" s="24">
        <v>44256</v>
      </c>
      <c r="B2902" s="25" t="s">
        <v>138</v>
      </c>
      <c r="C2902" s="25" t="s">
        <v>4</v>
      </c>
      <c r="D2902" s="51">
        <v>31</v>
      </c>
    </row>
    <row r="2903" spans="1:4" x14ac:dyDescent="0.2">
      <c r="A2903" s="24">
        <v>44256</v>
      </c>
      <c r="B2903" s="25" t="s">
        <v>139</v>
      </c>
      <c r="C2903" s="25" t="s">
        <v>4</v>
      </c>
      <c r="D2903" s="51">
        <v>725</v>
      </c>
    </row>
    <row r="2904" spans="1:4" x14ac:dyDescent="0.2">
      <c r="A2904" s="24">
        <v>44256</v>
      </c>
      <c r="B2904" s="25" t="s">
        <v>120</v>
      </c>
      <c r="C2904" s="25" t="s">
        <v>4</v>
      </c>
      <c r="D2904" s="51">
        <v>62780</v>
      </c>
    </row>
    <row r="2905" spans="1:4" x14ac:dyDescent="0.2">
      <c r="A2905" s="24">
        <v>44256</v>
      </c>
      <c r="B2905" s="25" t="s">
        <v>121</v>
      </c>
      <c r="C2905" s="25" t="s">
        <v>4</v>
      </c>
      <c r="D2905" s="51">
        <v>29437</v>
      </c>
    </row>
    <row r="2906" spans="1:4" x14ac:dyDescent="0.2">
      <c r="A2906" s="24">
        <v>44256</v>
      </c>
      <c r="B2906" s="25" t="s">
        <v>140</v>
      </c>
      <c r="C2906" s="25" t="s">
        <v>4</v>
      </c>
      <c r="D2906" s="51">
        <v>21078</v>
      </c>
    </row>
    <row r="2907" spans="1:4" x14ac:dyDescent="0.2">
      <c r="A2907" s="24">
        <v>44256</v>
      </c>
      <c r="B2907" s="25" t="s">
        <v>122</v>
      </c>
      <c r="C2907" s="25" t="s">
        <v>4</v>
      </c>
      <c r="D2907" s="51">
        <v>2153901</v>
      </c>
    </row>
    <row r="2908" spans="1:4" x14ac:dyDescent="0.2">
      <c r="A2908" s="24">
        <v>44256</v>
      </c>
      <c r="B2908" s="25" t="s">
        <v>123</v>
      </c>
      <c r="C2908" s="25" t="s">
        <v>4</v>
      </c>
      <c r="D2908" s="51">
        <v>3215739</v>
      </c>
    </row>
    <row r="2909" spans="1:4" x14ac:dyDescent="0.2">
      <c r="A2909" s="24">
        <v>44256</v>
      </c>
      <c r="B2909" s="25" t="s">
        <v>117</v>
      </c>
      <c r="C2909" s="25" t="s">
        <v>8</v>
      </c>
      <c r="D2909" s="51">
        <v>237686</v>
      </c>
    </row>
    <row r="2910" spans="1:4" x14ac:dyDescent="0.2">
      <c r="A2910" s="24">
        <v>44256</v>
      </c>
      <c r="B2910" s="25" t="s">
        <v>137</v>
      </c>
      <c r="C2910" s="25" t="s">
        <v>8</v>
      </c>
      <c r="D2910" s="51">
        <v>165859</v>
      </c>
    </row>
    <row r="2911" spans="1:4" x14ac:dyDescent="0.2">
      <c r="A2911" s="24">
        <v>44256</v>
      </c>
      <c r="B2911" s="25" t="s">
        <v>118</v>
      </c>
      <c r="C2911" s="25" t="s">
        <v>8</v>
      </c>
      <c r="D2911" s="51">
        <v>31065</v>
      </c>
    </row>
    <row r="2912" spans="1:4" x14ac:dyDescent="0.2">
      <c r="A2912" s="24">
        <v>44256</v>
      </c>
      <c r="B2912" s="25" t="s">
        <v>119</v>
      </c>
      <c r="C2912" s="25" t="s">
        <v>8</v>
      </c>
      <c r="D2912" s="51">
        <v>16842</v>
      </c>
    </row>
    <row r="2913" spans="1:4" x14ac:dyDescent="0.2">
      <c r="A2913" s="24">
        <v>44256</v>
      </c>
      <c r="B2913" s="25" t="s">
        <v>139</v>
      </c>
      <c r="C2913" s="25" t="s">
        <v>8</v>
      </c>
      <c r="D2913" s="51">
        <v>16</v>
      </c>
    </row>
    <row r="2914" spans="1:4" x14ac:dyDescent="0.2">
      <c r="A2914" s="24">
        <v>44256</v>
      </c>
      <c r="B2914" s="25" t="s">
        <v>120</v>
      </c>
      <c r="C2914" s="25" t="s">
        <v>8</v>
      </c>
      <c r="D2914" s="51">
        <v>3991</v>
      </c>
    </row>
    <row r="2915" spans="1:4" x14ac:dyDescent="0.2">
      <c r="A2915" s="24">
        <v>44256</v>
      </c>
      <c r="B2915" s="25" t="s">
        <v>121</v>
      </c>
      <c r="C2915" s="25" t="s">
        <v>8</v>
      </c>
      <c r="D2915" s="51">
        <v>1492</v>
      </c>
    </row>
    <row r="2916" spans="1:4" x14ac:dyDescent="0.2">
      <c r="A2916" s="24">
        <v>44256</v>
      </c>
      <c r="B2916" s="25" t="s">
        <v>122</v>
      </c>
      <c r="C2916" s="25" t="s">
        <v>8</v>
      </c>
      <c r="D2916" s="51">
        <v>10491</v>
      </c>
    </row>
    <row r="2917" spans="1:4" x14ac:dyDescent="0.2">
      <c r="A2917" s="24">
        <v>44256</v>
      </c>
      <c r="B2917" s="25" t="s">
        <v>123</v>
      </c>
      <c r="C2917" s="25" t="s">
        <v>8</v>
      </c>
      <c r="D2917" s="51">
        <v>133259</v>
      </c>
    </row>
    <row r="2918" spans="1:4" x14ac:dyDescent="0.2">
      <c r="A2918" s="24">
        <v>44256</v>
      </c>
      <c r="B2918" s="25" t="s">
        <v>124</v>
      </c>
      <c r="C2918" s="25" t="s">
        <v>8</v>
      </c>
      <c r="D2918" s="51">
        <v>6248</v>
      </c>
    </row>
    <row r="2919" spans="1:4" x14ac:dyDescent="0.2">
      <c r="A2919" s="24">
        <v>44256</v>
      </c>
      <c r="B2919" s="25" t="s">
        <v>125</v>
      </c>
      <c r="C2919" s="25" t="s">
        <v>8</v>
      </c>
      <c r="D2919" s="51">
        <v>3014</v>
      </c>
    </row>
    <row r="2920" spans="1:4" x14ac:dyDescent="0.2">
      <c r="A2920" s="24">
        <v>44256</v>
      </c>
      <c r="B2920" s="25" t="s">
        <v>117</v>
      </c>
      <c r="C2920" s="25" t="s">
        <v>26</v>
      </c>
      <c r="D2920" s="51">
        <v>801365</v>
      </c>
    </row>
    <row r="2921" spans="1:4" x14ac:dyDescent="0.2">
      <c r="A2921" s="24">
        <v>44256</v>
      </c>
      <c r="B2921" s="25" t="s">
        <v>137</v>
      </c>
      <c r="C2921" s="25" t="s">
        <v>26</v>
      </c>
      <c r="D2921" s="51">
        <v>413285</v>
      </c>
    </row>
    <row r="2922" spans="1:4" x14ac:dyDescent="0.2">
      <c r="A2922" s="24">
        <v>44256</v>
      </c>
      <c r="B2922" s="25" t="s">
        <v>118</v>
      </c>
      <c r="C2922" s="25" t="s">
        <v>26</v>
      </c>
      <c r="D2922" s="51">
        <v>52309</v>
      </c>
    </row>
    <row r="2923" spans="1:4" x14ac:dyDescent="0.2">
      <c r="A2923" s="24">
        <v>44256</v>
      </c>
      <c r="B2923" s="25" t="s">
        <v>119</v>
      </c>
      <c r="C2923" s="25" t="s">
        <v>26</v>
      </c>
      <c r="D2923" s="51">
        <v>229557</v>
      </c>
    </row>
    <row r="2924" spans="1:4" x14ac:dyDescent="0.2">
      <c r="A2924" s="24">
        <v>44256</v>
      </c>
      <c r="B2924" s="25" t="s">
        <v>139</v>
      </c>
      <c r="C2924" s="25" t="s">
        <v>26</v>
      </c>
      <c r="D2924" s="51">
        <v>27</v>
      </c>
    </row>
    <row r="2925" spans="1:4" x14ac:dyDescent="0.2">
      <c r="A2925" s="24">
        <v>44256</v>
      </c>
      <c r="B2925" s="25" t="s">
        <v>120</v>
      </c>
      <c r="C2925" s="25" t="s">
        <v>26</v>
      </c>
      <c r="D2925" s="51">
        <v>6407</v>
      </c>
    </row>
    <row r="2926" spans="1:4" x14ac:dyDescent="0.2">
      <c r="A2926" s="24">
        <v>44256</v>
      </c>
      <c r="B2926" s="25" t="s">
        <v>121</v>
      </c>
      <c r="C2926" s="25" t="s">
        <v>26</v>
      </c>
      <c r="D2926" s="51">
        <v>2132</v>
      </c>
    </row>
    <row r="2927" spans="1:4" x14ac:dyDescent="0.2">
      <c r="A2927" s="24">
        <v>44256</v>
      </c>
      <c r="B2927" s="25" t="s">
        <v>122</v>
      </c>
      <c r="C2927" s="25" t="s">
        <v>26</v>
      </c>
      <c r="D2927" s="51">
        <v>50776</v>
      </c>
    </row>
    <row r="2928" spans="1:4" x14ac:dyDescent="0.2">
      <c r="A2928" s="24">
        <v>44256</v>
      </c>
      <c r="B2928" s="25" t="s">
        <v>123</v>
      </c>
      <c r="C2928" s="25" t="s">
        <v>26</v>
      </c>
      <c r="D2928" s="51">
        <v>259203</v>
      </c>
    </row>
    <row r="2929" spans="1:4" x14ac:dyDescent="0.2">
      <c r="A2929" s="24">
        <v>44256</v>
      </c>
      <c r="B2929" s="25" t="s">
        <v>127</v>
      </c>
      <c r="C2929" s="25" t="s">
        <v>26</v>
      </c>
      <c r="D2929" s="51">
        <v>1081</v>
      </c>
    </row>
    <row r="2930" spans="1:4" x14ac:dyDescent="0.2">
      <c r="A2930" s="24">
        <v>44256</v>
      </c>
      <c r="B2930" s="25" t="s">
        <v>128</v>
      </c>
      <c r="C2930" s="25" t="s">
        <v>26</v>
      </c>
      <c r="D2930" s="51">
        <v>492</v>
      </c>
    </row>
    <row r="2931" spans="1:4" x14ac:dyDescent="0.2">
      <c r="A2931" s="24">
        <v>44256</v>
      </c>
      <c r="B2931" s="25" t="s">
        <v>117</v>
      </c>
      <c r="C2931" s="25" t="s">
        <v>142</v>
      </c>
      <c r="D2931" s="51">
        <v>753250</v>
      </c>
    </row>
    <row r="2932" spans="1:4" x14ac:dyDescent="0.2">
      <c r="A2932" s="24">
        <v>44256</v>
      </c>
      <c r="B2932" s="25" t="s">
        <v>137</v>
      </c>
      <c r="C2932" s="25" t="s">
        <v>142</v>
      </c>
      <c r="D2932" s="51">
        <v>282204</v>
      </c>
    </row>
    <row r="2933" spans="1:4" x14ac:dyDescent="0.2">
      <c r="A2933" s="24">
        <v>44256</v>
      </c>
      <c r="B2933" s="25" t="s">
        <v>118</v>
      </c>
      <c r="C2933" s="25" t="s">
        <v>142</v>
      </c>
      <c r="D2933" s="51">
        <v>69779</v>
      </c>
    </row>
    <row r="2934" spans="1:4" x14ac:dyDescent="0.2">
      <c r="A2934" s="24">
        <v>44256</v>
      </c>
      <c r="B2934" s="25" t="s">
        <v>119</v>
      </c>
      <c r="C2934" s="25" t="s">
        <v>142</v>
      </c>
      <c r="D2934" s="51">
        <v>202933</v>
      </c>
    </row>
    <row r="2935" spans="1:4" x14ac:dyDescent="0.2">
      <c r="A2935" s="24">
        <v>44256</v>
      </c>
      <c r="B2935" s="25" t="s">
        <v>139</v>
      </c>
      <c r="C2935" s="25" t="s">
        <v>142</v>
      </c>
      <c r="D2935" s="51">
        <v>3</v>
      </c>
    </row>
    <row r="2936" spans="1:4" x14ac:dyDescent="0.2">
      <c r="A2936" s="24">
        <v>44256</v>
      </c>
      <c r="B2936" s="25" t="s">
        <v>120</v>
      </c>
      <c r="C2936" s="25" t="s">
        <v>142</v>
      </c>
      <c r="D2936" s="51">
        <v>8584</v>
      </c>
    </row>
    <row r="2937" spans="1:4" x14ac:dyDescent="0.2">
      <c r="A2937" s="24">
        <v>44256</v>
      </c>
      <c r="B2937" s="25" t="s">
        <v>121</v>
      </c>
      <c r="C2937" s="25" t="s">
        <v>142</v>
      </c>
      <c r="D2937" s="51">
        <v>1271</v>
      </c>
    </row>
    <row r="2938" spans="1:4" x14ac:dyDescent="0.2">
      <c r="A2938" s="24">
        <v>44256</v>
      </c>
      <c r="B2938" s="25" t="s">
        <v>122</v>
      </c>
      <c r="C2938" s="25" t="s">
        <v>142</v>
      </c>
      <c r="D2938" s="51">
        <v>122144</v>
      </c>
    </row>
    <row r="2939" spans="1:4" x14ac:dyDescent="0.2">
      <c r="A2939" s="24">
        <v>44256</v>
      </c>
      <c r="B2939" s="25" t="s">
        <v>123</v>
      </c>
      <c r="C2939" s="25" t="s">
        <v>142</v>
      </c>
      <c r="D2939" s="51">
        <v>100401</v>
      </c>
    </row>
    <row r="2940" spans="1:4" x14ac:dyDescent="0.2">
      <c r="A2940" s="24">
        <v>44256</v>
      </c>
      <c r="B2940" s="25" t="s">
        <v>129</v>
      </c>
      <c r="C2940" s="25" t="s">
        <v>142</v>
      </c>
      <c r="D2940" s="51">
        <v>2989</v>
      </c>
    </row>
    <row r="2941" spans="1:4" x14ac:dyDescent="0.2">
      <c r="A2941" s="24">
        <v>44256</v>
      </c>
      <c r="B2941" s="25" t="s">
        <v>130</v>
      </c>
      <c r="C2941" s="25" t="s">
        <v>142</v>
      </c>
      <c r="D2941" s="51">
        <v>2756</v>
      </c>
    </row>
    <row r="2942" spans="1:4" x14ac:dyDescent="0.2">
      <c r="A2942" s="24">
        <v>44256</v>
      </c>
      <c r="B2942" s="25" t="s">
        <v>117</v>
      </c>
      <c r="C2942" s="25" t="s">
        <v>2</v>
      </c>
      <c r="D2942" s="51">
        <v>11142431</v>
      </c>
    </row>
    <row r="2943" spans="1:4" x14ac:dyDescent="0.2">
      <c r="A2943" s="24">
        <v>44256</v>
      </c>
      <c r="B2943" s="25" t="s">
        <v>137</v>
      </c>
      <c r="C2943" s="25" t="s">
        <v>2</v>
      </c>
      <c r="D2943" s="51">
        <v>4083006</v>
      </c>
    </row>
    <row r="2944" spans="1:4" x14ac:dyDescent="0.2">
      <c r="A2944" s="24">
        <v>44256</v>
      </c>
      <c r="B2944" s="25" t="s">
        <v>118</v>
      </c>
      <c r="C2944" s="25" t="s">
        <v>2</v>
      </c>
      <c r="D2944" s="51">
        <v>532750</v>
      </c>
    </row>
    <row r="2945" spans="1:4" x14ac:dyDescent="0.2">
      <c r="A2945" s="24">
        <v>44256</v>
      </c>
      <c r="B2945" s="25" t="s">
        <v>119</v>
      </c>
      <c r="C2945" s="25" t="s">
        <v>2</v>
      </c>
      <c r="D2945" s="51">
        <v>1540913</v>
      </c>
    </row>
    <row r="2946" spans="1:4" x14ac:dyDescent="0.2">
      <c r="A2946" s="24">
        <v>44256</v>
      </c>
      <c r="B2946" s="25" t="s">
        <v>138</v>
      </c>
      <c r="C2946" s="25" t="s">
        <v>2</v>
      </c>
      <c r="D2946" s="51">
        <v>27</v>
      </c>
    </row>
    <row r="2947" spans="1:4" x14ac:dyDescent="0.2">
      <c r="A2947" s="24">
        <v>44256</v>
      </c>
      <c r="B2947" s="25" t="s">
        <v>139</v>
      </c>
      <c r="C2947" s="25" t="s">
        <v>2</v>
      </c>
      <c r="D2947" s="51">
        <v>725</v>
      </c>
    </row>
    <row r="2948" spans="1:4" x14ac:dyDescent="0.2">
      <c r="A2948" s="24">
        <v>44256</v>
      </c>
      <c r="B2948" s="25" t="s">
        <v>120</v>
      </c>
      <c r="C2948" s="25" t="s">
        <v>2</v>
      </c>
      <c r="D2948" s="51">
        <v>251744</v>
      </c>
    </row>
    <row r="2949" spans="1:4" x14ac:dyDescent="0.2">
      <c r="A2949" s="24">
        <v>44256</v>
      </c>
      <c r="B2949" s="25" t="s">
        <v>121</v>
      </c>
      <c r="C2949" s="25" t="s">
        <v>2</v>
      </c>
      <c r="D2949" s="51">
        <v>23298</v>
      </c>
    </row>
    <row r="2950" spans="1:4" x14ac:dyDescent="0.2">
      <c r="A2950" s="24">
        <v>44256</v>
      </c>
      <c r="B2950" s="25" t="s">
        <v>122</v>
      </c>
      <c r="C2950" s="25" t="s">
        <v>2</v>
      </c>
      <c r="D2950" s="51">
        <v>1190300</v>
      </c>
    </row>
    <row r="2951" spans="1:4" x14ac:dyDescent="0.2">
      <c r="A2951" s="24">
        <v>44256</v>
      </c>
      <c r="B2951" s="25" t="s">
        <v>123</v>
      </c>
      <c r="C2951" s="25" t="s">
        <v>2</v>
      </c>
      <c r="D2951" s="51">
        <v>2071838</v>
      </c>
    </row>
    <row r="2952" spans="1:4" x14ac:dyDescent="0.2">
      <c r="A2952" s="24">
        <v>44256</v>
      </c>
      <c r="B2952" s="25" t="s">
        <v>129</v>
      </c>
      <c r="C2952" s="25" t="s">
        <v>2</v>
      </c>
      <c r="D2952" s="51">
        <v>60743</v>
      </c>
    </row>
    <row r="2953" spans="1:4" x14ac:dyDescent="0.2">
      <c r="A2953" s="24">
        <v>44256</v>
      </c>
      <c r="B2953" s="25" t="s">
        <v>130</v>
      </c>
      <c r="C2953" s="25" t="s">
        <v>2</v>
      </c>
      <c r="D2953" s="51">
        <v>28028</v>
      </c>
    </row>
    <row r="2954" spans="1:4" x14ac:dyDescent="0.2">
      <c r="A2954" s="24">
        <v>44287</v>
      </c>
      <c r="B2954" s="25" t="s">
        <v>117</v>
      </c>
      <c r="C2954" s="25" t="s">
        <v>4</v>
      </c>
      <c r="D2954" s="51">
        <v>6250652</v>
      </c>
    </row>
    <row r="2955" spans="1:4" x14ac:dyDescent="0.2">
      <c r="A2955" s="24">
        <v>44287</v>
      </c>
      <c r="B2955" s="25" t="s">
        <v>131</v>
      </c>
      <c r="C2955" s="25" t="s">
        <v>4</v>
      </c>
      <c r="D2955" s="51">
        <v>73</v>
      </c>
    </row>
    <row r="2956" spans="1:4" x14ac:dyDescent="0.2">
      <c r="A2956" s="24">
        <v>44287</v>
      </c>
      <c r="B2956" s="25" t="s">
        <v>132</v>
      </c>
      <c r="C2956" s="25" t="s">
        <v>4</v>
      </c>
      <c r="D2956" s="51">
        <v>70</v>
      </c>
    </row>
    <row r="2957" spans="1:4" x14ac:dyDescent="0.2">
      <c r="A2957" s="24">
        <v>44287</v>
      </c>
      <c r="B2957" s="25" t="s">
        <v>133</v>
      </c>
      <c r="C2957" s="25" t="s">
        <v>4</v>
      </c>
      <c r="D2957" s="51">
        <v>17</v>
      </c>
    </row>
    <row r="2958" spans="1:4" x14ac:dyDescent="0.2">
      <c r="A2958" s="24">
        <v>44287</v>
      </c>
      <c r="B2958" s="25" t="s">
        <v>137</v>
      </c>
      <c r="C2958" s="25" t="s">
        <v>4</v>
      </c>
      <c r="D2958" s="51">
        <v>3177099</v>
      </c>
    </row>
    <row r="2959" spans="1:4" x14ac:dyDescent="0.2">
      <c r="A2959" s="24">
        <v>44287</v>
      </c>
      <c r="B2959" s="25" t="s">
        <v>118</v>
      </c>
      <c r="C2959" s="25" t="s">
        <v>4</v>
      </c>
      <c r="D2959" s="51">
        <v>936865</v>
      </c>
    </row>
    <row r="2960" spans="1:4" x14ac:dyDescent="0.2">
      <c r="A2960" s="24">
        <v>44287</v>
      </c>
      <c r="B2960" s="25" t="s">
        <v>134</v>
      </c>
      <c r="C2960" s="25" t="s">
        <v>4</v>
      </c>
      <c r="D2960" s="51">
        <v>5</v>
      </c>
    </row>
    <row r="2961" spans="1:4" x14ac:dyDescent="0.2">
      <c r="A2961" s="24">
        <v>44287</v>
      </c>
      <c r="B2961" s="25" t="s">
        <v>135</v>
      </c>
      <c r="C2961" s="25" t="s">
        <v>4</v>
      </c>
      <c r="D2961" s="51">
        <v>9</v>
      </c>
    </row>
    <row r="2962" spans="1:4" x14ac:dyDescent="0.2">
      <c r="A2962" s="24">
        <v>44287</v>
      </c>
      <c r="B2962" s="25" t="s">
        <v>136</v>
      </c>
      <c r="C2962" s="25" t="s">
        <v>4</v>
      </c>
      <c r="D2962" s="51">
        <v>1</v>
      </c>
    </row>
    <row r="2963" spans="1:4" x14ac:dyDescent="0.2">
      <c r="A2963" s="24">
        <v>44287</v>
      </c>
      <c r="B2963" s="25" t="s">
        <v>119</v>
      </c>
      <c r="C2963" s="25" t="s">
        <v>4</v>
      </c>
      <c r="D2963" s="51">
        <v>846573</v>
      </c>
    </row>
    <row r="2964" spans="1:4" x14ac:dyDescent="0.2">
      <c r="A2964" s="24">
        <v>44287</v>
      </c>
      <c r="B2964" s="25" t="s">
        <v>138</v>
      </c>
      <c r="C2964" s="25" t="s">
        <v>4</v>
      </c>
      <c r="D2964" s="51">
        <v>5</v>
      </c>
    </row>
    <row r="2965" spans="1:4" x14ac:dyDescent="0.2">
      <c r="A2965" s="24">
        <v>44287</v>
      </c>
      <c r="B2965" s="25" t="s">
        <v>139</v>
      </c>
      <c r="C2965" s="25" t="s">
        <v>4</v>
      </c>
      <c r="D2965" s="51">
        <v>502</v>
      </c>
    </row>
    <row r="2966" spans="1:4" x14ac:dyDescent="0.2">
      <c r="A2966" s="24">
        <v>44287</v>
      </c>
      <c r="B2966" s="25" t="s">
        <v>120</v>
      </c>
      <c r="C2966" s="25" t="s">
        <v>4</v>
      </c>
      <c r="D2966" s="51">
        <v>60810</v>
      </c>
    </row>
    <row r="2967" spans="1:4" x14ac:dyDescent="0.2">
      <c r="A2967" s="24">
        <v>44287</v>
      </c>
      <c r="B2967" s="25" t="s">
        <v>121</v>
      </c>
      <c r="C2967" s="25" t="s">
        <v>4</v>
      </c>
      <c r="D2967" s="51">
        <v>28799</v>
      </c>
    </row>
    <row r="2968" spans="1:4" x14ac:dyDescent="0.2">
      <c r="A2968" s="24">
        <v>44287</v>
      </c>
      <c r="B2968" s="25" t="s">
        <v>140</v>
      </c>
      <c r="C2968" s="25" t="s">
        <v>4</v>
      </c>
      <c r="D2968" s="51">
        <v>19530</v>
      </c>
    </row>
    <row r="2969" spans="1:4" x14ac:dyDescent="0.2">
      <c r="A2969" s="24">
        <v>44287</v>
      </c>
      <c r="B2969" s="25" t="s">
        <v>122</v>
      </c>
      <c r="C2969" s="25" t="s">
        <v>4</v>
      </c>
      <c r="D2969" s="51">
        <v>946897</v>
      </c>
    </row>
    <row r="2970" spans="1:4" x14ac:dyDescent="0.2">
      <c r="A2970" s="24">
        <v>44287</v>
      </c>
      <c r="B2970" s="25" t="s">
        <v>123</v>
      </c>
      <c r="C2970" s="25" t="s">
        <v>4</v>
      </c>
      <c r="D2970" s="51">
        <v>3203204</v>
      </c>
    </row>
    <row r="2971" spans="1:4" x14ac:dyDescent="0.2">
      <c r="A2971" s="24">
        <v>44287</v>
      </c>
      <c r="B2971" s="25" t="s">
        <v>117</v>
      </c>
      <c r="C2971" s="25" t="s">
        <v>8</v>
      </c>
      <c r="D2971" s="51">
        <v>340228</v>
      </c>
    </row>
    <row r="2972" spans="1:4" x14ac:dyDescent="0.2">
      <c r="A2972" s="24">
        <v>44287</v>
      </c>
      <c r="B2972" s="25" t="s">
        <v>137</v>
      </c>
      <c r="C2972" s="25" t="s">
        <v>8</v>
      </c>
      <c r="D2972" s="51">
        <v>247035</v>
      </c>
    </row>
    <row r="2973" spans="1:4" x14ac:dyDescent="0.2">
      <c r="A2973" s="24">
        <v>44287</v>
      </c>
      <c r="B2973" s="25" t="s">
        <v>118</v>
      </c>
      <c r="C2973" s="25" t="s">
        <v>8</v>
      </c>
      <c r="D2973" s="51">
        <v>96891</v>
      </c>
    </row>
    <row r="2974" spans="1:4" x14ac:dyDescent="0.2">
      <c r="A2974" s="24">
        <v>44287</v>
      </c>
      <c r="B2974" s="25" t="s">
        <v>119</v>
      </c>
      <c r="C2974" s="25" t="s">
        <v>8</v>
      </c>
      <c r="D2974" s="51">
        <v>17490</v>
      </c>
    </row>
    <row r="2975" spans="1:4" x14ac:dyDescent="0.2">
      <c r="A2975" s="24">
        <v>44287</v>
      </c>
      <c r="B2975" s="25" t="s">
        <v>139</v>
      </c>
      <c r="C2975" s="25" t="s">
        <v>8</v>
      </c>
      <c r="D2975" s="51">
        <v>15</v>
      </c>
    </row>
    <row r="2976" spans="1:4" x14ac:dyDescent="0.2">
      <c r="A2976" s="24">
        <v>44287</v>
      </c>
      <c r="B2976" s="25" t="s">
        <v>120</v>
      </c>
      <c r="C2976" s="25" t="s">
        <v>8</v>
      </c>
      <c r="D2976" s="51">
        <v>4982</v>
      </c>
    </row>
    <row r="2977" spans="1:4" x14ac:dyDescent="0.2">
      <c r="A2977" s="24">
        <v>44287</v>
      </c>
      <c r="B2977" s="25" t="s">
        <v>121</v>
      </c>
      <c r="C2977" s="25" t="s">
        <v>8</v>
      </c>
      <c r="D2977" s="51">
        <v>1974</v>
      </c>
    </row>
    <row r="2978" spans="1:4" x14ac:dyDescent="0.2">
      <c r="A2978" s="24">
        <v>44287</v>
      </c>
      <c r="B2978" s="25" t="s">
        <v>122</v>
      </c>
      <c r="C2978" s="25" t="s">
        <v>8</v>
      </c>
      <c r="D2978" s="51">
        <v>4864</v>
      </c>
    </row>
    <row r="2979" spans="1:4" x14ac:dyDescent="0.2">
      <c r="A2979" s="24">
        <v>44287</v>
      </c>
      <c r="B2979" s="25" t="s">
        <v>123</v>
      </c>
      <c r="C2979" s="25" t="s">
        <v>8</v>
      </c>
      <c r="D2979" s="51">
        <v>178749</v>
      </c>
    </row>
    <row r="2980" spans="1:4" x14ac:dyDescent="0.2">
      <c r="A2980" s="24">
        <v>44287</v>
      </c>
      <c r="B2980" s="25" t="s">
        <v>124</v>
      </c>
      <c r="C2980" s="25" t="s">
        <v>8</v>
      </c>
      <c r="D2980" s="51">
        <v>18735</v>
      </c>
    </row>
    <row r="2981" spans="1:4" x14ac:dyDescent="0.2">
      <c r="A2981" s="24">
        <v>44287</v>
      </c>
      <c r="B2981" s="25" t="s">
        <v>125</v>
      </c>
      <c r="C2981" s="25" t="s">
        <v>8</v>
      </c>
      <c r="D2981" s="51">
        <v>15144</v>
      </c>
    </row>
    <row r="2982" spans="1:4" x14ac:dyDescent="0.2">
      <c r="A2982" s="24">
        <v>44287</v>
      </c>
      <c r="B2982" s="25" t="s">
        <v>117</v>
      </c>
      <c r="C2982" s="25" t="s">
        <v>26</v>
      </c>
      <c r="D2982" s="51">
        <v>934599</v>
      </c>
    </row>
    <row r="2983" spans="1:4" x14ac:dyDescent="0.2">
      <c r="A2983" s="24">
        <v>44287</v>
      </c>
      <c r="B2983" s="25" t="s">
        <v>137</v>
      </c>
      <c r="C2983" s="25" t="s">
        <v>26</v>
      </c>
      <c r="D2983" s="51">
        <v>521713</v>
      </c>
    </row>
    <row r="2984" spans="1:4" x14ac:dyDescent="0.2">
      <c r="A2984" s="24">
        <v>44287</v>
      </c>
      <c r="B2984" s="25" t="s">
        <v>118</v>
      </c>
      <c r="C2984" s="25" t="s">
        <v>26</v>
      </c>
      <c r="D2984" s="51">
        <v>125713</v>
      </c>
    </row>
    <row r="2985" spans="1:4" x14ac:dyDescent="0.2">
      <c r="A2985" s="24">
        <v>44287</v>
      </c>
      <c r="B2985" s="25" t="s">
        <v>119</v>
      </c>
      <c r="C2985" s="25" t="s">
        <v>26</v>
      </c>
      <c r="D2985" s="51">
        <v>196902</v>
      </c>
    </row>
    <row r="2986" spans="1:4" x14ac:dyDescent="0.2">
      <c r="A2986" s="24">
        <v>44287</v>
      </c>
      <c r="B2986" s="25" t="s">
        <v>139</v>
      </c>
      <c r="C2986" s="25" t="s">
        <v>26</v>
      </c>
      <c r="D2986" s="51">
        <v>19</v>
      </c>
    </row>
    <row r="2987" spans="1:4" x14ac:dyDescent="0.2">
      <c r="A2987" s="24">
        <v>44287</v>
      </c>
      <c r="B2987" s="25" t="s">
        <v>120</v>
      </c>
      <c r="C2987" s="25" t="s">
        <v>26</v>
      </c>
      <c r="D2987" s="51">
        <v>7916</v>
      </c>
    </row>
    <row r="2988" spans="1:4" x14ac:dyDescent="0.2">
      <c r="A2988" s="24">
        <v>44287</v>
      </c>
      <c r="B2988" s="25" t="s">
        <v>121</v>
      </c>
      <c r="C2988" s="25" t="s">
        <v>26</v>
      </c>
      <c r="D2988" s="51">
        <v>2956</v>
      </c>
    </row>
    <row r="2989" spans="1:4" x14ac:dyDescent="0.2">
      <c r="A2989" s="24">
        <v>44287</v>
      </c>
      <c r="B2989" s="25" t="s">
        <v>122</v>
      </c>
      <c r="C2989" s="25" t="s">
        <v>26</v>
      </c>
      <c r="D2989" s="51">
        <v>22281</v>
      </c>
    </row>
    <row r="2990" spans="1:4" x14ac:dyDescent="0.2">
      <c r="A2990" s="24">
        <v>44287</v>
      </c>
      <c r="B2990" s="25" t="s">
        <v>123</v>
      </c>
      <c r="C2990" s="25" t="s">
        <v>26</v>
      </c>
      <c r="D2990" s="51">
        <v>330539</v>
      </c>
    </row>
    <row r="2991" spans="1:4" x14ac:dyDescent="0.2">
      <c r="A2991" s="24">
        <v>44287</v>
      </c>
      <c r="B2991" s="25" t="s">
        <v>127</v>
      </c>
      <c r="C2991" s="25" t="s">
        <v>26</v>
      </c>
      <c r="D2991" s="51">
        <v>2765</v>
      </c>
    </row>
    <row r="2992" spans="1:4" x14ac:dyDescent="0.2">
      <c r="A2992" s="24">
        <v>44287</v>
      </c>
      <c r="B2992" s="25" t="s">
        <v>128</v>
      </c>
      <c r="C2992" s="25" t="s">
        <v>26</v>
      </c>
      <c r="D2992" s="51">
        <v>2219</v>
      </c>
    </row>
    <row r="2993" spans="1:4" x14ac:dyDescent="0.2">
      <c r="A2993" s="24">
        <v>44287</v>
      </c>
      <c r="B2993" s="25" t="s">
        <v>117</v>
      </c>
      <c r="C2993" s="25" t="s">
        <v>142</v>
      </c>
      <c r="D2993" s="51">
        <v>724933</v>
      </c>
    </row>
    <row r="2994" spans="1:4" x14ac:dyDescent="0.2">
      <c r="A2994" s="24">
        <v>44287</v>
      </c>
      <c r="B2994" s="25" t="s">
        <v>137</v>
      </c>
      <c r="C2994" s="25" t="s">
        <v>142</v>
      </c>
      <c r="D2994" s="51">
        <v>294486</v>
      </c>
    </row>
    <row r="2995" spans="1:4" x14ac:dyDescent="0.2">
      <c r="A2995" s="24">
        <v>44287</v>
      </c>
      <c r="B2995" s="25" t="s">
        <v>118</v>
      </c>
      <c r="C2995" s="25" t="s">
        <v>142</v>
      </c>
      <c r="D2995" s="51">
        <v>112888</v>
      </c>
    </row>
    <row r="2996" spans="1:4" x14ac:dyDescent="0.2">
      <c r="A2996" s="24">
        <v>44287</v>
      </c>
      <c r="B2996" s="25" t="s">
        <v>119</v>
      </c>
      <c r="C2996" s="25" t="s">
        <v>142</v>
      </c>
      <c r="D2996" s="51">
        <v>139038</v>
      </c>
    </row>
    <row r="2997" spans="1:4" x14ac:dyDescent="0.2">
      <c r="A2997" s="24">
        <v>44287</v>
      </c>
      <c r="B2997" s="25" t="s">
        <v>139</v>
      </c>
      <c r="C2997" s="25" t="s">
        <v>142</v>
      </c>
      <c r="D2997" s="51">
        <v>7</v>
      </c>
    </row>
    <row r="2998" spans="1:4" x14ac:dyDescent="0.2">
      <c r="A2998" s="24">
        <v>44287</v>
      </c>
      <c r="B2998" s="25" t="s">
        <v>120</v>
      </c>
      <c r="C2998" s="25" t="s">
        <v>142</v>
      </c>
      <c r="D2998" s="51">
        <v>8072</v>
      </c>
    </row>
    <row r="2999" spans="1:4" x14ac:dyDescent="0.2">
      <c r="A2999" s="24">
        <v>44287</v>
      </c>
      <c r="B2999" s="25" t="s">
        <v>121</v>
      </c>
      <c r="C2999" s="25" t="s">
        <v>142</v>
      </c>
      <c r="D2999" s="51">
        <v>1412</v>
      </c>
    </row>
    <row r="3000" spans="1:4" x14ac:dyDescent="0.2">
      <c r="A3000" s="24">
        <v>44287</v>
      </c>
      <c r="B3000" s="25" t="s">
        <v>122</v>
      </c>
      <c r="C3000" s="25" t="s">
        <v>142</v>
      </c>
      <c r="D3000" s="51">
        <v>56909</v>
      </c>
    </row>
    <row r="3001" spans="1:4" x14ac:dyDescent="0.2">
      <c r="A3001" s="24">
        <v>44287</v>
      </c>
      <c r="B3001" s="25" t="s">
        <v>123</v>
      </c>
      <c r="C3001" s="25" t="s">
        <v>142</v>
      </c>
      <c r="D3001" s="51">
        <v>107808</v>
      </c>
    </row>
    <row r="3002" spans="1:4" x14ac:dyDescent="0.2">
      <c r="A3002" s="24">
        <v>44287</v>
      </c>
      <c r="B3002" s="25" t="s">
        <v>129</v>
      </c>
      <c r="C3002" s="25" t="s">
        <v>142</v>
      </c>
      <c r="D3002" s="51">
        <v>3971</v>
      </c>
    </row>
    <row r="3003" spans="1:4" x14ac:dyDescent="0.2">
      <c r="A3003" s="24">
        <v>44287</v>
      </c>
      <c r="B3003" s="25" t="s">
        <v>130</v>
      </c>
      <c r="C3003" s="25" t="s">
        <v>142</v>
      </c>
      <c r="D3003" s="51">
        <v>5286</v>
      </c>
    </row>
    <row r="3004" spans="1:4" x14ac:dyDescent="0.2">
      <c r="A3004" s="24">
        <v>44287</v>
      </c>
      <c r="B3004" s="25" t="s">
        <v>117</v>
      </c>
      <c r="C3004" s="25" t="s">
        <v>2</v>
      </c>
      <c r="D3004" s="51">
        <v>10852255</v>
      </c>
    </row>
    <row r="3005" spans="1:4" x14ac:dyDescent="0.2">
      <c r="A3005" s="24">
        <v>44287</v>
      </c>
      <c r="B3005" s="25" t="s">
        <v>137</v>
      </c>
      <c r="C3005" s="25" t="s">
        <v>2</v>
      </c>
      <c r="D3005" s="51">
        <v>4379493</v>
      </c>
    </row>
    <row r="3006" spans="1:4" x14ac:dyDescent="0.2">
      <c r="A3006" s="24">
        <v>44287</v>
      </c>
      <c r="B3006" s="25" t="s">
        <v>118</v>
      </c>
      <c r="C3006" s="25" t="s">
        <v>2</v>
      </c>
      <c r="D3006" s="51">
        <v>935882</v>
      </c>
    </row>
    <row r="3007" spans="1:4" x14ac:dyDescent="0.2">
      <c r="A3007" s="24">
        <v>44287</v>
      </c>
      <c r="B3007" s="25" t="s">
        <v>119</v>
      </c>
      <c r="C3007" s="25" t="s">
        <v>2</v>
      </c>
      <c r="D3007" s="51">
        <v>1227628</v>
      </c>
    </row>
    <row r="3008" spans="1:4" x14ac:dyDescent="0.2">
      <c r="A3008" s="24">
        <v>44287</v>
      </c>
      <c r="B3008" s="25" t="s">
        <v>138</v>
      </c>
      <c r="C3008" s="25" t="s">
        <v>2</v>
      </c>
      <c r="D3008" s="51">
        <v>8</v>
      </c>
    </row>
    <row r="3009" spans="1:4" x14ac:dyDescent="0.2">
      <c r="A3009" s="24">
        <v>44287</v>
      </c>
      <c r="B3009" s="25" t="s">
        <v>139</v>
      </c>
      <c r="C3009" s="25" t="s">
        <v>2</v>
      </c>
      <c r="D3009" s="51">
        <v>584</v>
      </c>
    </row>
    <row r="3010" spans="1:4" x14ac:dyDescent="0.2">
      <c r="A3010" s="24">
        <v>44287</v>
      </c>
      <c r="B3010" s="25" t="s">
        <v>120</v>
      </c>
      <c r="C3010" s="25" t="s">
        <v>2</v>
      </c>
      <c r="D3010" s="51">
        <v>239457</v>
      </c>
    </row>
    <row r="3011" spans="1:4" x14ac:dyDescent="0.2">
      <c r="A3011" s="24">
        <v>44287</v>
      </c>
      <c r="B3011" s="25" t="s">
        <v>121</v>
      </c>
      <c r="C3011" s="25" t="s">
        <v>2</v>
      </c>
      <c r="D3011" s="51">
        <v>23328</v>
      </c>
    </row>
    <row r="3012" spans="1:4" x14ac:dyDescent="0.2">
      <c r="A3012" s="24">
        <v>44287</v>
      </c>
      <c r="B3012" s="25" t="s">
        <v>122</v>
      </c>
      <c r="C3012" s="25" t="s">
        <v>2</v>
      </c>
      <c r="D3012" s="51">
        <v>534720</v>
      </c>
    </row>
    <row r="3013" spans="1:4" x14ac:dyDescent="0.2">
      <c r="A3013" s="24">
        <v>44287</v>
      </c>
      <c r="B3013" s="25" t="s">
        <v>123</v>
      </c>
      <c r="C3013" s="25" t="s">
        <v>2</v>
      </c>
      <c r="D3013" s="51">
        <v>2218946</v>
      </c>
    </row>
    <row r="3014" spans="1:4" x14ac:dyDescent="0.2">
      <c r="A3014" s="24">
        <v>44287</v>
      </c>
      <c r="B3014" s="25" t="s">
        <v>129</v>
      </c>
      <c r="C3014" s="25" t="s">
        <v>2</v>
      </c>
      <c r="D3014" s="51">
        <v>83270</v>
      </c>
    </row>
    <row r="3015" spans="1:4" x14ac:dyDescent="0.2">
      <c r="A3015" s="24">
        <v>44287</v>
      </c>
      <c r="B3015" s="25" t="s">
        <v>130</v>
      </c>
      <c r="C3015" s="25" t="s">
        <v>2</v>
      </c>
      <c r="D3015" s="51">
        <v>56928</v>
      </c>
    </row>
    <row r="3016" spans="1:4" x14ac:dyDescent="0.2">
      <c r="A3016" s="24">
        <v>44317</v>
      </c>
      <c r="B3016" s="25" t="s">
        <v>117</v>
      </c>
      <c r="C3016" s="25" t="s">
        <v>4</v>
      </c>
      <c r="D3016" s="51">
        <v>6504495</v>
      </c>
    </row>
    <row r="3017" spans="1:4" x14ac:dyDescent="0.2">
      <c r="A3017" s="24">
        <v>44317</v>
      </c>
      <c r="B3017" s="25" t="s">
        <v>131</v>
      </c>
      <c r="C3017" s="25" t="s">
        <v>4</v>
      </c>
      <c r="D3017" s="51">
        <v>89</v>
      </c>
    </row>
    <row r="3018" spans="1:4" x14ac:dyDescent="0.2">
      <c r="A3018" s="24">
        <v>44317</v>
      </c>
      <c r="B3018" s="25" t="s">
        <v>132</v>
      </c>
      <c r="C3018" s="25" t="s">
        <v>4</v>
      </c>
      <c r="D3018" s="51">
        <v>22</v>
      </c>
    </row>
    <row r="3019" spans="1:4" x14ac:dyDescent="0.2">
      <c r="A3019" s="24">
        <v>44317</v>
      </c>
      <c r="B3019" s="25" t="s">
        <v>133</v>
      </c>
      <c r="C3019" s="25" t="s">
        <v>4</v>
      </c>
      <c r="D3019" s="51">
        <v>15</v>
      </c>
    </row>
    <row r="3020" spans="1:4" x14ac:dyDescent="0.2">
      <c r="A3020" s="24">
        <v>44317</v>
      </c>
      <c r="B3020" s="25" t="s">
        <v>137</v>
      </c>
      <c r="C3020" s="25" t="s">
        <v>4</v>
      </c>
      <c r="D3020" s="51">
        <v>3319276</v>
      </c>
    </row>
    <row r="3021" spans="1:4" x14ac:dyDescent="0.2">
      <c r="A3021" s="24">
        <v>44317</v>
      </c>
      <c r="B3021" s="25" t="s">
        <v>118</v>
      </c>
      <c r="C3021" s="25" t="s">
        <v>4</v>
      </c>
      <c r="D3021" s="51">
        <v>684511</v>
      </c>
    </row>
    <row r="3022" spans="1:4" x14ac:dyDescent="0.2">
      <c r="A3022" s="24">
        <v>44317</v>
      </c>
      <c r="B3022" s="25" t="s">
        <v>134</v>
      </c>
      <c r="C3022" s="25" t="s">
        <v>4</v>
      </c>
      <c r="D3022" s="51">
        <v>7</v>
      </c>
    </row>
    <row r="3023" spans="1:4" x14ac:dyDescent="0.2">
      <c r="A3023" s="24">
        <v>44317</v>
      </c>
      <c r="B3023" s="25" t="s">
        <v>135</v>
      </c>
      <c r="C3023" s="25" t="s">
        <v>4</v>
      </c>
      <c r="D3023" s="51">
        <v>1</v>
      </c>
    </row>
    <row r="3024" spans="1:4" x14ac:dyDescent="0.2">
      <c r="A3024" s="24">
        <v>44317</v>
      </c>
      <c r="B3024" s="25" t="s">
        <v>136</v>
      </c>
      <c r="C3024" s="25" t="s">
        <v>4</v>
      </c>
      <c r="D3024" s="51">
        <v>3</v>
      </c>
    </row>
    <row r="3025" spans="1:4" x14ac:dyDescent="0.2">
      <c r="A3025" s="24">
        <v>44317</v>
      </c>
      <c r="B3025" s="25" t="s">
        <v>119</v>
      </c>
      <c r="C3025" s="25" t="s">
        <v>4</v>
      </c>
      <c r="D3025" s="51">
        <v>920032</v>
      </c>
    </row>
    <row r="3026" spans="1:4" x14ac:dyDescent="0.2">
      <c r="A3026" s="24">
        <v>44317</v>
      </c>
      <c r="B3026" s="25" t="s">
        <v>138</v>
      </c>
      <c r="C3026" s="25" t="s">
        <v>4</v>
      </c>
      <c r="D3026" s="51">
        <v>5</v>
      </c>
    </row>
    <row r="3027" spans="1:4" x14ac:dyDescent="0.2">
      <c r="A3027" s="24">
        <v>44317</v>
      </c>
      <c r="B3027" s="25" t="s">
        <v>139</v>
      </c>
      <c r="C3027" s="25" t="s">
        <v>4</v>
      </c>
      <c r="D3027" s="51">
        <v>727</v>
      </c>
    </row>
    <row r="3028" spans="1:4" x14ac:dyDescent="0.2">
      <c r="A3028" s="24">
        <v>44317</v>
      </c>
      <c r="B3028" s="25" t="s">
        <v>120</v>
      </c>
      <c r="C3028" s="25" t="s">
        <v>4</v>
      </c>
      <c r="D3028" s="51">
        <v>63334</v>
      </c>
    </row>
    <row r="3029" spans="1:4" x14ac:dyDescent="0.2">
      <c r="A3029" s="24">
        <v>44317</v>
      </c>
      <c r="B3029" s="25" t="s">
        <v>121</v>
      </c>
      <c r="C3029" s="25" t="s">
        <v>4</v>
      </c>
      <c r="D3029" s="51">
        <v>28884</v>
      </c>
    </row>
    <row r="3030" spans="1:4" x14ac:dyDescent="0.2">
      <c r="A3030" s="24">
        <v>44317</v>
      </c>
      <c r="B3030" s="25" t="s">
        <v>140</v>
      </c>
      <c r="C3030" s="25" t="s">
        <v>4</v>
      </c>
      <c r="D3030" s="51">
        <v>20804</v>
      </c>
    </row>
    <row r="3031" spans="1:4" x14ac:dyDescent="0.2">
      <c r="A3031" s="24">
        <v>44317</v>
      </c>
      <c r="B3031" s="25" t="s">
        <v>122</v>
      </c>
      <c r="C3031" s="25" t="s">
        <v>4</v>
      </c>
      <c r="D3031" s="51">
        <v>1849310</v>
      </c>
    </row>
    <row r="3032" spans="1:4" x14ac:dyDescent="0.2">
      <c r="A3032" s="24">
        <v>44317</v>
      </c>
      <c r="B3032" s="25" t="s">
        <v>123</v>
      </c>
      <c r="C3032" s="25" t="s">
        <v>4</v>
      </c>
      <c r="D3032" s="51">
        <v>3258937</v>
      </c>
    </row>
    <row r="3033" spans="1:4" x14ac:dyDescent="0.2">
      <c r="A3033" s="24">
        <v>44317</v>
      </c>
      <c r="B3033" s="25" t="s">
        <v>117</v>
      </c>
      <c r="C3033" s="25" t="s">
        <v>8</v>
      </c>
      <c r="D3033" s="51">
        <v>246613</v>
      </c>
    </row>
    <row r="3034" spans="1:4" x14ac:dyDescent="0.2">
      <c r="A3034" s="24">
        <v>44317</v>
      </c>
      <c r="B3034" s="25" t="s">
        <v>137</v>
      </c>
      <c r="C3034" s="25" t="s">
        <v>8</v>
      </c>
      <c r="D3034" s="51">
        <v>192875</v>
      </c>
    </row>
    <row r="3035" spans="1:4" x14ac:dyDescent="0.2">
      <c r="A3035" s="24">
        <v>44317</v>
      </c>
      <c r="B3035" s="25" t="s">
        <v>118</v>
      </c>
      <c r="C3035" s="25" t="s">
        <v>8</v>
      </c>
      <c r="D3035" s="51">
        <v>31202</v>
      </c>
    </row>
    <row r="3036" spans="1:4" x14ac:dyDescent="0.2">
      <c r="A3036" s="24">
        <v>44317</v>
      </c>
      <c r="B3036" s="25" t="s">
        <v>119</v>
      </c>
      <c r="C3036" s="25" t="s">
        <v>8</v>
      </c>
      <c r="D3036" s="51">
        <v>14721</v>
      </c>
    </row>
    <row r="3037" spans="1:4" x14ac:dyDescent="0.2">
      <c r="A3037" s="24">
        <v>44317</v>
      </c>
      <c r="B3037" s="25" t="s">
        <v>138</v>
      </c>
      <c r="C3037" s="25" t="s">
        <v>8</v>
      </c>
      <c r="D3037" s="51">
        <v>612</v>
      </c>
    </row>
    <row r="3038" spans="1:4" x14ac:dyDescent="0.2">
      <c r="A3038" s="24">
        <v>44317</v>
      </c>
      <c r="B3038" s="25" t="s">
        <v>139</v>
      </c>
      <c r="C3038" s="25" t="s">
        <v>8</v>
      </c>
      <c r="D3038" s="51">
        <v>38</v>
      </c>
    </row>
    <row r="3039" spans="1:4" x14ac:dyDescent="0.2">
      <c r="A3039" s="24">
        <v>44317</v>
      </c>
      <c r="B3039" s="25" t="s">
        <v>120</v>
      </c>
      <c r="C3039" s="25" t="s">
        <v>8</v>
      </c>
      <c r="D3039" s="51">
        <v>4583</v>
      </c>
    </row>
    <row r="3040" spans="1:4" x14ac:dyDescent="0.2">
      <c r="A3040" s="24">
        <v>44317</v>
      </c>
      <c r="B3040" s="25" t="s">
        <v>121</v>
      </c>
      <c r="C3040" s="25" t="s">
        <v>8</v>
      </c>
      <c r="D3040" s="51">
        <v>1648</v>
      </c>
    </row>
    <row r="3041" spans="1:4" x14ac:dyDescent="0.2">
      <c r="A3041" s="24">
        <v>44317</v>
      </c>
      <c r="B3041" s="25" t="s">
        <v>122</v>
      </c>
      <c r="C3041" s="25" t="s">
        <v>8</v>
      </c>
      <c r="D3041" s="51">
        <v>8929</v>
      </c>
    </row>
    <row r="3042" spans="1:4" x14ac:dyDescent="0.2">
      <c r="A3042" s="24">
        <v>44317</v>
      </c>
      <c r="B3042" s="25" t="s">
        <v>123</v>
      </c>
      <c r="C3042" s="25" t="s">
        <v>8</v>
      </c>
      <c r="D3042" s="51">
        <v>146719</v>
      </c>
    </row>
    <row r="3043" spans="1:4" x14ac:dyDescent="0.2">
      <c r="A3043" s="24">
        <v>44317</v>
      </c>
      <c r="B3043" s="25" t="s">
        <v>124</v>
      </c>
      <c r="C3043" s="25" t="s">
        <v>8</v>
      </c>
      <c r="D3043" s="51">
        <v>8717</v>
      </c>
    </row>
    <row r="3044" spans="1:4" x14ac:dyDescent="0.2">
      <c r="A3044" s="24">
        <v>44317</v>
      </c>
      <c r="B3044" s="25" t="s">
        <v>125</v>
      </c>
      <c r="C3044" s="25" t="s">
        <v>8</v>
      </c>
      <c r="D3044" s="51">
        <v>4322</v>
      </c>
    </row>
    <row r="3045" spans="1:4" x14ac:dyDescent="0.2">
      <c r="A3045" s="24">
        <v>44317</v>
      </c>
      <c r="B3045" s="25" t="s">
        <v>117</v>
      </c>
      <c r="C3045" s="25" t="s">
        <v>26</v>
      </c>
      <c r="D3045" s="51">
        <v>911130</v>
      </c>
    </row>
    <row r="3046" spans="1:4" x14ac:dyDescent="0.2">
      <c r="A3046" s="24">
        <v>44317</v>
      </c>
      <c r="B3046" s="25" t="s">
        <v>137</v>
      </c>
      <c r="C3046" s="25" t="s">
        <v>26</v>
      </c>
      <c r="D3046" s="51">
        <v>520234</v>
      </c>
    </row>
    <row r="3047" spans="1:4" x14ac:dyDescent="0.2">
      <c r="A3047" s="24">
        <v>44317</v>
      </c>
      <c r="B3047" s="25" t="s">
        <v>118</v>
      </c>
      <c r="C3047" s="25" t="s">
        <v>26</v>
      </c>
      <c r="D3047" s="51">
        <v>60324</v>
      </c>
    </row>
    <row r="3048" spans="1:4" x14ac:dyDescent="0.2">
      <c r="A3048" s="24">
        <v>44317</v>
      </c>
      <c r="B3048" s="25" t="s">
        <v>119</v>
      </c>
      <c r="C3048" s="25" t="s">
        <v>26</v>
      </c>
      <c r="D3048" s="51">
        <v>143357</v>
      </c>
    </row>
    <row r="3049" spans="1:4" x14ac:dyDescent="0.2">
      <c r="A3049" s="24">
        <v>44317</v>
      </c>
      <c r="B3049" s="25" t="s">
        <v>138</v>
      </c>
      <c r="C3049" s="25" t="s">
        <v>26</v>
      </c>
      <c r="D3049" s="51">
        <v>87</v>
      </c>
    </row>
    <row r="3050" spans="1:4" x14ac:dyDescent="0.2">
      <c r="A3050" s="24">
        <v>44317</v>
      </c>
      <c r="B3050" s="25" t="s">
        <v>139</v>
      </c>
      <c r="C3050" s="25" t="s">
        <v>26</v>
      </c>
      <c r="D3050" s="51">
        <v>25</v>
      </c>
    </row>
    <row r="3051" spans="1:4" x14ac:dyDescent="0.2">
      <c r="A3051" s="24">
        <v>44317</v>
      </c>
      <c r="B3051" s="25" t="s">
        <v>120</v>
      </c>
      <c r="C3051" s="25" t="s">
        <v>26</v>
      </c>
      <c r="D3051" s="51">
        <v>7962</v>
      </c>
    </row>
    <row r="3052" spans="1:4" x14ac:dyDescent="0.2">
      <c r="A3052" s="24">
        <v>44317</v>
      </c>
      <c r="B3052" s="25" t="s">
        <v>121</v>
      </c>
      <c r="C3052" s="25" t="s">
        <v>26</v>
      </c>
      <c r="D3052" s="51">
        <v>2610</v>
      </c>
    </row>
    <row r="3053" spans="1:4" x14ac:dyDescent="0.2">
      <c r="A3053" s="24">
        <v>44317</v>
      </c>
      <c r="B3053" s="25" t="s">
        <v>122</v>
      </c>
      <c r="C3053" s="25" t="s">
        <v>26</v>
      </c>
      <c r="D3053" s="51">
        <v>41673</v>
      </c>
    </row>
    <row r="3054" spans="1:4" x14ac:dyDescent="0.2">
      <c r="A3054" s="24">
        <v>44317</v>
      </c>
      <c r="B3054" s="25" t="s">
        <v>123</v>
      </c>
      <c r="C3054" s="25" t="s">
        <v>26</v>
      </c>
      <c r="D3054" s="51">
        <v>309228</v>
      </c>
    </row>
    <row r="3055" spans="1:4" x14ac:dyDescent="0.2">
      <c r="A3055" s="24">
        <v>44317</v>
      </c>
      <c r="B3055" s="25" t="s">
        <v>127</v>
      </c>
      <c r="C3055" s="25" t="s">
        <v>26</v>
      </c>
      <c r="D3055" s="51">
        <v>1663</v>
      </c>
    </row>
    <row r="3056" spans="1:4" x14ac:dyDescent="0.2">
      <c r="A3056" s="24">
        <v>44317</v>
      </c>
      <c r="B3056" s="25" t="s">
        <v>128</v>
      </c>
      <c r="C3056" s="25" t="s">
        <v>26</v>
      </c>
      <c r="D3056" s="51">
        <v>992</v>
      </c>
    </row>
    <row r="3057" spans="1:4" x14ac:dyDescent="0.2">
      <c r="A3057" s="24">
        <v>44317</v>
      </c>
      <c r="B3057" s="25" t="s">
        <v>117</v>
      </c>
      <c r="C3057" s="25" t="s">
        <v>142</v>
      </c>
      <c r="D3057" s="51">
        <v>784759</v>
      </c>
    </row>
    <row r="3058" spans="1:4" x14ac:dyDescent="0.2">
      <c r="A3058" s="24">
        <v>44317</v>
      </c>
      <c r="B3058" s="25" t="s">
        <v>137</v>
      </c>
      <c r="C3058" s="25" t="s">
        <v>142</v>
      </c>
      <c r="D3058" s="51">
        <v>324035</v>
      </c>
    </row>
    <row r="3059" spans="1:4" x14ac:dyDescent="0.2">
      <c r="A3059" s="24">
        <v>44317</v>
      </c>
      <c r="B3059" s="25" t="s">
        <v>118</v>
      </c>
      <c r="C3059" s="25" t="s">
        <v>142</v>
      </c>
      <c r="D3059" s="51">
        <v>76183</v>
      </c>
    </row>
    <row r="3060" spans="1:4" x14ac:dyDescent="0.2">
      <c r="A3060" s="24">
        <v>44317</v>
      </c>
      <c r="B3060" s="25" t="s">
        <v>119</v>
      </c>
      <c r="C3060" s="25" t="s">
        <v>142</v>
      </c>
      <c r="D3060" s="51">
        <v>172821</v>
      </c>
    </row>
    <row r="3061" spans="1:4" x14ac:dyDescent="0.2">
      <c r="A3061" s="24">
        <v>44317</v>
      </c>
      <c r="B3061" s="25" t="s">
        <v>139</v>
      </c>
      <c r="C3061" s="25" t="s">
        <v>142</v>
      </c>
      <c r="D3061" s="51">
        <v>3</v>
      </c>
    </row>
    <row r="3062" spans="1:4" x14ac:dyDescent="0.2">
      <c r="A3062" s="24">
        <v>44317</v>
      </c>
      <c r="B3062" s="25" t="s">
        <v>120</v>
      </c>
      <c r="C3062" s="25" t="s">
        <v>142</v>
      </c>
      <c r="D3062" s="51">
        <v>9284</v>
      </c>
    </row>
    <row r="3063" spans="1:4" x14ac:dyDescent="0.2">
      <c r="A3063" s="24">
        <v>44317</v>
      </c>
      <c r="B3063" s="25" t="s">
        <v>121</v>
      </c>
      <c r="C3063" s="25" t="s">
        <v>142</v>
      </c>
      <c r="D3063" s="51">
        <v>1426</v>
      </c>
    </row>
    <row r="3064" spans="1:4" x14ac:dyDescent="0.2">
      <c r="A3064" s="24">
        <v>44317</v>
      </c>
      <c r="B3064" s="25" t="s">
        <v>122</v>
      </c>
      <c r="C3064" s="25" t="s">
        <v>142</v>
      </c>
      <c r="D3064" s="51">
        <v>117474</v>
      </c>
    </row>
    <row r="3065" spans="1:4" x14ac:dyDescent="0.2">
      <c r="A3065" s="24">
        <v>44317</v>
      </c>
      <c r="B3065" s="25" t="s">
        <v>123</v>
      </c>
      <c r="C3065" s="25" t="s">
        <v>142</v>
      </c>
      <c r="D3065" s="51">
        <v>114252</v>
      </c>
    </row>
    <row r="3066" spans="1:4" x14ac:dyDescent="0.2">
      <c r="A3066" s="24">
        <v>44317</v>
      </c>
      <c r="B3066" s="25" t="s">
        <v>129</v>
      </c>
      <c r="C3066" s="25" t="s">
        <v>142</v>
      </c>
      <c r="D3066" s="51">
        <v>3415</v>
      </c>
    </row>
    <row r="3067" spans="1:4" x14ac:dyDescent="0.2">
      <c r="A3067" s="24">
        <v>44317</v>
      </c>
      <c r="B3067" s="25" t="s">
        <v>130</v>
      </c>
      <c r="C3067" s="25" t="s">
        <v>142</v>
      </c>
      <c r="D3067" s="51">
        <v>3857</v>
      </c>
    </row>
    <row r="3068" spans="1:4" x14ac:dyDescent="0.2">
      <c r="A3068" s="24">
        <v>44317</v>
      </c>
      <c r="B3068" s="25" t="s">
        <v>117</v>
      </c>
      <c r="C3068" s="25" t="s">
        <v>2</v>
      </c>
      <c r="D3068" s="51">
        <v>11083214</v>
      </c>
    </row>
    <row r="3069" spans="1:4" x14ac:dyDescent="0.2">
      <c r="A3069" s="24">
        <v>44317</v>
      </c>
      <c r="B3069" s="25" t="s">
        <v>137</v>
      </c>
      <c r="C3069" s="25" t="s">
        <v>2</v>
      </c>
      <c r="D3069" s="51">
        <v>4502379</v>
      </c>
    </row>
    <row r="3070" spans="1:4" x14ac:dyDescent="0.2">
      <c r="A3070" s="24">
        <v>44317</v>
      </c>
      <c r="B3070" s="25" t="s">
        <v>118</v>
      </c>
      <c r="C3070" s="25" t="s">
        <v>2</v>
      </c>
      <c r="D3070" s="51">
        <v>551285</v>
      </c>
    </row>
    <row r="3071" spans="1:4" x14ac:dyDescent="0.2">
      <c r="A3071" s="24">
        <v>44317</v>
      </c>
      <c r="B3071" s="25" t="s">
        <v>119</v>
      </c>
      <c r="C3071" s="25" t="s">
        <v>2</v>
      </c>
      <c r="D3071" s="51">
        <v>1268868</v>
      </c>
    </row>
    <row r="3072" spans="1:4" x14ac:dyDescent="0.2">
      <c r="A3072" s="24">
        <v>44317</v>
      </c>
      <c r="B3072" s="25" t="s">
        <v>138</v>
      </c>
      <c r="C3072" s="25" t="s">
        <v>2</v>
      </c>
      <c r="D3072" s="51">
        <v>36</v>
      </c>
    </row>
    <row r="3073" spans="1:4" x14ac:dyDescent="0.2">
      <c r="A3073" s="24">
        <v>44317</v>
      </c>
      <c r="B3073" s="25" t="s">
        <v>139</v>
      </c>
      <c r="C3073" s="25" t="s">
        <v>2</v>
      </c>
      <c r="D3073" s="51">
        <v>690</v>
      </c>
    </row>
    <row r="3074" spans="1:4" x14ac:dyDescent="0.2">
      <c r="A3074" s="24">
        <v>44317</v>
      </c>
      <c r="B3074" s="25" t="s">
        <v>120</v>
      </c>
      <c r="C3074" s="25" t="s">
        <v>2</v>
      </c>
      <c r="D3074" s="51">
        <v>243732</v>
      </c>
    </row>
    <row r="3075" spans="1:4" x14ac:dyDescent="0.2">
      <c r="A3075" s="24">
        <v>44317</v>
      </c>
      <c r="B3075" s="25" t="s">
        <v>121</v>
      </c>
      <c r="C3075" s="25" t="s">
        <v>2</v>
      </c>
      <c r="D3075" s="51">
        <v>22989</v>
      </c>
    </row>
    <row r="3076" spans="1:4" x14ac:dyDescent="0.2">
      <c r="A3076" s="24">
        <v>44317</v>
      </c>
      <c r="B3076" s="25" t="s">
        <v>122</v>
      </c>
      <c r="C3076" s="25" t="s">
        <v>2</v>
      </c>
      <c r="D3076" s="51">
        <v>1070994</v>
      </c>
    </row>
    <row r="3077" spans="1:4" x14ac:dyDescent="0.2">
      <c r="A3077" s="24">
        <v>44317</v>
      </c>
      <c r="B3077" s="25" t="s">
        <v>123</v>
      </c>
      <c r="C3077" s="25" t="s">
        <v>2</v>
      </c>
      <c r="D3077" s="51">
        <v>2196224</v>
      </c>
    </row>
    <row r="3078" spans="1:4" x14ac:dyDescent="0.2">
      <c r="A3078" s="24">
        <v>44317</v>
      </c>
      <c r="B3078" s="25" t="s">
        <v>129</v>
      </c>
      <c r="C3078" s="25" t="s">
        <v>2</v>
      </c>
      <c r="D3078" s="51">
        <v>66707</v>
      </c>
    </row>
    <row r="3079" spans="1:4" x14ac:dyDescent="0.2">
      <c r="A3079" s="24">
        <v>44317</v>
      </c>
      <c r="B3079" s="25" t="s">
        <v>130</v>
      </c>
      <c r="C3079" s="25" t="s">
        <v>2</v>
      </c>
      <c r="D3079" s="51">
        <v>31491</v>
      </c>
    </row>
    <row r="3080" spans="1:4" x14ac:dyDescent="0.2">
      <c r="A3080" s="24">
        <v>44348</v>
      </c>
      <c r="B3080" s="25" t="s">
        <v>117</v>
      </c>
      <c r="C3080" s="25" t="s">
        <v>4</v>
      </c>
      <c r="D3080" s="51">
        <v>5480610</v>
      </c>
    </row>
    <row r="3081" spans="1:4" x14ac:dyDescent="0.2">
      <c r="A3081" s="24">
        <v>44348</v>
      </c>
      <c r="B3081" s="25" t="s">
        <v>131</v>
      </c>
      <c r="C3081" s="25" t="s">
        <v>4</v>
      </c>
      <c r="D3081" s="51">
        <v>66</v>
      </c>
    </row>
    <row r="3082" spans="1:4" x14ac:dyDescent="0.2">
      <c r="A3082" s="24">
        <v>44348</v>
      </c>
      <c r="B3082" s="25" t="s">
        <v>132</v>
      </c>
      <c r="C3082" s="25" t="s">
        <v>4</v>
      </c>
      <c r="D3082" s="51">
        <v>28</v>
      </c>
    </row>
    <row r="3083" spans="1:4" x14ac:dyDescent="0.2">
      <c r="A3083" s="24">
        <v>44348</v>
      </c>
      <c r="B3083" s="25" t="s">
        <v>133</v>
      </c>
      <c r="C3083" s="25" t="s">
        <v>4</v>
      </c>
      <c r="D3083" s="51">
        <v>13</v>
      </c>
    </row>
    <row r="3084" spans="1:4" x14ac:dyDescent="0.2">
      <c r="A3084" s="24">
        <v>44348</v>
      </c>
      <c r="B3084" s="25" t="s">
        <v>137</v>
      </c>
      <c r="C3084" s="25" t="s">
        <v>4</v>
      </c>
      <c r="D3084" s="51">
        <v>2814237</v>
      </c>
    </row>
    <row r="3085" spans="1:4" x14ac:dyDescent="0.2">
      <c r="A3085" s="24">
        <v>44348</v>
      </c>
      <c r="B3085" s="25" t="s">
        <v>118</v>
      </c>
      <c r="C3085" s="25" t="s">
        <v>4</v>
      </c>
      <c r="D3085" s="51">
        <v>570279</v>
      </c>
    </row>
    <row r="3086" spans="1:4" x14ac:dyDescent="0.2">
      <c r="A3086" s="24">
        <v>44348</v>
      </c>
      <c r="B3086" s="25" t="s">
        <v>134</v>
      </c>
      <c r="C3086" s="25" t="s">
        <v>4</v>
      </c>
      <c r="D3086" s="51">
        <v>3</v>
      </c>
    </row>
    <row r="3087" spans="1:4" x14ac:dyDescent="0.2">
      <c r="A3087" s="24">
        <v>44348</v>
      </c>
      <c r="B3087" s="25" t="s">
        <v>135</v>
      </c>
      <c r="C3087" s="25" t="s">
        <v>4</v>
      </c>
      <c r="D3087" s="51">
        <v>1</v>
      </c>
    </row>
    <row r="3088" spans="1:4" x14ac:dyDescent="0.2">
      <c r="A3088" s="24">
        <v>44348</v>
      </c>
      <c r="B3088" s="25" t="s">
        <v>136</v>
      </c>
      <c r="C3088" s="25" t="s">
        <v>4</v>
      </c>
      <c r="D3088" s="51">
        <v>2</v>
      </c>
    </row>
    <row r="3089" spans="1:4" x14ac:dyDescent="0.2">
      <c r="A3089" s="24">
        <v>44348</v>
      </c>
      <c r="B3089" s="25" t="s">
        <v>119</v>
      </c>
      <c r="C3089" s="25" t="s">
        <v>4</v>
      </c>
      <c r="D3089" s="51">
        <v>682886</v>
      </c>
    </row>
    <row r="3090" spans="1:4" x14ac:dyDescent="0.2">
      <c r="A3090" s="24">
        <v>44348</v>
      </c>
      <c r="B3090" s="25" t="s">
        <v>138</v>
      </c>
      <c r="C3090" s="25" t="s">
        <v>4</v>
      </c>
      <c r="D3090" s="51">
        <v>8</v>
      </c>
    </row>
    <row r="3091" spans="1:4" x14ac:dyDescent="0.2">
      <c r="A3091" s="24">
        <v>44348</v>
      </c>
      <c r="B3091" s="25" t="s">
        <v>139</v>
      </c>
      <c r="C3091" s="25" t="s">
        <v>4</v>
      </c>
      <c r="D3091" s="51">
        <v>595</v>
      </c>
    </row>
    <row r="3092" spans="1:4" x14ac:dyDescent="0.2">
      <c r="A3092" s="24">
        <v>44348</v>
      </c>
      <c r="B3092" s="25" t="s">
        <v>120</v>
      </c>
      <c r="C3092" s="25" t="s">
        <v>4</v>
      </c>
      <c r="D3092" s="51">
        <v>44912</v>
      </c>
    </row>
    <row r="3093" spans="1:4" x14ac:dyDescent="0.2">
      <c r="A3093" s="24">
        <v>44348</v>
      </c>
      <c r="B3093" s="25" t="s">
        <v>121</v>
      </c>
      <c r="C3093" s="25" t="s">
        <v>4</v>
      </c>
      <c r="D3093" s="51">
        <v>24437</v>
      </c>
    </row>
    <row r="3094" spans="1:4" x14ac:dyDescent="0.2">
      <c r="A3094" s="24">
        <v>44348</v>
      </c>
      <c r="B3094" s="25" t="s">
        <v>140</v>
      </c>
      <c r="C3094" s="25" t="s">
        <v>4</v>
      </c>
      <c r="D3094" s="51">
        <v>18803</v>
      </c>
    </row>
    <row r="3095" spans="1:4" x14ac:dyDescent="0.2">
      <c r="A3095" s="24">
        <v>44348</v>
      </c>
      <c r="B3095" s="25" t="s">
        <v>122</v>
      </c>
      <c r="C3095" s="25" t="s">
        <v>4</v>
      </c>
      <c r="D3095" s="51">
        <v>1404565</v>
      </c>
    </row>
    <row r="3096" spans="1:4" x14ac:dyDescent="0.2">
      <c r="A3096" s="24">
        <v>44348</v>
      </c>
      <c r="B3096" s="25" t="s">
        <v>123</v>
      </c>
      <c r="C3096" s="25" t="s">
        <v>4</v>
      </c>
      <c r="D3096" s="51">
        <v>2817884</v>
      </c>
    </row>
    <row r="3097" spans="1:4" x14ac:dyDescent="0.2">
      <c r="A3097" s="24">
        <v>44348</v>
      </c>
      <c r="B3097" s="25" t="s">
        <v>117</v>
      </c>
      <c r="C3097" s="25" t="s">
        <v>8</v>
      </c>
      <c r="D3097" s="51">
        <v>185678</v>
      </c>
    </row>
    <row r="3098" spans="1:4" x14ac:dyDescent="0.2">
      <c r="A3098" s="24">
        <v>44348</v>
      </c>
      <c r="B3098" s="25" t="s">
        <v>137</v>
      </c>
      <c r="C3098" s="25" t="s">
        <v>8</v>
      </c>
      <c r="D3098" s="51">
        <v>141456</v>
      </c>
    </row>
    <row r="3099" spans="1:4" x14ac:dyDescent="0.2">
      <c r="A3099" s="24">
        <v>44348</v>
      </c>
      <c r="B3099" s="25" t="s">
        <v>118</v>
      </c>
      <c r="C3099" s="25" t="s">
        <v>8</v>
      </c>
      <c r="D3099" s="51">
        <v>26586</v>
      </c>
    </row>
    <row r="3100" spans="1:4" x14ac:dyDescent="0.2">
      <c r="A3100" s="24">
        <v>44348</v>
      </c>
      <c r="B3100" s="25" t="s">
        <v>119</v>
      </c>
      <c r="C3100" s="25" t="s">
        <v>8</v>
      </c>
      <c r="D3100" s="51">
        <v>10512</v>
      </c>
    </row>
    <row r="3101" spans="1:4" x14ac:dyDescent="0.2">
      <c r="A3101" s="24">
        <v>44348</v>
      </c>
      <c r="B3101" s="25" t="s">
        <v>138</v>
      </c>
      <c r="C3101" s="25" t="s">
        <v>8</v>
      </c>
      <c r="D3101" s="51">
        <v>192</v>
      </c>
    </row>
    <row r="3102" spans="1:4" x14ac:dyDescent="0.2">
      <c r="A3102" s="24">
        <v>44348</v>
      </c>
      <c r="B3102" s="25" t="s">
        <v>139</v>
      </c>
      <c r="C3102" s="25" t="s">
        <v>8</v>
      </c>
      <c r="D3102" s="51">
        <v>4</v>
      </c>
    </row>
    <row r="3103" spans="1:4" x14ac:dyDescent="0.2">
      <c r="A3103" s="24">
        <v>44348</v>
      </c>
      <c r="B3103" s="25" t="s">
        <v>120</v>
      </c>
      <c r="C3103" s="25" t="s">
        <v>8</v>
      </c>
      <c r="D3103" s="51">
        <v>2662</v>
      </c>
    </row>
    <row r="3104" spans="1:4" x14ac:dyDescent="0.2">
      <c r="A3104" s="24">
        <v>44348</v>
      </c>
      <c r="B3104" s="25" t="s">
        <v>121</v>
      </c>
      <c r="C3104" s="25" t="s">
        <v>8</v>
      </c>
      <c r="D3104" s="51">
        <v>1268</v>
      </c>
    </row>
    <row r="3105" spans="1:4" x14ac:dyDescent="0.2">
      <c r="A3105" s="24">
        <v>44348</v>
      </c>
      <c r="B3105" s="25" t="s">
        <v>122</v>
      </c>
      <c r="C3105" s="25" t="s">
        <v>8</v>
      </c>
      <c r="D3105" s="51">
        <v>6187</v>
      </c>
    </row>
    <row r="3106" spans="1:4" x14ac:dyDescent="0.2">
      <c r="A3106" s="24">
        <v>44348</v>
      </c>
      <c r="B3106" s="25" t="s">
        <v>123</v>
      </c>
      <c r="C3106" s="25" t="s">
        <v>8</v>
      </c>
      <c r="D3106" s="51">
        <v>103636</v>
      </c>
    </row>
    <row r="3107" spans="1:4" x14ac:dyDescent="0.2">
      <c r="A3107" s="24">
        <v>44348</v>
      </c>
      <c r="B3107" s="25" t="s">
        <v>124</v>
      </c>
      <c r="C3107" s="25" t="s">
        <v>8</v>
      </c>
      <c r="D3107" s="51">
        <v>5169</v>
      </c>
    </row>
    <row r="3108" spans="1:4" x14ac:dyDescent="0.2">
      <c r="A3108" s="24">
        <v>44348</v>
      </c>
      <c r="B3108" s="25" t="s">
        <v>125</v>
      </c>
      <c r="C3108" s="25" t="s">
        <v>8</v>
      </c>
      <c r="D3108" s="51">
        <v>3029</v>
      </c>
    </row>
    <row r="3109" spans="1:4" x14ac:dyDescent="0.2">
      <c r="A3109" s="24">
        <v>44348</v>
      </c>
      <c r="B3109" s="25" t="s">
        <v>117</v>
      </c>
      <c r="C3109" s="25" t="s">
        <v>26</v>
      </c>
      <c r="D3109" s="51">
        <v>736205</v>
      </c>
    </row>
    <row r="3110" spans="1:4" x14ac:dyDescent="0.2">
      <c r="A3110" s="24">
        <v>44348</v>
      </c>
      <c r="B3110" s="25" t="s">
        <v>137</v>
      </c>
      <c r="C3110" s="25" t="s">
        <v>26</v>
      </c>
      <c r="D3110" s="51">
        <v>429108</v>
      </c>
    </row>
    <row r="3111" spans="1:4" x14ac:dyDescent="0.2">
      <c r="A3111" s="24">
        <v>44348</v>
      </c>
      <c r="B3111" s="25" t="s">
        <v>118</v>
      </c>
      <c r="C3111" s="25" t="s">
        <v>26</v>
      </c>
      <c r="D3111" s="51">
        <v>46986</v>
      </c>
    </row>
    <row r="3112" spans="1:4" x14ac:dyDescent="0.2">
      <c r="A3112" s="24">
        <v>44348</v>
      </c>
      <c r="B3112" s="25" t="s">
        <v>119</v>
      </c>
      <c r="C3112" s="25" t="s">
        <v>26</v>
      </c>
      <c r="D3112" s="51">
        <v>181712</v>
      </c>
    </row>
    <row r="3113" spans="1:4" x14ac:dyDescent="0.2">
      <c r="A3113" s="24">
        <v>44348</v>
      </c>
      <c r="B3113" s="25" t="s">
        <v>139</v>
      </c>
      <c r="C3113" s="25" t="s">
        <v>26</v>
      </c>
      <c r="D3113" s="51">
        <v>17</v>
      </c>
    </row>
    <row r="3114" spans="1:4" x14ac:dyDescent="0.2">
      <c r="A3114" s="24">
        <v>44348</v>
      </c>
      <c r="B3114" s="25" t="s">
        <v>120</v>
      </c>
      <c r="C3114" s="25" t="s">
        <v>26</v>
      </c>
      <c r="D3114" s="51">
        <v>5312</v>
      </c>
    </row>
    <row r="3115" spans="1:4" x14ac:dyDescent="0.2">
      <c r="A3115" s="24">
        <v>44348</v>
      </c>
      <c r="B3115" s="25" t="s">
        <v>121</v>
      </c>
      <c r="C3115" s="25" t="s">
        <v>26</v>
      </c>
      <c r="D3115" s="51">
        <v>2067</v>
      </c>
    </row>
    <row r="3116" spans="1:4" x14ac:dyDescent="0.2">
      <c r="A3116" s="24">
        <v>44348</v>
      </c>
      <c r="B3116" s="25" t="s">
        <v>122</v>
      </c>
      <c r="C3116" s="25" t="s">
        <v>26</v>
      </c>
      <c r="D3116" s="51">
        <v>30742</v>
      </c>
    </row>
    <row r="3117" spans="1:4" x14ac:dyDescent="0.2">
      <c r="A3117" s="24">
        <v>44348</v>
      </c>
      <c r="B3117" s="25" t="s">
        <v>123</v>
      </c>
      <c r="C3117" s="25" t="s">
        <v>26</v>
      </c>
      <c r="D3117" s="51">
        <v>238740</v>
      </c>
    </row>
    <row r="3118" spans="1:4" x14ac:dyDescent="0.2">
      <c r="A3118" s="24">
        <v>44348</v>
      </c>
      <c r="B3118" s="25" t="s">
        <v>127</v>
      </c>
      <c r="C3118" s="25" t="s">
        <v>26</v>
      </c>
      <c r="D3118" s="51">
        <v>1127</v>
      </c>
    </row>
    <row r="3119" spans="1:4" x14ac:dyDescent="0.2">
      <c r="A3119" s="24">
        <v>44348</v>
      </c>
      <c r="B3119" s="25" t="s">
        <v>128</v>
      </c>
      <c r="C3119" s="25" t="s">
        <v>26</v>
      </c>
      <c r="D3119" s="51">
        <v>685</v>
      </c>
    </row>
    <row r="3120" spans="1:4" x14ac:dyDescent="0.2">
      <c r="A3120" s="24">
        <v>44348</v>
      </c>
      <c r="B3120" s="25" t="s">
        <v>117</v>
      </c>
      <c r="C3120" s="25" t="s">
        <v>142</v>
      </c>
      <c r="D3120" s="51">
        <v>617927</v>
      </c>
    </row>
    <row r="3121" spans="1:4" x14ac:dyDescent="0.2">
      <c r="A3121" s="24">
        <v>44348</v>
      </c>
      <c r="B3121" s="25" t="s">
        <v>137</v>
      </c>
      <c r="C3121" s="25" t="s">
        <v>142</v>
      </c>
      <c r="D3121" s="51">
        <v>246817</v>
      </c>
    </row>
    <row r="3122" spans="1:4" x14ac:dyDescent="0.2">
      <c r="A3122" s="24">
        <v>44348</v>
      </c>
      <c r="B3122" s="25" t="s">
        <v>118</v>
      </c>
      <c r="C3122" s="25" t="s">
        <v>142</v>
      </c>
      <c r="D3122" s="51">
        <v>55744</v>
      </c>
    </row>
    <row r="3123" spans="1:4" x14ac:dyDescent="0.2">
      <c r="A3123" s="24">
        <v>44348</v>
      </c>
      <c r="B3123" s="25" t="s">
        <v>119</v>
      </c>
      <c r="C3123" s="25" t="s">
        <v>142</v>
      </c>
      <c r="D3123" s="51">
        <v>104679</v>
      </c>
    </row>
    <row r="3124" spans="1:4" x14ac:dyDescent="0.2">
      <c r="A3124" s="24">
        <v>44348</v>
      </c>
      <c r="B3124" s="25" t="s">
        <v>139</v>
      </c>
      <c r="C3124" s="25" t="s">
        <v>142</v>
      </c>
      <c r="D3124" s="51">
        <v>5</v>
      </c>
    </row>
    <row r="3125" spans="1:4" x14ac:dyDescent="0.2">
      <c r="A3125" s="24">
        <v>44348</v>
      </c>
      <c r="B3125" s="25" t="s">
        <v>120</v>
      </c>
      <c r="C3125" s="25" t="s">
        <v>142</v>
      </c>
      <c r="D3125" s="51">
        <v>6129</v>
      </c>
    </row>
    <row r="3126" spans="1:4" x14ac:dyDescent="0.2">
      <c r="A3126" s="24">
        <v>44348</v>
      </c>
      <c r="B3126" s="25" t="s">
        <v>121</v>
      </c>
      <c r="C3126" s="25" t="s">
        <v>142</v>
      </c>
      <c r="D3126" s="51">
        <v>1070</v>
      </c>
    </row>
    <row r="3127" spans="1:4" x14ac:dyDescent="0.2">
      <c r="A3127" s="24">
        <v>44348</v>
      </c>
      <c r="B3127" s="25" t="s">
        <v>122</v>
      </c>
      <c r="C3127" s="25" t="s">
        <v>142</v>
      </c>
      <c r="D3127" s="51">
        <v>94870</v>
      </c>
    </row>
    <row r="3128" spans="1:4" x14ac:dyDescent="0.2">
      <c r="A3128" s="24">
        <v>44348</v>
      </c>
      <c r="B3128" s="25" t="s">
        <v>123</v>
      </c>
      <c r="C3128" s="25" t="s">
        <v>142</v>
      </c>
      <c r="D3128" s="51">
        <v>89799</v>
      </c>
    </row>
    <row r="3129" spans="1:4" x14ac:dyDescent="0.2">
      <c r="A3129" s="24">
        <v>44348</v>
      </c>
      <c r="B3129" s="25" t="s">
        <v>129</v>
      </c>
      <c r="C3129" s="25" t="s">
        <v>142</v>
      </c>
      <c r="D3129" s="51">
        <v>2213</v>
      </c>
    </row>
    <row r="3130" spans="1:4" x14ac:dyDescent="0.2">
      <c r="A3130" s="24">
        <v>44348</v>
      </c>
      <c r="B3130" s="25" t="s">
        <v>130</v>
      </c>
      <c r="C3130" s="25" t="s">
        <v>142</v>
      </c>
      <c r="D3130" s="51">
        <v>2771</v>
      </c>
    </row>
    <row r="3131" spans="1:4" x14ac:dyDescent="0.2">
      <c r="A3131" s="24">
        <v>44348</v>
      </c>
      <c r="B3131" s="25" t="s">
        <v>117</v>
      </c>
      <c r="C3131" s="25" t="s">
        <v>2</v>
      </c>
      <c r="D3131" s="51">
        <v>9207753</v>
      </c>
    </row>
    <row r="3132" spans="1:4" x14ac:dyDescent="0.2">
      <c r="A3132" s="24">
        <v>44348</v>
      </c>
      <c r="B3132" s="25" t="s">
        <v>137</v>
      </c>
      <c r="C3132" s="25" t="s">
        <v>2</v>
      </c>
      <c r="D3132" s="51">
        <v>3730766</v>
      </c>
    </row>
    <row r="3133" spans="1:4" x14ac:dyDescent="0.2">
      <c r="A3133" s="24">
        <v>44348</v>
      </c>
      <c r="B3133" s="25" t="s">
        <v>118</v>
      </c>
      <c r="C3133" s="25" t="s">
        <v>2</v>
      </c>
      <c r="D3133" s="51">
        <v>432363</v>
      </c>
    </row>
    <row r="3134" spans="1:4" x14ac:dyDescent="0.2">
      <c r="A3134" s="24">
        <v>44348</v>
      </c>
      <c r="B3134" s="25" t="s">
        <v>119</v>
      </c>
      <c r="C3134" s="25" t="s">
        <v>2</v>
      </c>
      <c r="D3134" s="51">
        <v>902120</v>
      </c>
    </row>
    <row r="3135" spans="1:4" x14ac:dyDescent="0.2">
      <c r="A3135" s="24">
        <v>44348</v>
      </c>
      <c r="B3135" s="25" t="s">
        <v>138</v>
      </c>
      <c r="C3135" s="25" t="s">
        <v>2</v>
      </c>
      <c r="D3135" s="51">
        <v>10</v>
      </c>
    </row>
    <row r="3136" spans="1:4" x14ac:dyDescent="0.2">
      <c r="A3136" s="24">
        <v>44348</v>
      </c>
      <c r="B3136" s="25" t="s">
        <v>139</v>
      </c>
      <c r="C3136" s="25" t="s">
        <v>2</v>
      </c>
      <c r="D3136" s="51">
        <v>656</v>
      </c>
    </row>
    <row r="3137" spans="1:4" x14ac:dyDescent="0.2">
      <c r="A3137" s="24">
        <v>44348</v>
      </c>
      <c r="B3137" s="25" t="s">
        <v>120</v>
      </c>
      <c r="C3137" s="25" t="s">
        <v>2</v>
      </c>
      <c r="D3137" s="51">
        <v>174401</v>
      </c>
    </row>
    <row r="3138" spans="1:4" x14ac:dyDescent="0.2">
      <c r="A3138" s="24">
        <v>44348</v>
      </c>
      <c r="B3138" s="25" t="s">
        <v>121</v>
      </c>
      <c r="C3138" s="25" t="s">
        <v>2</v>
      </c>
      <c r="D3138" s="51">
        <v>18227</v>
      </c>
    </row>
    <row r="3139" spans="1:4" x14ac:dyDescent="0.2">
      <c r="A3139" s="24">
        <v>44348</v>
      </c>
      <c r="B3139" s="25" t="s">
        <v>122</v>
      </c>
      <c r="C3139" s="25" t="s">
        <v>2</v>
      </c>
      <c r="D3139" s="51">
        <v>834277</v>
      </c>
    </row>
    <row r="3140" spans="1:4" x14ac:dyDescent="0.2">
      <c r="A3140" s="24">
        <v>44348</v>
      </c>
      <c r="B3140" s="25" t="s">
        <v>123</v>
      </c>
      <c r="C3140" s="25" t="s">
        <v>2</v>
      </c>
      <c r="D3140" s="51">
        <v>1818996</v>
      </c>
    </row>
    <row r="3141" spans="1:4" x14ac:dyDescent="0.2">
      <c r="A3141" s="24">
        <v>44348</v>
      </c>
      <c r="B3141" s="25" t="s">
        <v>129</v>
      </c>
      <c r="C3141" s="25" t="s">
        <v>2</v>
      </c>
      <c r="D3141" s="51">
        <v>47869</v>
      </c>
    </row>
    <row r="3142" spans="1:4" x14ac:dyDescent="0.2">
      <c r="A3142" s="24">
        <v>44348</v>
      </c>
      <c r="B3142" s="25" t="s">
        <v>130</v>
      </c>
      <c r="C3142" s="25" t="s">
        <v>2</v>
      </c>
      <c r="D3142" s="51">
        <v>26038</v>
      </c>
    </row>
    <row r="3143" spans="1:4" x14ac:dyDescent="0.2">
      <c r="A3143" s="24">
        <v>44378</v>
      </c>
      <c r="B3143" s="25" t="s">
        <v>117</v>
      </c>
      <c r="C3143" s="25" t="s">
        <v>4</v>
      </c>
      <c r="D3143" s="51">
        <v>2299880</v>
      </c>
    </row>
    <row r="3144" spans="1:4" x14ac:dyDescent="0.2">
      <c r="A3144" s="24">
        <v>44378</v>
      </c>
      <c r="B3144" s="25" t="s">
        <v>131</v>
      </c>
      <c r="C3144" s="25" t="s">
        <v>4</v>
      </c>
      <c r="D3144" s="51">
        <v>56</v>
      </c>
    </row>
    <row r="3145" spans="1:4" x14ac:dyDescent="0.2">
      <c r="A3145" s="24">
        <v>44378</v>
      </c>
      <c r="B3145" s="25" t="s">
        <v>132</v>
      </c>
      <c r="C3145" s="25" t="s">
        <v>4</v>
      </c>
      <c r="D3145" s="51">
        <v>25</v>
      </c>
    </row>
    <row r="3146" spans="1:4" x14ac:dyDescent="0.2">
      <c r="A3146" s="24">
        <v>44378</v>
      </c>
      <c r="B3146" s="25" t="s">
        <v>133</v>
      </c>
      <c r="C3146" s="25" t="s">
        <v>4</v>
      </c>
      <c r="D3146" s="51">
        <v>11</v>
      </c>
    </row>
    <row r="3147" spans="1:4" x14ac:dyDescent="0.2">
      <c r="A3147" s="24">
        <v>44378</v>
      </c>
      <c r="B3147" s="25" t="s">
        <v>137</v>
      </c>
      <c r="C3147" s="25" t="s">
        <v>4</v>
      </c>
      <c r="D3147" s="51">
        <v>1083341</v>
      </c>
    </row>
    <row r="3148" spans="1:4" x14ac:dyDescent="0.2">
      <c r="A3148" s="24">
        <v>44378</v>
      </c>
      <c r="B3148" s="25" t="s">
        <v>118</v>
      </c>
      <c r="C3148" s="25" t="s">
        <v>4</v>
      </c>
      <c r="D3148" s="51">
        <v>167037</v>
      </c>
    </row>
    <row r="3149" spans="1:4" x14ac:dyDescent="0.2">
      <c r="A3149" s="24">
        <v>44378</v>
      </c>
      <c r="B3149" s="25" t="s">
        <v>134</v>
      </c>
      <c r="C3149" s="25" t="s">
        <v>4</v>
      </c>
      <c r="D3149" s="51">
        <v>1</v>
      </c>
    </row>
    <row r="3150" spans="1:4" x14ac:dyDescent="0.2">
      <c r="A3150" s="24">
        <v>44378</v>
      </c>
      <c r="B3150" s="25" t="s">
        <v>135</v>
      </c>
      <c r="C3150" s="25" t="s">
        <v>4</v>
      </c>
      <c r="D3150" s="51">
        <v>1</v>
      </c>
    </row>
    <row r="3151" spans="1:4" x14ac:dyDescent="0.2">
      <c r="A3151" s="24">
        <v>44378</v>
      </c>
      <c r="B3151" s="25" t="s">
        <v>119</v>
      </c>
      <c r="C3151" s="25" t="s">
        <v>4</v>
      </c>
      <c r="D3151" s="51">
        <v>179630</v>
      </c>
    </row>
    <row r="3152" spans="1:4" x14ac:dyDescent="0.2">
      <c r="A3152" s="24">
        <v>44378</v>
      </c>
      <c r="B3152" s="25" t="s">
        <v>139</v>
      </c>
      <c r="C3152" s="25" t="s">
        <v>4</v>
      </c>
      <c r="D3152" s="51">
        <v>386</v>
      </c>
    </row>
    <row r="3153" spans="1:4" x14ac:dyDescent="0.2">
      <c r="A3153" s="24">
        <v>44378</v>
      </c>
      <c r="B3153" s="25" t="s">
        <v>120</v>
      </c>
      <c r="C3153" s="25" t="s">
        <v>4</v>
      </c>
      <c r="D3153" s="51">
        <v>20412</v>
      </c>
    </row>
    <row r="3154" spans="1:4" x14ac:dyDescent="0.2">
      <c r="A3154" s="24">
        <v>44378</v>
      </c>
      <c r="B3154" s="25" t="s">
        <v>121</v>
      </c>
      <c r="C3154" s="25" t="s">
        <v>4</v>
      </c>
      <c r="D3154" s="51">
        <v>10140</v>
      </c>
    </row>
    <row r="3155" spans="1:4" x14ac:dyDescent="0.2">
      <c r="A3155" s="24">
        <v>44378</v>
      </c>
      <c r="B3155" s="25" t="s">
        <v>140</v>
      </c>
      <c r="C3155" s="25" t="s">
        <v>4</v>
      </c>
      <c r="D3155" s="51">
        <v>9478</v>
      </c>
    </row>
    <row r="3156" spans="1:4" x14ac:dyDescent="0.2">
      <c r="A3156" s="24">
        <v>44378</v>
      </c>
      <c r="B3156" s="25" t="s">
        <v>122</v>
      </c>
      <c r="C3156" s="25" t="s">
        <v>4</v>
      </c>
      <c r="D3156" s="51">
        <v>74866</v>
      </c>
    </row>
    <row r="3157" spans="1:4" x14ac:dyDescent="0.2">
      <c r="A3157" s="24">
        <v>44378</v>
      </c>
      <c r="B3157" s="25" t="s">
        <v>123</v>
      </c>
      <c r="C3157" s="25" t="s">
        <v>4</v>
      </c>
      <c r="D3157" s="51">
        <v>1261330</v>
      </c>
    </row>
    <row r="3158" spans="1:4" x14ac:dyDescent="0.2">
      <c r="A3158" s="24">
        <v>44378</v>
      </c>
      <c r="B3158" s="25" t="s">
        <v>117</v>
      </c>
      <c r="C3158" s="25" t="s">
        <v>8</v>
      </c>
      <c r="D3158" s="51">
        <v>30457</v>
      </c>
    </row>
    <row r="3159" spans="1:4" x14ac:dyDescent="0.2">
      <c r="A3159" s="24">
        <v>44378</v>
      </c>
      <c r="B3159" s="25" t="s">
        <v>137</v>
      </c>
      <c r="C3159" s="25" t="s">
        <v>8</v>
      </c>
      <c r="D3159" s="51">
        <v>25112</v>
      </c>
    </row>
    <row r="3160" spans="1:4" x14ac:dyDescent="0.2">
      <c r="A3160" s="24">
        <v>44378</v>
      </c>
      <c r="B3160" s="25" t="s">
        <v>118</v>
      </c>
      <c r="C3160" s="25" t="s">
        <v>8</v>
      </c>
      <c r="D3160" s="51">
        <v>3759</v>
      </c>
    </row>
    <row r="3161" spans="1:4" x14ac:dyDescent="0.2">
      <c r="A3161" s="24">
        <v>44378</v>
      </c>
      <c r="B3161" s="25" t="s">
        <v>119</v>
      </c>
      <c r="C3161" s="25" t="s">
        <v>8</v>
      </c>
      <c r="D3161" s="51">
        <v>1684</v>
      </c>
    </row>
    <row r="3162" spans="1:4" x14ac:dyDescent="0.2">
      <c r="A3162" s="24">
        <v>44378</v>
      </c>
      <c r="B3162" s="25" t="s">
        <v>139</v>
      </c>
      <c r="C3162" s="25" t="s">
        <v>8</v>
      </c>
      <c r="D3162" s="51">
        <v>4</v>
      </c>
    </row>
    <row r="3163" spans="1:4" x14ac:dyDescent="0.2">
      <c r="A3163" s="24">
        <v>44378</v>
      </c>
      <c r="B3163" s="25" t="s">
        <v>120</v>
      </c>
      <c r="C3163" s="25" t="s">
        <v>8</v>
      </c>
      <c r="D3163" s="51">
        <v>734</v>
      </c>
    </row>
    <row r="3164" spans="1:4" x14ac:dyDescent="0.2">
      <c r="A3164" s="24">
        <v>44378</v>
      </c>
      <c r="B3164" s="25" t="s">
        <v>121</v>
      </c>
      <c r="C3164" s="25" t="s">
        <v>8</v>
      </c>
      <c r="D3164" s="51">
        <v>353</v>
      </c>
    </row>
    <row r="3165" spans="1:4" x14ac:dyDescent="0.2">
      <c r="A3165" s="24">
        <v>44378</v>
      </c>
      <c r="B3165" s="25" t="s">
        <v>122</v>
      </c>
      <c r="C3165" s="25" t="s">
        <v>8</v>
      </c>
      <c r="D3165" s="51">
        <v>703</v>
      </c>
    </row>
    <row r="3166" spans="1:4" x14ac:dyDescent="0.2">
      <c r="A3166" s="24">
        <v>44378</v>
      </c>
      <c r="B3166" s="25" t="s">
        <v>123</v>
      </c>
      <c r="C3166" s="25" t="s">
        <v>8</v>
      </c>
      <c r="D3166" s="51">
        <v>17700</v>
      </c>
    </row>
    <row r="3167" spans="1:4" x14ac:dyDescent="0.2">
      <c r="A3167" s="24">
        <v>44378</v>
      </c>
      <c r="B3167" s="25" t="s">
        <v>124</v>
      </c>
      <c r="C3167" s="25" t="s">
        <v>8</v>
      </c>
      <c r="D3167" s="51">
        <v>196</v>
      </c>
    </row>
    <row r="3168" spans="1:4" x14ac:dyDescent="0.2">
      <c r="A3168" s="24">
        <v>44378</v>
      </c>
      <c r="B3168" s="25" t="s">
        <v>125</v>
      </c>
      <c r="C3168" s="25" t="s">
        <v>8</v>
      </c>
      <c r="D3168" s="51">
        <v>185</v>
      </c>
    </row>
    <row r="3169" spans="1:4" x14ac:dyDescent="0.2">
      <c r="A3169" s="24">
        <v>44378</v>
      </c>
      <c r="B3169" s="25" t="s">
        <v>117</v>
      </c>
      <c r="C3169" s="25" t="s">
        <v>26</v>
      </c>
      <c r="D3169" s="51">
        <v>186420</v>
      </c>
    </row>
    <row r="3170" spans="1:4" x14ac:dyDescent="0.2">
      <c r="A3170" s="24">
        <v>44378</v>
      </c>
      <c r="B3170" s="25" t="s">
        <v>137</v>
      </c>
      <c r="C3170" s="25" t="s">
        <v>26</v>
      </c>
      <c r="D3170" s="51">
        <v>89160</v>
      </c>
    </row>
    <row r="3171" spans="1:4" x14ac:dyDescent="0.2">
      <c r="A3171" s="24">
        <v>44378</v>
      </c>
      <c r="B3171" s="25" t="s">
        <v>118</v>
      </c>
      <c r="C3171" s="25" t="s">
        <v>26</v>
      </c>
      <c r="D3171" s="51">
        <v>6128</v>
      </c>
    </row>
    <row r="3172" spans="1:4" x14ac:dyDescent="0.2">
      <c r="A3172" s="24">
        <v>44378</v>
      </c>
      <c r="B3172" s="25" t="s">
        <v>119</v>
      </c>
      <c r="C3172" s="25" t="s">
        <v>26</v>
      </c>
      <c r="D3172" s="51">
        <v>14281</v>
      </c>
    </row>
    <row r="3173" spans="1:4" x14ac:dyDescent="0.2">
      <c r="A3173" s="24">
        <v>44378</v>
      </c>
      <c r="B3173" s="25" t="s">
        <v>139</v>
      </c>
      <c r="C3173" s="25" t="s">
        <v>26</v>
      </c>
      <c r="D3173" s="51">
        <v>8</v>
      </c>
    </row>
    <row r="3174" spans="1:4" x14ac:dyDescent="0.2">
      <c r="A3174" s="24">
        <v>44378</v>
      </c>
      <c r="B3174" s="25" t="s">
        <v>120</v>
      </c>
      <c r="C3174" s="25" t="s">
        <v>26</v>
      </c>
      <c r="D3174" s="51">
        <v>1630</v>
      </c>
    </row>
    <row r="3175" spans="1:4" x14ac:dyDescent="0.2">
      <c r="A3175" s="24">
        <v>44378</v>
      </c>
      <c r="B3175" s="25" t="s">
        <v>121</v>
      </c>
      <c r="C3175" s="25" t="s">
        <v>26</v>
      </c>
      <c r="D3175" s="51">
        <v>550</v>
      </c>
    </row>
    <row r="3176" spans="1:4" x14ac:dyDescent="0.2">
      <c r="A3176" s="24">
        <v>44378</v>
      </c>
      <c r="B3176" s="25" t="s">
        <v>122</v>
      </c>
      <c r="C3176" s="25" t="s">
        <v>26</v>
      </c>
      <c r="D3176" s="51">
        <v>1199</v>
      </c>
    </row>
    <row r="3177" spans="1:4" x14ac:dyDescent="0.2">
      <c r="A3177" s="24">
        <v>44378</v>
      </c>
      <c r="B3177" s="25" t="s">
        <v>123</v>
      </c>
      <c r="C3177" s="25" t="s">
        <v>26</v>
      </c>
      <c r="D3177" s="51">
        <v>51834</v>
      </c>
    </row>
    <row r="3178" spans="1:4" x14ac:dyDescent="0.2">
      <c r="A3178" s="24">
        <v>44378</v>
      </c>
      <c r="B3178" s="25" t="s">
        <v>127</v>
      </c>
      <c r="C3178" s="25" t="s">
        <v>26</v>
      </c>
      <c r="D3178" s="51">
        <v>154</v>
      </c>
    </row>
    <row r="3179" spans="1:4" x14ac:dyDescent="0.2">
      <c r="A3179" s="24">
        <v>44378</v>
      </c>
      <c r="B3179" s="25" t="s">
        <v>128</v>
      </c>
      <c r="C3179" s="25" t="s">
        <v>26</v>
      </c>
      <c r="D3179" s="51">
        <v>127</v>
      </c>
    </row>
    <row r="3180" spans="1:4" x14ac:dyDescent="0.2">
      <c r="A3180" s="24">
        <v>44378</v>
      </c>
      <c r="B3180" s="25" t="s">
        <v>117</v>
      </c>
      <c r="C3180" s="25" t="s">
        <v>142</v>
      </c>
      <c r="D3180" s="51">
        <v>179849</v>
      </c>
    </row>
    <row r="3181" spans="1:4" x14ac:dyDescent="0.2">
      <c r="A3181" s="24">
        <v>44378</v>
      </c>
      <c r="B3181" s="25" t="s">
        <v>137</v>
      </c>
      <c r="C3181" s="25" t="s">
        <v>142</v>
      </c>
      <c r="D3181" s="51">
        <v>62260</v>
      </c>
    </row>
    <row r="3182" spans="1:4" x14ac:dyDescent="0.2">
      <c r="A3182" s="24">
        <v>44378</v>
      </c>
      <c r="B3182" s="25" t="s">
        <v>118</v>
      </c>
      <c r="C3182" s="25" t="s">
        <v>142</v>
      </c>
      <c r="D3182" s="51">
        <v>5913</v>
      </c>
    </row>
    <row r="3183" spans="1:4" x14ac:dyDescent="0.2">
      <c r="A3183" s="24">
        <v>44378</v>
      </c>
      <c r="B3183" s="25" t="s">
        <v>119</v>
      </c>
      <c r="C3183" s="25" t="s">
        <v>142</v>
      </c>
      <c r="D3183" s="51">
        <v>17652</v>
      </c>
    </row>
    <row r="3184" spans="1:4" x14ac:dyDescent="0.2">
      <c r="A3184" s="24">
        <v>44378</v>
      </c>
      <c r="B3184" s="25" t="s">
        <v>139</v>
      </c>
      <c r="C3184" s="25" t="s">
        <v>142</v>
      </c>
      <c r="D3184" s="51">
        <v>2</v>
      </c>
    </row>
    <row r="3185" spans="1:4" x14ac:dyDescent="0.2">
      <c r="A3185" s="24">
        <v>44378</v>
      </c>
      <c r="B3185" s="25" t="s">
        <v>120</v>
      </c>
      <c r="C3185" s="25" t="s">
        <v>142</v>
      </c>
      <c r="D3185" s="51">
        <v>2308</v>
      </c>
    </row>
    <row r="3186" spans="1:4" x14ac:dyDescent="0.2">
      <c r="A3186" s="24">
        <v>44378</v>
      </c>
      <c r="B3186" s="25" t="s">
        <v>121</v>
      </c>
      <c r="C3186" s="25" t="s">
        <v>142</v>
      </c>
      <c r="D3186" s="51">
        <v>191</v>
      </c>
    </row>
    <row r="3187" spans="1:4" x14ac:dyDescent="0.2">
      <c r="A3187" s="24">
        <v>44378</v>
      </c>
      <c r="B3187" s="25" t="s">
        <v>122</v>
      </c>
      <c r="C3187" s="25" t="s">
        <v>142</v>
      </c>
      <c r="D3187" s="51">
        <v>616</v>
      </c>
    </row>
    <row r="3188" spans="1:4" x14ac:dyDescent="0.2">
      <c r="A3188" s="24">
        <v>44378</v>
      </c>
      <c r="B3188" s="25" t="s">
        <v>123</v>
      </c>
      <c r="C3188" s="25" t="s">
        <v>142</v>
      </c>
      <c r="D3188" s="51">
        <v>18309</v>
      </c>
    </row>
    <row r="3189" spans="1:4" x14ac:dyDescent="0.2">
      <c r="A3189" s="24">
        <v>44378</v>
      </c>
      <c r="B3189" s="25" t="s">
        <v>129</v>
      </c>
      <c r="C3189" s="25" t="s">
        <v>142</v>
      </c>
      <c r="D3189" s="51">
        <v>455</v>
      </c>
    </row>
    <row r="3190" spans="1:4" x14ac:dyDescent="0.2">
      <c r="A3190" s="24">
        <v>44378</v>
      </c>
      <c r="B3190" s="25" t="s">
        <v>130</v>
      </c>
      <c r="C3190" s="25" t="s">
        <v>142</v>
      </c>
      <c r="D3190" s="51">
        <v>640</v>
      </c>
    </row>
    <row r="3191" spans="1:4" x14ac:dyDescent="0.2">
      <c r="A3191" s="24">
        <v>44378</v>
      </c>
      <c r="B3191" s="25" t="s">
        <v>117</v>
      </c>
      <c r="C3191" s="25" t="s">
        <v>2</v>
      </c>
      <c r="D3191" s="51">
        <v>3303530</v>
      </c>
    </row>
    <row r="3192" spans="1:4" x14ac:dyDescent="0.2">
      <c r="A3192" s="24">
        <v>44378</v>
      </c>
      <c r="B3192" s="25" t="s">
        <v>137</v>
      </c>
      <c r="C3192" s="25" t="s">
        <v>2</v>
      </c>
      <c r="D3192" s="51">
        <v>1055844</v>
      </c>
    </row>
    <row r="3193" spans="1:4" x14ac:dyDescent="0.2">
      <c r="A3193" s="24">
        <v>44378</v>
      </c>
      <c r="B3193" s="25" t="s">
        <v>118</v>
      </c>
      <c r="C3193" s="25" t="s">
        <v>2</v>
      </c>
      <c r="D3193" s="51">
        <v>66913</v>
      </c>
    </row>
    <row r="3194" spans="1:4" x14ac:dyDescent="0.2">
      <c r="A3194" s="24">
        <v>44378</v>
      </c>
      <c r="B3194" s="25" t="s">
        <v>119</v>
      </c>
      <c r="C3194" s="25" t="s">
        <v>2</v>
      </c>
      <c r="D3194" s="51">
        <v>171887</v>
      </c>
    </row>
    <row r="3195" spans="1:4" x14ac:dyDescent="0.2">
      <c r="A3195" s="24">
        <v>44378</v>
      </c>
      <c r="B3195" s="25" t="s">
        <v>139</v>
      </c>
      <c r="C3195" s="25" t="s">
        <v>2</v>
      </c>
      <c r="D3195" s="51">
        <v>386</v>
      </c>
    </row>
    <row r="3196" spans="1:4" x14ac:dyDescent="0.2">
      <c r="A3196" s="24">
        <v>44378</v>
      </c>
      <c r="B3196" s="25" t="s">
        <v>120</v>
      </c>
      <c r="C3196" s="25" t="s">
        <v>2</v>
      </c>
      <c r="D3196" s="51">
        <v>90532</v>
      </c>
    </row>
    <row r="3197" spans="1:4" x14ac:dyDescent="0.2">
      <c r="A3197" s="24">
        <v>44378</v>
      </c>
      <c r="B3197" s="25" t="s">
        <v>121</v>
      </c>
      <c r="C3197" s="25" t="s">
        <v>2</v>
      </c>
      <c r="D3197" s="51">
        <v>5093</v>
      </c>
    </row>
    <row r="3198" spans="1:4" x14ac:dyDescent="0.2">
      <c r="A3198" s="24">
        <v>44378</v>
      </c>
      <c r="B3198" s="25" t="s">
        <v>122</v>
      </c>
      <c r="C3198" s="25" t="s">
        <v>2</v>
      </c>
      <c r="D3198" s="51">
        <v>13373</v>
      </c>
    </row>
    <row r="3199" spans="1:4" x14ac:dyDescent="0.2">
      <c r="A3199" s="24">
        <v>44378</v>
      </c>
      <c r="B3199" s="25" t="s">
        <v>123</v>
      </c>
      <c r="C3199" s="25" t="s">
        <v>2</v>
      </c>
      <c r="D3199" s="51">
        <v>542932</v>
      </c>
    </row>
    <row r="3200" spans="1:4" x14ac:dyDescent="0.2">
      <c r="A3200" s="24">
        <v>44378</v>
      </c>
      <c r="B3200" s="25" t="s">
        <v>129</v>
      </c>
      <c r="C3200" s="25" t="s">
        <v>2</v>
      </c>
      <c r="D3200" s="51">
        <v>10479</v>
      </c>
    </row>
    <row r="3201" spans="1:4" x14ac:dyDescent="0.2">
      <c r="A3201" s="24">
        <v>44378</v>
      </c>
      <c r="B3201" s="25" t="s">
        <v>130</v>
      </c>
      <c r="C3201" s="25" t="s">
        <v>2</v>
      </c>
      <c r="D3201" s="51">
        <v>7864</v>
      </c>
    </row>
    <row r="3202" spans="1:4" x14ac:dyDescent="0.2">
      <c r="A3202" s="24">
        <v>44409</v>
      </c>
      <c r="B3202" s="25" t="s">
        <v>117</v>
      </c>
      <c r="C3202" s="25" t="s">
        <v>4</v>
      </c>
      <c r="D3202" s="51">
        <v>1945211</v>
      </c>
    </row>
    <row r="3203" spans="1:4" x14ac:dyDescent="0.2">
      <c r="A3203" s="24">
        <v>44409</v>
      </c>
      <c r="B3203" s="25" t="s">
        <v>131</v>
      </c>
      <c r="C3203" s="25" t="s">
        <v>4</v>
      </c>
      <c r="D3203" s="51">
        <v>62</v>
      </c>
    </row>
    <row r="3204" spans="1:4" x14ac:dyDescent="0.2">
      <c r="A3204" s="24">
        <v>44409</v>
      </c>
      <c r="B3204" s="25" t="s">
        <v>132</v>
      </c>
      <c r="C3204" s="25" t="s">
        <v>4</v>
      </c>
      <c r="D3204" s="51">
        <v>29</v>
      </c>
    </row>
    <row r="3205" spans="1:4" x14ac:dyDescent="0.2">
      <c r="A3205" s="24">
        <v>44409</v>
      </c>
      <c r="B3205" s="25" t="s">
        <v>133</v>
      </c>
      <c r="C3205" s="25" t="s">
        <v>4</v>
      </c>
      <c r="D3205" s="51">
        <v>9</v>
      </c>
    </row>
    <row r="3206" spans="1:4" x14ac:dyDescent="0.2">
      <c r="A3206" s="24">
        <v>44409</v>
      </c>
      <c r="B3206" s="25" t="s">
        <v>137</v>
      </c>
      <c r="C3206" s="25" t="s">
        <v>4</v>
      </c>
      <c r="D3206" s="51">
        <v>949416</v>
      </c>
    </row>
    <row r="3207" spans="1:4" x14ac:dyDescent="0.2">
      <c r="A3207" s="24">
        <v>44409</v>
      </c>
      <c r="B3207" s="25" t="s">
        <v>118</v>
      </c>
      <c r="C3207" s="25" t="s">
        <v>4</v>
      </c>
      <c r="D3207" s="51">
        <v>100445</v>
      </c>
    </row>
    <row r="3208" spans="1:4" x14ac:dyDescent="0.2">
      <c r="A3208" s="24">
        <v>44409</v>
      </c>
      <c r="B3208" s="25" t="s">
        <v>134</v>
      </c>
      <c r="C3208" s="25" t="s">
        <v>4</v>
      </c>
      <c r="D3208" s="51">
        <v>1</v>
      </c>
    </row>
    <row r="3209" spans="1:4" x14ac:dyDescent="0.2">
      <c r="A3209" s="24">
        <v>44409</v>
      </c>
      <c r="B3209" s="25" t="s">
        <v>119</v>
      </c>
      <c r="C3209" s="25" t="s">
        <v>4</v>
      </c>
      <c r="D3209" s="51">
        <v>129968</v>
      </c>
    </row>
    <row r="3210" spans="1:4" x14ac:dyDescent="0.2">
      <c r="A3210" s="24">
        <v>44409</v>
      </c>
      <c r="B3210" s="25" t="s">
        <v>138</v>
      </c>
      <c r="C3210" s="25" t="s">
        <v>4</v>
      </c>
      <c r="D3210" s="51">
        <v>4</v>
      </c>
    </row>
    <row r="3211" spans="1:4" x14ac:dyDescent="0.2">
      <c r="A3211" s="24">
        <v>44409</v>
      </c>
      <c r="B3211" s="25" t="s">
        <v>139</v>
      </c>
      <c r="C3211" s="25" t="s">
        <v>4</v>
      </c>
      <c r="D3211" s="51">
        <v>405</v>
      </c>
    </row>
    <row r="3212" spans="1:4" x14ac:dyDescent="0.2">
      <c r="A3212" s="24">
        <v>44409</v>
      </c>
      <c r="B3212" s="25" t="s">
        <v>120</v>
      </c>
      <c r="C3212" s="25" t="s">
        <v>4</v>
      </c>
      <c r="D3212" s="51">
        <v>17777</v>
      </c>
    </row>
    <row r="3213" spans="1:4" x14ac:dyDescent="0.2">
      <c r="A3213" s="24">
        <v>44409</v>
      </c>
      <c r="B3213" s="25" t="s">
        <v>121</v>
      </c>
      <c r="C3213" s="25" t="s">
        <v>4</v>
      </c>
      <c r="D3213" s="51">
        <v>8885</v>
      </c>
    </row>
    <row r="3214" spans="1:4" x14ac:dyDescent="0.2">
      <c r="A3214" s="24">
        <v>44409</v>
      </c>
      <c r="B3214" s="25" t="s">
        <v>140</v>
      </c>
      <c r="C3214" s="25" t="s">
        <v>4</v>
      </c>
      <c r="D3214" s="51">
        <v>6463</v>
      </c>
    </row>
    <row r="3215" spans="1:4" x14ac:dyDescent="0.2">
      <c r="A3215" s="24">
        <v>44409</v>
      </c>
      <c r="B3215" s="25" t="s">
        <v>122</v>
      </c>
      <c r="C3215" s="25" t="s">
        <v>4</v>
      </c>
      <c r="D3215" s="51">
        <v>48228</v>
      </c>
    </row>
    <row r="3216" spans="1:4" x14ac:dyDescent="0.2">
      <c r="A3216" s="24">
        <v>44409</v>
      </c>
      <c r="B3216" s="25" t="s">
        <v>123</v>
      </c>
      <c r="C3216" s="25" t="s">
        <v>4</v>
      </c>
      <c r="D3216" s="51">
        <v>1080294</v>
      </c>
    </row>
    <row r="3217" spans="1:4" x14ac:dyDescent="0.2">
      <c r="A3217" s="24">
        <v>44409</v>
      </c>
      <c r="B3217" s="25" t="s">
        <v>117</v>
      </c>
      <c r="C3217" s="25" t="s">
        <v>8</v>
      </c>
      <c r="D3217" s="51">
        <v>22078</v>
      </c>
    </row>
    <row r="3218" spans="1:4" x14ac:dyDescent="0.2">
      <c r="A3218" s="24">
        <v>44409</v>
      </c>
      <c r="B3218" s="25" t="s">
        <v>137</v>
      </c>
      <c r="C3218" s="25" t="s">
        <v>8</v>
      </c>
      <c r="D3218" s="51">
        <v>20015</v>
      </c>
    </row>
    <row r="3219" spans="1:4" x14ac:dyDescent="0.2">
      <c r="A3219" s="24">
        <v>44409</v>
      </c>
      <c r="B3219" s="25" t="s">
        <v>118</v>
      </c>
      <c r="C3219" s="25" t="s">
        <v>8</v>
      </c>
      <c r="D3219" s="51">
        <v>1563</v>
      </c>
    </row>
    <row r="3220" spans="1:4" x14ac:dyDescent="0.2">
      <c r="A3220" s="24">
        <v>44409</v>
      </c>
      <c r="B3220" s="25" t="s">
        <v>119</v>
      </c>
      <c r="C3220" s="25" t="s">
        <v>8</v>
      </c>
      <c r="D3220" s="51">
        <v>951</v>
      </c>
    </row>
    <row r="3221" spans="1:4" x14ac:dyDescent="0.2">
      <c r="A3221" s="24">
        <v>44409</v>
      </c>
      <c r="B3221" s="25" t="s">
        <v>139</v>
      </c>
      <c r="C3221" s="25" t="s">
        <v>8</v>
      </c>
      <c r="D3221" s="51">
        <v>3</v>
      </c>
    </row>
    <row r="3222" spans="1:4" x14ac:dyDescent="0.2">
      <c r="A3222" s="24">
        <v>44409</v>
      </c>
      <c r="B3222" s="25" t="s">
        <v>120</v>
      </c>
      <c r="C3222" s="25" t="s">
        <v>8</v>
      </c>
      <c r="D3222" s="51">
        <v>739</v>
      </c>
    </row>
    <row r="3223" spans="1:4" x14ac:dyDescent="0.2">
      <c r="A3223" s="24">
        <v>44409</v>
      </c>
      <c r="B3223" s="25" t="s">
        <v>121</v>
      </c>
      <c r="C3223" s="25" t="s">
        <v>8</v>
      </c>
      <c r="D3223" s="51">
        <v>169</v>
      </c>
    </row>
    <row r="3224" spans="1:4" x14ac:dyDescent="0.2">
      <c r="A3224" s="24">
        <v>44409</v>
      </c>
      <c r="B3224" s="25" t="s">
        <v>122</v>
      </c>
      <c r="C3224" s="25" t="s">
        <v>8</v>
      </c>
      <c r="D3224" s="51">
        <v>321</v>
      </c>
    </row>
    <row r="3225" spans="1:4" x14ac:dyDescent="0.2">
      <c r="A3225" s="24">
        <v>44409</v>
      </c>
      <c r="B3225" s="25" t="s">
        <v>123</v>
      </c>
      <c r="C3225" s="25" t="s">
        <v>8</v>
      </c>
      <c r="D3225" s="51">
        <v>13459</v>
      </c>
    </row>
    <row r="3226" spans="1:4" x14ac:dyDescent="0.2">
      <c r="A3226" s="24">
        <v>44409</v>
      </c>
      <c r="B3226" s="25" t="s">
        <v>124</v>
      </c>
      <c r="C3226" s="25" t="s">
        <v>8</v>
      </c>
      <c r="D3226" s="51">
        <v>172</v>
      </c>
    </row>
    <row r="3227" spans="1:4" x14ac:dyDescent="0.2">
      <c r="A3227" s="24">
        <v>44409</v>
      </c>
      <c r="B3227" s="25" t="s">
        <v>125</v>
      </c>
      <c r="C3227" s="25" t="s">
        <v>8</v>
      </c>
      <c r="D3227" s="51">
        <v>148</v>
      </c>
    </row>
    <row r="3228" spans="1:4" x14ac:dyDescent="0.2">
      <c r="A3228" s="24">
        <v>44409</v>
      </c>
      <c r="B3228" s="25" t="s">
        <v>117</v>
      </c>
      <c r="C3228" s="25" t="s">
        <v>26</v>
      </c>
      <c r="D3228" s="51">
        <v>153727</v>
      </c>
    </row>
    <row r="3229" spans="1:4" x14ac:dyDescent="0.2">
      <c r="A3229" s="24">
        <v>44409</v>
      </c>
      <c r="B3229" s="25" t="s">
        <v>137</v>
      </c>
      <c r="C3229" s="25" t="s">
        <v>26</v>
      </c>
      <c r="D3229" s="51">
        <v>75088</v>
      </c>
    </row>
    <row r="3230" spans="1:4" x14ac:dyDescent="0.2">
      <c r="A3230" s="24">
        <v>44409</v>
      </c>
      <c r="B3230" s="25" t="s">
        <v>118</v>
      </c>
      <c r="C3230" s="25" t="s">
        <v>26</v>
      </c>
      <c r="D3230" s="51">
        <v>2399</v>
      </c>
    </row>
    <row r="3231" spans="1:4" x14ac:dyDescent="0.2">
      <c r="A3231" s="24">
        <v>44409</v>
      </c>
      <c r="B3231" s="25" t="s">
        <v>119</v>
      </c>
      <c r="C3231" s="25" t="s">
        <v>26</v>
      </c>
      <c r="D3231" s="51">
        <v>9962</v>
      </c>
    </row>
    <row r="3232" spans="1:4" x14ac:dyDescent="0.2">
      <c r="A3232" s="24">
        <v>44409</v>
      </c>
      <c r="B3232" s="25" t="s">
        <v>139</v>
      </c>
      <c r="C3232" s="25" t="s">
        <v>26</v>
      </c>
      <c r="D3232" s="51">
        <v>12</v>
      </c>
    </row>
    <row r="3233" spans="1:4" x14ac:dyDescent="0.2">
      <c r="A3233" s="24">
        <v>44409</v>
      </c>
      <c r="B3233" s="25" t="s">
        <v>120</v>
      </c>
      <c r="C3233" s="25" t="s">
        <v>26</v>
      </c>
      <c r="D3233" s="51">
        <v>1411</v>
      </c>
    </row>
    <row r="3234" spans="1:4" x14ac:dyDescent="0.2">
      <c r="A3234" s="24">
        <v>44409</v>
      </c>
      <c r="B3234" s="25" t="s">
        <v>121</v>
      </c>
      <c r="C3234" s="25" t="s">
        <v>26</v>
      </c>
      <c r="D3234" s="51">
        <v>401</v>
      </c>
    </row>
    <row r="3235" spans="1:4" x14ac:dyDescent="0.2">
      <c r="A3235" s="24">
        <v>44409</v>
      </c>
      <c r="B3235" s="25" t="s">
        <v>122</v>
      </c>
      <c r="C3235" s="25" t="s">
        <v>26</v>
      </c>
      <c r="D3235" s="51">
        <v>604</v>
      </c>
    </row>
    <row r="3236" spans="1:4" x14ac:dyDescent="0.2">
      <c r="A3236" s="24">
        <v>44409</v>
      </c>
      <c r="B3236" s="25" t="s">
        <v>123</v>
      </c>
      <c r="C3236" s="25" t="s">
        <v>26</v>
      </c>
      <c r="D3236" s="51">
        <v>42738</v>
      </c>
    </row>
    <row r="3237" spans="1:4" x14ac:dyDescent="0.2">
      <c r="A3237" s="24">
        <v>44409</v>
      </c>
      <c r="B3237" s="25" t="s">
        <v>127</v>
      </c>
      <c r="C3237" s="25" t="s">
        <v>26</v>
      </c>
      <c r="D3237" s="51">
        <v>72</v>
      </c>
    </row>
    <row r="3238" spans="1:4" x14ac:dyDescent="0.2">
      <c r="A3238" s="24">
        <v>44409</v>
      </c>
      <c r="B3238" s="25" t="s">
        <v>128</v>
      </c>
      <c r="C3238" s="25" t="s">
        <v>26</v>
      </c>
      <c r="D3238" s="51">
        <v>52</v>
      </c>
    </row>
    <row r="3239" spans="1:4" x14ac:dyDescent="0.2">
      <c r="A3239" s="24">
        <v>44409</v>
      </c>
      <c r="B3239" s="25" t="s">
        <v>117</v>
      </c>
      <c r="C3239" s="25" t="s">
        <v>142</v>
      </c>
      <c r="D3239" s="51">
        <v>132635</v>
      </c>
    </row>
    <row r="3240" spans="1:4" x14ac:dyDescent="0.2">
      <c r="A3240" s="24">
        <v>44409</v>
      </c>
      <c r="B3240" s="25" t="s">
        <v>137</v>
      </c>
      <c r="C3240" s="25" t="s">
        <v>142</v>
      </c>
      <c r="D3240" s="51">
        <v>44113</v>
      </c>
    </row>
    <row r="3241" spans="1:4" x14ac:dyDescent="0.2">
      <c r="A3241" s="24">
        <v>44409</v>
      </c>
      <c r="B3241" s="25" t="s">
        <v>118</v>
      </c>
      <c r="C3241" s="25" t="s">
        <v>142</v>
      </c>
      <c r="D3241" s="51">
        <v>3023</v>
      </c>
    </row>
    <row r="3242" spans="1:4" x14ac:dyDescent="0.2">
      <c r="A3242" s="24">
        <v>44409</v>
      </c>
      <c r="B3242" s="25" t="s">
        <v>119</v>
      </c>
      <c r="C3242" s="25" t="s">
        <v>142</v>
      </c>
      <c r="D3242" s="51">
        <v>11687</v>
      </c>
    </row>
    <row r="3243" spans="1:4" x14ac:dyDescent="0.2">
      <c r="A3243" s="24">
        <v>44409</v>
      </c>
      <c r="B3243" s="25" t="s">
        <v>139</v>
      </c>
      <c r="C3243" s="25" t="s">
        <v>142</v>
      </c>
      <c r="D3243" s="51">
        <v>4</v>
      </c>
    </row>
    <row r="3244" spans="1:4" x14ac:dyDescent="0.2">
      <c r="A3244" s="24">
        <v>44409</v>
      </c>
      <c r="B3244" s="25" t="s">
        <v>120</v>
      </c>
      <c r="C3244" s="25" t="s">
        <v>142</v>
      </c>
      <c r="D3244" s="51">
        <v>1519</v>
      </c>
    </row>
    <row r="3245" spans="1:4" x14ac:dyDescent="0.2">
      <c r="A3245" s="24">
        <v>44409</v>
      </c>
      <c r="B3245" s="25" t="s">
        <v>121</v>
      </c>
      <c r="C3245" s="25" t="s">
        <v>142</v>
      </c>
      <c r="D3245" s="51">
        <v>128</v>
      </c>
    </row>
    <row r="3246" spans="1:4" x14ac:dyDescent="0.2">
      <c r="A3246" s="24">
        <v>44409</v>
      </c>
      <c r="B3246" s="25" t="s">
        <v>122</v>
      </c>
      <c r="C3246" s="25" t="s">
        <v>142</v>
      </c>
      <c r="D3246" s="51">
        <v>705</v>
      </c>
    </row>
    <row r="3247" spans="1:4" x14ac:dyDescent="0.2">
      <c r="A3247" s="24">
        <v>44409</v>
      </c>
      <c r="B3247" s="25" t="s">
        <v>123</v>
      </c>
      <c r="C3247" s="25" t="s">
        <v>142</v>
      </c>
      <c r="D3247" s="51">
        <v>13021</v>
      </c>
    </row>
    <row r="3248" spans="1:4" x14ac:dyDescent="0.2">
      <c r="A3248" s="24">
        <v>44409</v>
      </c>
      <c r="B3248" s="25" t="s">
        <v>129</v>
      </c>
      <c r="C3248" s="25" t="s">
        <v>142</v>
      </c>
      <c r="D3248" s="51">
        <v>276</v>
      </c>
    </row>
    <row r="3249" spans="1:4" x14ac:dyDescent="0.2">
      <c r="A3249" s="24">
        <v>44409</v>
      </c>
      <c r="B3249" s="25" t="s">
        <v>130</v>
      </c>
      <c r="C3249" s="25" t="s">
        <v>142</v>
      </c>
      <c r="D3249" s="51">
        <v>507</v>
      </c>
    </row>
    <row r="3250" spans="1:4" x14ac:dyDescent="0.2">
      <c r="A3250" s="24">
        <v>44409</v>
      </c>
      <c r="B3250" s="25" t="s">
        <v>117</v>
      </c>
      <c r="C3250" s="25" t="s">
        <v>2</v>
      </c>
      <c r="D3250" s="51">
        <v>2672862</v>
      </c>
    </row>
    <row r="3251" spans="1:4" x14ac:dyDescent="0.2">
      <c r="A3251" s="24">
        <v>44409</v>
      </c>
      <c r="B3251" s="25" t="s">
        <v>137</v>
      </c>
      <c r="C3251" s="25" t="s">
        <v>2</v>
      </c>
      <c r="D3251" s="51">
        <v>902288</v>
      </c>
    </row>
    <row r="3252" spans="1:4" x14ac:dyDescent="0.2">
      <c r="A3252" s="24">
        <v>44409</v>
      </c>
      <c r="B3252" s="25" t="s">
        <v>118</v>
      </c>
      <c r="C3252" s="25" t="s">
        <v>2</v>
      </c>
      <c r="D3252" s="51">
        <v>38935</v>
      </c>
    </row>
    <row r="3253" spans="1:4" x14ac:dyDescent="0.2">
      <c r="A3253" s="24">
        <v>44409</v>
      </c>
      <c r="B3253" s="25" t="s">
        <v>119</v>
      </c>
      <c r="C3253" s="25" t="s">
        <v>2</v>
      </c>
      <c r="D3253" s="51">
        <v>122594</v>
      </c>
    </row>
    <row r="3254" spans="1:4" x14ac:dyDescent="0.2">
      <c r="A3254" s="24">
        <v>44409</v>
      </c>
      <c r="B3254" s="25" t="s">
        <v>138</v>
      </c>
      <c r="C3254" s="25" t="s">
        <v>2</v>
      </c>
      <c r="D3254" s="51">
        <v>1</v>
      </c>
    </row>
    <row r="3255" spans="1:4" x14ac:dyDescent="0.2">
      <c r="A3255" s="24">
        <v>44409</v>
      </c>
      <c r="B3255" s="25" t="s">
        <v>139</v>
      </c>
      <c r="C3255" s="25" t="s">
        <v>2</v>
      </c>
      <c r="D3255" s="51">
        <v>432</v>
      </c>
    </row>
    <row r="3256" spans="1:4" x14ac:dyDescent="0.2">
      <c r="A3256" s="24">
        <v>44409</v>
      </c>
      <c r="B3256" s="25" t="s">
        <v>120</v>
      </c>
      <c r="C3256" s="25" t="s">
        <v>2</v>
      </c>
      <c r="D3256" s="51">
        <v>63791</v>
      </c>
    </row>
    <row r="3257" spans="1:4" x14ac:dyDescent="0.2">
      <c r="A3257" s="24">
        <v>44409</v>
      </c>
      <c r="B3257" s="25" t="s">
        <v>121</v>
      </c>
      <c r="C3257" s="25" t="s">
        <v>2</v>
      </c>
      <c r="D3257" s="51">
        <v>4012</v>
      </c>
    </row>
    <row r="3258" spans="1:4" x14ac:dyDescent="0.2">
      <c r="A3258" s="24">
        <v>44409</v>
      </c>
      <c r="B3258" s="25" t="s">
        <v>122</v>
      </c>
      <c r="C3258" s="25" t="s">
        <v>2</v>
      </c>
      <c r="D3258" s="51">
        <v>8871</v>
      </c>
    </row>
    <row r="3259" spans="1:4" x14ac:dyDescent="0.2">
      <c r="A3259" s="24">
        <v>44409</v>
      </c>
      <c r="B3259" s="25" t="s">
        <v>123</v>
      </c>
      <c r="C3259" s="25" t="s">
        <v>2</v>
      </c>
      <c r="D3259" s="51">
        <v>419744</v>
      </c>
    </row>
    <row r="3260" spans="1:4" x14ac:dyDescent="0.2">
      <c r="A3260" s="24">
        <v>44409</v>
      </c>
      <c r="B3260" s="25" t="s">
        <v>129</v>
      </c>
      <c r="C3260" s="25" t="s">
        <v>2</v>
      </c>
      <c r="D3260" s="51">
        <v>7516</v>
      </c>
    </row>
    <row r="3261" spans="1:4" x14ac:dyDescent="0.2">
      <c r="A3261" s="24">
        <v>44409</v>
      </c>
      <c r="B3261" s="25" t="s">
        <v>130</v>
      </c>
      <c r="C3261" s="25" t="s">
        <v>2</v>
      </c>
      <c r="D3261" s="51">
        <v>4843</v>
      </c>
    </row>
    <row r="3262" spans="1:4" x14ac:dyDescent="0.2">
      <c r="A3262" s="24">
        <v>44440</v>
      </c>
      <c r="B3262" s="25" t="s">
        <v>117</v>
      </c>
      <c r="C3262" s="25" t="s">
        <v>4</v>
      </c>
      <c r="D3262" s="51">
        <v>2026419</v>
      </c>
    </row>
    <row r="3263" spans="1:4" x14ac:dyDescent="0.2">
      <c r="A3263" s="24">
        <v>44440</v>
      </c>
      <c r="B3263" s="25" t="s">
        <v>131</v>
      </c>
      <c r="C3263" s="25" t="s">
        <v>4</v>
      </c>
      <c r="D3263" s="51">
        <v>47</v>
      </c>
    </row>
    <row r="3264" spans="1:4" x14ac:dyDescent="0.2">
      <c r="A3264" s="24">
        <v>44440</v>
      </c>
      <c r="B3264" s="25" t="s">
        <v>132</v>
      </c>
      <c r="C3264" s="25" t="s">
        <v>4</v>
      </c>
      <c r="D3264" s="51">
        <v>17</v>
      </c>
    </row>
    <row r="3265" spans="1:4" x14ac:dyDescent="0.2">
      <c r="A3265" s="24">
        <v>44440</v>
      </c>
      <c r="B3265" s="25" t="s">
        <v>133</v>
      </c>
      <c r="C3265" s="25" t="s">
        <v>4</v>
      </c>
      <c r="D3265" s="51">
        <v>8</v>
      </c>
    </row>
    <row r="3266" spans="1:4" x14ac:dyDescent="0.2">
      <c r="A3266" s="24">
        <v>44440</v>
      </c>
      <c r="B3266" s="25" t="s">
        <v>137</v>
      </c>
      <c r="C3266" s="25" t="s">
        <v>4</v>
      </c>
      <c r="D3266" s="51">
        <v>1072112</v>
      </c>
    </row>
    <row r="3267" spans="1:4" x14ac:dyDescent="0.2">
      <c r="A3267" s="24">
        <v>44440</v>
      </c>
      <c r="B3267" s="25" t="s">
        <v>118</v>
      </c>
      <c r="C3267" s="25" t="s">
        <v>4</v>
      </c>
      <c r="D3267" s="51">
        <v>152734</v>
      </c>
    </row>
    <row r="3268" spans="1:4" x14ac:dyDescent="0.2">
      <c r="A3268" s="24">
        <v>44440</v>
      </c>
      <c r="B3268" s="25" t="s">
        <v>134</v>
      </c>
      <c r="C3268" s="25" t="s">
        <v>4</v>
      </c>
      <c r="D3268" s="51">
        <v>1</v>
      </c>
    </row>
    <row r="3269" spans="1:4" x14ac:dyDescent="0.2">
      <c r="A3269" s="24">
        <v>44440</v>
      </c>
      <c r="B3269" s="25" t="s">
        <v>119</v>
      </c>
      <c r="C3269" s="25" t="s">
        <v>4</v>
      </c>
      <c r="D3269" s="51">
        <v>134804</v>
      </c>
    </row>
    <row r="3270" spans="1:4" x14ac:dyDescent="0.2">
      <c r="A3270" s="24">
        <v>44440</v>
      </c>
      <c r="B3270" s="25" t="s">
        <v>138</v>
      </c>
      <c r="C3270" s="25" t="s">
        <v>4</v>
      </c>
      <c r="D3270" s="51">
        <v>6</v>
      </c>
    </row>
    <row r="3271" spans="1:4" x14ac:dyDescent="0.2">
      <c r="A3271" s="24">
        <v>44440</v>
      </c>
      <c r="B3271" s="25" t="s">
        <v>139</v>
      </c>
      <c r="C3271" s="25" t="s">
        <v>4</v>
      </c>
      <c r="D3271" s="51">
        <v>424</v>
      </c>
    </row>
    <row r="3272" spans="1:4" x14ac:dyDescent="0.2">
      <c r="A3272" s="24">
        <v>44440</v>
      </c>
      <c r="B3272" s="25" t="s">
        <v>120</v>
      </c>
      <c r="C3272" s="25" t="s">
        <v>4</v>
      </c>
      <c r="D3272" s="51">
        <v>21387</v>
      </c>
    </row>
    <row r="3273" spans="1:4" x14ac:dyDescent="0.2">
      <c r="A3273" s="24">
        <v>44440</v>
      </c>
      <c r="B3273" s="25" t="s">
        <v>121</v>
      </c>
      <c r="C3273" s="25" t="s">
        <v>4</v>
      </c>
      <c r="D3273" s="51">
        <v>9912</v>
      </c>
    </row>
    <row r="3274" spans="1:4" x14ac:dyDescent="0.2">
      <c r="A3274" s="24">
        <v>44440</v>
      </c>
      <c r="B3274" s="25" t="s">
        <v>140</v>
      </c>
      <c r="C3274" s="25" t="s">
        <v>4</v>
      </c>
      <c r="D3274" s="51">
        <v>7547</v>
      </c>
    </row>
    <row r="3275" spans="1:4" x14ac:dyDescent="0.2">
      <c r="A3275" s="24">
        <v>44440</v>
      </c>
      <c r="B3275" s="25" t="s">
        <v>122</v>
      </c>
      <c r="C3275" s="25" t="s">
        <v>4</v>
      </c>
      <c r="D3275" s="51">
        <v>21891</v>
      </c>
    </row>
    <row r="3276" spans="1:4" x14ac:dyDescent="0.2">
      <c r="A3276" s="24">
        <v>44440</v>
      </c>
      <c r="B3276" s="25" t="s">
        <v>123</v>
      </c>
      <c r="C3276" s="25" t="s">
        <v>4</v>
      </c>
      <c r="D3276" s="51">
        <v>1209858</v>
      </c>
    </row>
    <row r="3277" spans="1:4" x14ac:dyDescent="0.2">
      <c r="A3277" s="24">
        <v>44440</v>
      </c>
      <c r="B3277" s="25" t="s">
        <v>117</v>
      </c>
      <c r="C3277" s="25" t="s">
        <v>8</v>
      </c>
      <c r="D3277" s="51">
        <v>28620</v>
      </c>
    </row>
    <row r="3278" spans="1:4" x14ac:dyDescent="0.2">
      <c r="A3278" s="24">
        <v>44440</v>
      </c>
      <c r="B3278" s="25" t="s">
        <v>137</v>
      </c>
      <c r="C3278" s="25" t="s">
        <v>8</v>
      </c>
      <c r="D3278" s="51">
        <v>26730</v>
      </c>
    </row>
    <row r="3279" spans="1:4" x14ac:dyDescent="0.2">
      <c r="A3279" s="24">
        <v>44440</v>
      </c>
      <c r="B3279" s="25" t="s">
        <v>118</v>
      </c>
      <c r="C3279" s="25" t="s">
        <v>8</v>
      </c>
      <c r="D3279" s="51">
        <v>4618</v>
      </c>
    </row>
    <row r="3280" spans="1:4" x14ac:dyDescent="0.2">
      <c r="A3280" s="24">
        <v>44440</v>
      </c>
      <c r="B3280" s="25" t="s">
        <v>119</v>
      </c>
      <c r="C3280" s="25" t="s">
        <v>8</v>
      </c>
      <c r="D3280" s="51">
        <v>1114</v>
      </c>
    </row>
    <row r="3281" spans="1:4" x14ac:dyDescent="0.2">
      <c r="A3281" s="24">
        <v>44440</v>
      </c>
      <c r="B3281" s="25" t="s">
        <v>120</v>
      </c>
      <c r="C3281" s="25" t="s">
        <v>8</v>
      </c>
      <c r="D3281" s="51">
        <v>876</v>
      </c>
    </row>
    <row r="3282" spans="1:4" x14ac:dyDescent="0.2">
      <c r="A3282" s="24">
        <v>44440</v>
      </c>
      <c r="B3282" s="25" t="s">
        <v>121</v>
      </c>
      <c r="C3282" s="25" t="s">
        <v>8</v>
      </c>
      <c r="D3282" s="51">
        <v>272</v>
      </c>
    </row>
    <row r="3283" spans="1:4" x14ac:dyDescent="0.2">
      <c r="A3283" s="24">
        <v>44440</v>
      </c>
      <c r="B3283" s="25" t="s">
        <v>122</v>
      </c>
      <c r="C3283" s="25" t="s">
        <v>8</v>
      </c>
      <c r="D3283" s="51">
        <v>115</v>
      </c>
    </row>
    <row r="3284" spans="1:4" x14ac:dyDescent="0.2">
      <c r="A3284" s="24">
        <v>44440</v>
      </c>
      <c r="B3284" s="25" t="s">
        <v>123</v>
      </c>
      <c r="C3284" s="25" t="s">
        <v>8</v>
      </c>
      <c r="D3284" s="51">
        <v>19998</v>
      </c>
    </row>
    <row r="3285" spans="1:4" x14ac:dyDescent="0.2">
      <c r="A3285" s="24">
        <v>44440</v>
      </c>
      <c r="B3285" s="25" t="s">
        <v>124</v>
      </c>
      <c r="C3285" s="25" t="s">
        <v>8</v>
      </c>
      <c r="D3285" s="51">
        <v>214</v>
      </c>
    </row>
    <row r="3286" spans="1:4" x14ac:dyDescent="0.2">
      <c r="A3286" s="24">
        <v>44440</v>
      </c>
      <c r="B3286" s="25" t="s">
        <v>125</v>
      </c>
      <c r="C3286" s="25" t="s">
        <v>8</v>
      </c>
      <c r="D3286" s="51">
        <v>367</v>
      </c>
    </row>
    <row r="3287" spans="1:4" x14ac:dyDescent="0.2">
      <c r="A3287" s="24">
        <v>44440</v>
      </c>
      <c r="B3287" s="25" t="s">
        <v>117</v>
      </c>
      <c r="C3287" s="25" t="s">
        <v>26</v>
      </c>
      <c r="D3287" s="51">
        <v>181468</v>
      </c>
    </row>
    <row r="3288" spans="1:4" x14ac:dyDescent="0.2">
      <c r="A3288" s="24">
        <v>44440</v>
      </c>
      <c r="B3288" s="25" t="s">
        <v>137</v>
      </c>
      <c r="C3288" s="25" t="s">
        <v>26</v>
      </c>
      <c r="D3288" s="51">
        <v>95276</v>
      </c>
    </row>
    <row r="3289" spans="1:4" x14ac:dyDescent="0.2">
      <c r="A3289" s="24">
        <v>44440</v>
      </c>
      <c r="B3289" s="25" t="s">
        <v>118</v>
      </c>
      <c r="C3289" s="25" t="s">
        <v>26</v>
      </c>
      <c r="D3289" s="51">
        <v>5447</v>
      </c>
    </row>
    <row r="3290" spans="1:4" x14ac:dyDescent="0.2">
      <c r="A3290" s="24">
        <v>44440</v>
      </c>
      <c r="B3290" s="25" t="s">
        <v>119</v>
      </c>
      <c r="C3290" s="25" t="s">
        <v>26</v>
      </c>
      <c r="D3290" s="51">
        <v>11478</v>
      </c>
    </row>
    <row r="3291" spans="1:4" x14ac:dyDescent="0.2">
      <c r="A3291" s="24">
        <v>44440</v>
      </c>
      <c r="B3291" s="25" t="s">
        <v>139</v>
      </c>
      <c r="C3291" s="25" t="s">
        <v>26</v>
      </c>
      <c r="D3291" s="51">
        <v>14</v>
      </c>
    </row>
    <row r="3292" spans="1:4" x14ac:dyDescent="0.2">
      <c r="A3292" s="24">
        <v>44440</v>
      </c>
      <c r="B3292" s="25" t="s">
        <v>120</v>
      </c>
      <c r="C3292" s="25" t="s">
        <v>26</v>
      </c>
      <c r="D3292" s="51">
        <v>1728</v>
      </c>
    </row>
    <row r="3293" spans="1:4" x14ac:dyDescent="0.2">
      <c r="A3293" s="24">
        <v>44440</v>
      </c>
      <c r="B3293" s="25" t="s">
        <v>121</v>
      </c>
      <c r="C3293" s="25" t="s">
        <v>26</v>
      </c>
      <c r="D3293" s="51">
        <v>509</v>
      </c>
    </row>
    <row r="3294" spans="1:4" x14ac:dyDescent="0.2">
      <c r="A3294" s="24">
        <v>44440</v>
      </c>
      <c r="B3294" s="25" t="s">
        <v>122</v>
      </c>
      <c r="C3294" s="25" t="s">
        <v>26</v>
      </c>
      <c r="D3294" s="51">
        <v>264</v>
      </c>
    </row>
    <row r="3295" spans="1:4" x14ac:dyDescent="0.2">
      <c r="A3295" s="24">
        <v>44440</v>
      </c>
      <c r="B3295" s="25" t="s">
        <v>123</v>
      </c>
      <c r="C3295" s="25" t="s">
        <v>26</v>
      </c>
      <c r="D3295" s="51">
        <v>53835</v>
      </c>
    </row>
    <row r="3296" spans="1:4" x14ac:dyDescent="0.2">
      <c r="A3296" s="24">
        <v>44440</v>
      </c>
      <c r="B3296" s="25" t="s">
        <v>127</v>
      </c>
      <c r="C3296" s="25" t="s">
        <v>26</v>
      </c>
      <c r="D3296" s="51">
        <v>77</v>
      </c>
    </row>
    <row r="3297" spans="1:4" x14ac:dyDescent="0.2">
      <c r="A3297" s="24">
        <v>44440</v>
      </c>
      <c r="B3297" s="25" t="s">
        <v>128</v>
      </c>
      <c r="C3297" s="25" t="s">
        <v>26</v>
      </c>
      <c r="D3297" s="51">
        <v>67</v>
      </c>
    </row>
    <row r="3298" spans="1:4" x14ac:dyDescent="0.2">
      <c r="A3298" s="24">
        <v>44440</v>
      </c>
      <c r="B3298" s="25" t="s">
        <v>117</v>
      </c>
      <c r="C3298" s="25" t="s">
        <v>142</v>
      </c>
      <c r="D3298" s="51">
        <v>136617</v>
      </c>
    </row>
    <row r="3299" spans="1:4" x14ac:dyDescent="0.2">
      <c r="A3299" s="24">
        <v>44440</v>
      </c>
      <c r="B3299" s="25" t="s">
        <v>137</v>
      </c>
      <c r="C3299" s="25" t="s">
        <v>142</v>
      </c>
      <c r="D3299" s="51">
        <v>47090</v>
      </c>
    </row>
    <row r="3300" spans="1:4" x14ac:dyDescent="0.2">
      <c r="A3300" s="24">
        <v>44440</v>
      </c>
      <c r="B3300" s="25" t="s">
        <v>118</v>
      </c>
      <c r="C3300" s="25" t="s">
        <v>142</v>
      </c>
      <c r="D3300" s="51">
        <v>4479</v>
      </c>
    </row>
    <row r="3301" spans="1:4" x14ac:dyDescent="0.2">
      <c r="A3301" s="24">
        <v>44440</v>
      </c>
      <c r="B3301" s="25" t="s">
        <v>119</v>
      </c>
      <c r="C3301" s="25" t="s">
        <v>142</v>
      </c>
      <c r="D3301" s="51">
        <v>11143</v>
      </c>
    </row>
    <row r="3302" spans="1:4" x14ac:dyDescent="0.2">
      <c r="A3302" s="24">
        <v>44440</v>
      </c>
      <c r="B3302" s="25" t="s">
        <v>139</v>
      </c>
      <c r="C3302" s="25" t="s">
        <v>142</v>
      </c>
      <c r="D3302" s="51">
        <v>7</v>
      </c>
    </row>
    <row r="3303" spans="1:4" x14ac:dyDescent="0.2">
      <c r="A3303" s="24">
        <v>44440</v>
      </c>
      <c r="B3303" s="25" t="s">
        <v>120</v>
      </c>
      <c r="C3303" s="25" t="s">
        <v>142</v>
      </c>
      <c r="D3303" s="51">
        <v>1147</v>
      </c>
    </row>
    <row r="3304" spans="1:4" x14ac:dyDescent="0.2">
      <c r="A3304" s="24">
        <v>44440</v>
      </c>
      <c r="B3304" s="25" t="s">
        <v>121</v>
      </c>
      <c r="C3304" s="25" t="s">
        <v>142</v>
      </c>
      <c r="D3304" s="51">
        <v>139</v>
      </c>
    </row>
    <row r="3305" spans="1:4" x14ac:dyDescent="0.2">
      <c r="A3305" s="24">
        <v>44440</v>
      </c>
      <c r="B3305" s="25" t="s">
        <v>122</v>
      </c>
      <c r="C3305" s="25" t="s">
        <v>142</v>
      </c>
      <c r="D3305" s="51">
        <v>478</v>
      </c>
    </row>
    <row r="3306" spans="1:4" x14ac:dyDescent="0.2">
      <c r="A3306" s="24">
        <v>44440</v>
      </c>
      <c r="B3306" s="25" t="s">
        <v>123</v>
      </c>
      <c r="C3306" s="25" t="s">
        <v>142</v>
      </c>
      <c r="D3306" s="51">
        <v>15393</v>
      </c>
    </row>
    <row r="3307" spans="1:4" x14ac:dyDescent="0.2">
      <c r="A3307" s="24">
        <v>44440</v>
      </c>
      <c r="B3307" s="25" t="s">
        <v>129</v>
      </c>
      <c r="C3307" s="25" t="s">
        <v>142</v>
      </c>
      <c r="D3307" s="51">
        <v>293</v>
      </c>
    </row>
    <row r="3308" spans="1:4" x14ac:dyDescent="0.2">
      <c r="A3308" s="24">
        <v>44440</v>
      </c>
      <c r="B3308" s="25" t="s">
        <v>130</v>
      </c>
      <c r="C3308" s="25" t="s">
        <v>142</v>
      </c>
      <c r="D3308" s="51">
        <v>634</v>
      </c>
    </row>
    <row r="3309" spans="1:4" x14ac:dyDescent="0.2">
      <c r="A3309" s="24">
        <v>44440</v>
      </c>
      <c r="B3309" s="25" t="s">
        <v>117</v>
      </c>
      <c r="C3309" s="25" t="s">
        <v>2</v>
      </c>
      <c r="D3309" s="51">
        <v>2823340</v>
      </c>
    </row>
    <row r="3310" spans="1:4" x14ac:dyDescent="0.2">
      <c r="A3310" s="24">
        <v>44440</v>
      </c>
      <c r="B3310" s="25" t="s">
        <v>137</v>
      </c>
      <c r="C3310" s="25" t="s">
        <v>2</v>
      </c>
      <c r="D3310" s="51">
        <v>1010138</v>
      </c>
    </row>
    <row r="3311" spans="1:4" x14ac:dyDescent="0.2">
      <c r="A3311" s="24">
        <v>44440</v>
      </c>
      <c r="B3311" s="25" t="s">
        <v>118</v>
      </c>
      <c r="C3311" s="25" t="s">
        <v>2</v>
      </c>
      <c r="D3311" s="51">
        <v>62255</v>
      </c>
    </row>
    <row r="3312" spans="1:4" x14ac:dyDescent="0.2">
      <c r="A3312" s="24">
        <v>44440</v>
      </c>
      <c r="B3312" s="25" t="s">
        <v>119</v>
      </c>
      <c r="C3312" s="25" t="s">
        <v>2</v>
      </c>
      <c r="D3312" s="51">
        <v>130994</v>
      </c>
    </row>
    <row r="3313" spans="1:4" x14ac:dyDescent="0.2">
      <c r="A3313" s="24">
        <v>44440</v>
      </c>
      <c r="B3313" s="25" t="s">
        <v>138</v>
      </c>
      <c r="C3313" s="25" t="s">
        <v>2</v>
      </c>
      <c r="D3313" s="51">
        <v>6</v>
      </c>
    </row>
    <row r="3314" spans="1:4" x14ac:dyDescent="0.2">
      <c r="A3314" s="24">
        <v>44440</v>
      </c>
      <c r="B3314" s="25" t="s">
        <v>139</v>
      </c>
      <c r="C3314" s="25" t="s">
        <v>2</v>
      </c>
      <c r="D3314" s="51">
        <v>393</v>
      </c>
    </row>
    <row r="3315" spans="1:4" x14ac:dyDescent="0.2">
      <c r="A3315" s="24">
        <v>44440</v>
      </c>
      <c r="B3315" s="25" t="s">
        <v>120</v>
      </c>
      <c r="C3315" s="25" t="s">
        <v>2</v>
      </c>
      <c r="D3315" s="51">
        <v>63703</v>
      </c>
    </row>
    <row r="3316" spans="1:4" x14ac:dyDescent="0.2">
      <c r="A3316" s="24">
        <v>44440</v>
      </c>
      <c r="B3316" s="25" t="s">
        <v>121</v>
      </c>
      <c r="C3316" s="25" t="s">
        <v>2</v>
      </c>
      <c r="D3316" s="51">
        <v>4688</v>
      </c>
    </row>
    <row r="3317" spans="1:4" x14ac:dyDescent="0.2">
      <c r="A3317" s="24">
        <v>44440</v>
      </c>
      <c r="B3317" s="25" t="s">
        <v>122</v>
      </c>
      <c r="C3317" s="25" t="s">
        <v>2</v>
      </c>
      <c r="D3317" s="51">
        <v>4961</v>
      </c>
    </row>
    <row r="3318" spans="1:4" x14ac:dyDescent="0.2">
      <c r="A3318" s="24">
        <v>44440</v>
      </c>
      <c r="B3318" s="25" t="s">
        <v>123</v>
      </c>
      <c r="C3318" s="25" t="s">
        <v>2</v>
      </c>
      <c r="D3318" s="51">
        <v>477776</v>
      </c>
    </row>
    <row r="3319" spans="1:4" x14ac:dyDescent="0.2">
      <c r="A3319" s="24">
        <v>44440</v>
      </c>
      <c r="B3319" s="25" t="s">
        <v>129</v>
      </c>
      <c r="C3319" s="25" t="s">
        <v>2</v>
      </c>
      <c r="D3319" s="51">
        <v>8100</v>
      </c>
    </row>
    <row r="3320" spans="1:4" x14ac:dyDescent="0.2">
      <c r="A3320" s="24">
        <v>44440</v>
      </c>
      <c r="B3320" s="25" t="s">
        <v>130</v>
      </c>
      <c r="C3320" s="25" t="s">
        <v>2</v>
      </c>
      <c r="D3320" s="51">
        <v>5699</v>
      </c>
    </row>
    <row r="3321" spans="1:4" x14ac:dyDescent="0.2">
      <c r="A3321" s="24">
        <v>44470</v>
      </c>
      <c r="B3321" s="25" t="s">
        <v>117</v>
      </c>
      <c r="C3321" s="25" t="s">
        <v>4</v>
      </c>
      <c r="D3321" s="51">
        <v>3249805</v>
      </c>
    </row>
    <row r="3322" spans="1:4" x14ac:dyDescent="0.2">
      <c r="A3322" s="24">
        <v>44470</v>
      </c>
      <c r="B3322" s="25" t="s">
        <v>131</v>
      </c>
      <c r="C3322" s="25" t="s">
        <v>4</v>
      </c>
      <c r="D3322" s="51">
        <v>131</v>
      </c>
    </row>
    <row r="3323" spans="1:4" x14ac:dyDescent="0.2">
      <c r="A3323" s="24">
        <v>44470</v>
      </c>
      <c r="B3323" s="25" t="s">
        <v>132</v>
      </c>
      <c r="C3323" s="25" t="s">
        <v>4</v>
      </c>
      <c r="D3323" s="51">
        <v>51</v>
      </c>
    </row>
    <row r="3324" spans="1:4" x14ac:dyDescent="0.2">
      <c r="A3324" s="24">
        <v>44470</v>
      </c>
      <c r="B3324" s="25" t="s">
        <v>133</v>
      </c>
      <c r="C3324" s="25" t="s">
        <v>4</v>
      </c>
      <c r="D3324" s="51">
        <v>15</v>
      </c>
    </row>
    <row r="3325" spans="1:4" x14ac:dyDescent="0.2">
      <c r="A3325" s="24">
        <v>44470</v>
      </c>
      <c r="B3325" s="25" t="s">
        <v>137</v>
      </c>
      <c r="C3325" s="25" t="s">
        <v>4</v>
      </c>
      <c r="D3325" s="51">
        <v>1961145</v>
      </c>
    </row>
    <row r="3326" spans="1:4" x14ac:dyDescent="0.2">
      <c r="A3326" s="24">
        <v>44470</v>
      </c>
      <c r="B3326" s="25" t="s">
        <v>118</v>
      </c>
      <c r="C3326" s="25" t="s">
        <v>4</v>
      </c>
      <c r="D3326" s="51">
        <v>381176</v>
      </c>
    </row>
    <row r="3327" spans="1:4" x14ac:dyDescent="0.2">
      <c r="A3327" s="24">
        <v>44470</v>
      </c>
      <c r="B3327" s="25" t="s">
        <v>134</v>
      </c>
      <c r="C3327" s="25" t="s">
        <v>4</v>
      </c>
      <c r="D3327" s="51">
        <v>2</v>
      </c>
    </row>
    <row r="3328" spans="1:4" x14ac:dyDescent="0.2">
      <c r="A3328" s="24">
        <v>44470</v>
      </c>
      <c r="B3328" s="25" t="s">
        <v>135</v>
      </c>
      <c r="C3328" s="25" t="s">
        <v>4</v>
      </c>
      <c r="D3328" s="51">
        <v>18</v>
      </c>
    </row>
    <row r="3329" spans="1:4" x14ac:dyDescent="0.2">
      <c r="A3329" s="24">
        <v>44470</v>
      </c>
      <c r="B3329" s="25" t="s">
        <v>136</v>
      </c>
      <c r="C3329" s="25" t="s">
        <v>4</v>
      </c>
      <c r="D3329" s="51">
        <v>3</v>
      </c>
    </row>
    <row r="3330" spans="1:4" x14ac:dyDescent="0.2">
      <c r="A3330" s="24">
        <v>44470</v>
      </c>
      <c r="B3330" s="25" t="s">
        <v>119</v>
      </c>
      <c r="C3330" s="25" t="s">
        <v>4</v>
      </c>
      <c r="D3330" s="51">
        <v>314007</v>
      </c>
    </row>
    <row r="3331" spans="1:4" x14ac:dyDescent="0.2">
      <c r="A3331" s="24">
        <v>44470</v>
      </c>
      <c r="B3331" s="25" t="s">
        <v>138</v>
      </c>
      <c r="C3331" s="25" t="s">
        <v>4</v>
      </c>
      <c r="D3331" s="51">
        <v>2</v>
      </c>
    </row>
    <row r="3332" spans="1:4" x14ac:dyDescent="0.2">
      <c r="A3332" s="24">
        <v>44470</v>
      </c>
      <c r="B3332" s="25" t="s">
        <v>139</v>
      </c>
      <c r="C3332" s="25" t="s">
        <v>4</v>
      </c>
      <c r="D3332" s="51">
        <v>512</v>
      </c>
    </row>
    <row r="3333" spans="1:4" x14ac:dyDescent="0.2">
      <c r="A3333" s="24">
        <v>44470</v>
      </c>
      <c r="B3333" s="25" t="s">
        <v>120</v>
      </c>
      <c r="C3333" s="25" t="s">
        <v>4</v>
      </c>
      <c r="D3333" s="51">
        <v>35329</v>
      </c>
    </row>
    <row r="3334" spans="1:4" x14ac:dyDescent="0.2">
      <c r="A3334" s="24">
        <v>44470</v>
      </c>
      <c r="B3334" s="25" t="s">
        <v>121</v>
      </c>
      <c r="C3334" s="25" t="s">
        <v>4</v>
      </c>
      <c r="D3334" s="51">
        <v>16626</v>
      </c>
    </row>
    <row r="3335" spans="1:4" x14ac:dyDescent="0.2">
      <c r="A3335" s="24">
        <v>44470</v>
      </c>
      <c r="B3335" s="25" t="s">
        <v>140</v>
      </c>
      <c r="C3335" s="25" t="s">
        <v>4</v>
      </c>
      <c r="D3335" s="51">
        <v>12369</v>
      </c>
    </row>
    <row r="3336" spans="1:4" x14ac:dyDescent="0.2">
      <c r="A3336" s="24">
        <v>44470</v>
      </c>
      <c r="B3336" s="25" t="s">
        <v>122</v>
      </c>
      <c r="C3336" s="25" t="s">
        <v>4</v>
      </c>
      <c r="D3336" s="51">
        <v>460443</v>
      </c>
    </row>
    <row r="3337" spans="1:4" x14ac:dyDescent="0.2">
      <c r="A3337" s="24">
        <v>44470</v>
      </c>
      <c r="B3337" s="25" t="s">
        <v>123</v>
      </c>
      <c r="C3337" s="25" t="s">
        <v>4</v>
      </c>
      <c r="D3337" s="51">
        <v>1967905</v>
      </c>
    </row>
    <row r="3338" spans="1:4" x14ac:dyDescent="0.2">
      <c r="A3338" s="24">
        <v>44470</v>
      </c>
      <c r="B3338" s="25" t="s">
        <v>117</v>
      </c>
      <c r="C3338" s="25" t="s">
        <v>8</v>
      </c>
      <c r="D3338" s="51">
        <v>112548</v>
      </c>
    </row>
    <row r="3339" spans="1:4" x14ac:dyDescent="0.2">
      <c r="A3339" s="24">
        <v>44470</v>
      </c>
      <c r="B3339" s="25" t="s">
        <v>137</v>
      </c>
      <c r="C3339" s="25" t="s">
        <v>8</v>
      </c>
      <c r="D3339" s="51">
        <v>109228</v>
      </c>
    </row>
    <row r="3340" spans="1:4" x14ac:dyDescent="0.2">
      <c r="A3340" s="24">
        <v>44470</v>
      </c>
      <c r="B3340" s="25" t="s">
        <v>118</v>
      </c>
      <c r="C3340" s="25" t="s">
        <v>8</v>
      </c>
      <c r="D3340" s="51">
        <v>21759</v>
      </c>
    </row>
    <row r="3341" spans="1:4" x14ac:dyDescent="0.2">
      <c r="A3341" s="24">
        <v>44470</v>
      </c>
      <c r="B3341" s="25" t="s">
        <v>119</v>
      </c>
      <c r="C3341" s="25" t="s">
        <v>8</v>
      </c>
      <c r="D3341" s="51">
        <v>7215</v>
      </c>
    </row>
    <row r="3342" spans="1:4" x14ac:dyDescent="0.2">
      <c r="A3342" s="24">
        <v>44470</v>
      </c>
      <c r="B3342" s="25" t="s">
        <v>139</v>
      </c>
      <c r="C3342" s="25" t="s">
        <v>8</v>
      </c>
      <c r="D3342" s="51">
        <v>2</v>
      </c>
    </row>
    <row r="3343" spans="1:4" x14ac:dyDescent="0.2">
      <c r="A3343" s="24">
        <v>44470</v>
      </c>
      <c r="B3343" s="25" t="s">
        <v>120</v>
      </c>
      <c r="C3343" s="25" t="s">
        <v>8</v>
      </c>
      <c r="D3343" s="51">
        <v>2394</v>
      </c>
    </row>
    <row r="3344" spans="1:4" x14ac:dyDescent="0.2">
      <c r="A3344" s="24">
        <v>44470</v>
      </c>
      <c r="B3344" s="25" t="s">
        <v>121</v>
      </c>
      <c r="C3344" s="25" t="s">
        <v>8</v>
      </c>
      <c r="D3344" s="51">
        <v>880</v>
      </c>
    </row>
    <row r="3345" spans="1:4" x14ac:dyDescent="0.2">
      <c r="A3345" s="24">
        <v>44470</v>
      </c>
      <c r="B3345" s="25" t="s">
        <v>122</v>
      </c>
      <c r="C3345" s="25" t="s">
        <v>8</v>
      </c>
      <c r="D3345" s="51">
        <v>2953</v>
      </c>
    </row>
    <row r="3346" spans="1:4" x14ac:dyDescent="0.2">
      <c r="A3346" s="24">
        <v>44470</v>
      </c>
      <c r="B3346" s="25" t="s">
        <v>123</v>
      </c>
      <c r="C3346" s="25" t="s">
        <v>8</v>
      </c>
      <c r="D3346" s="51">
        <v>71248</v>
      </c>
    </row>
    <row r="3347" spans="1:4" x14ac:dyDescent="0.2">
      <c r="A3347" s="24">
        <v>44470</v>
      </c>
      <c r="B3347" s="25" t="s">
        <v>124</v>
      </c>
      <c r="C3347" s="25" t="s">
        <v>8</v>
      </c>
      <c r="D3347" s="51">
        <v>2157</v>
      </c>
    </row>
    <row r="3348" spans="1:4" x14ac:dyDescent="0.2">
      <c r="A3348" s="24">
        <v>44470</v>
      </c>
      <c r="B3348" s="25" t="s">
        <v>125</v>
      </c>
      <c r="C3348" s="25" t="s">
        <v>8</v>
      </c>
      <c r="D3348" s="51">
        <v>2099</v>
      </c>
    </row>
    <row r="3349" spans="1:4" x14ac:dyDescent="0.2">
      <c r="A3349" s="24">
        <v>44470</v>
      </c>
      <c r="B3349" s="25" t="s">
        <v>117</v>
      </c>
      <c r="C3349" s="25" t="s">
        <v>26</v>
      </c>
      <c r="D3349" s="51">
        <v>372123</v>
      </c>
    </row>
    <row r="3350" spans="1:4" x14ac:dyDescent="0.2">
      <c r="A3350" s="24">
        <v>44470</v>
      </c>
      <c r="B3350" s="25" t="s">
        <v>137</v>
      </c>
      <c r="C3350" s="25" t="s">
        <v>26</v>
      </c>
      <c r="D3350" s="51">
        <v>255765</v>
      </c>
    </row>
    <row r="3351" spans="1:4" x14ac:dyDescent="0.2">
      <c r="A3351" s="24">
        <v>44470</v>
      </c>
      <c r="B3351" s="25" t="s">
        <v>118</v>
      </c>
      <c r="C3351" s="25" t="s">
        <v>26</v>
      </c>
      <c r="D3351" s="51">
        <v>25393</v>
      </c>
    </row>
    <row r="3352" spans="1:4" x14ac:dyDescent="0.2">
      <c r="A3352" s="24">
        <v>44470</v>
      </c>
      <c r="B3352" s="25" t="s">
        <v>119</v>
      </c>
      <c r="C3352" s="25" t="s">
        <v>26</v>
      </c>
      <c r="D3352" s="51">
        <v>43886</v>
      </c>
    </row>
    <row r="3353" spans="1:4" x14ac:dyDescent="0.2">
      <c r="A3353" s="24">
        <v>44470</v>
      </c>
      <c r="B3353" s="25" t="s">
        <v>138</v>
      </c>
      <c r="C3353" s="25" t="s">
        <v>26</v>
      </c>
      <c r="D3353" s="51">
        <v>1</v>
      </c>
    </row>
    <row r="3354" spans="1:4" x14ac:dyDescent="0.2">
      <c r="A3354" s="24">
        <v>44470</v>
      </c>
      <c r="B3354" s="25" t="s">
        <v>139</v>
      </c>
      <c r="C3354" s="25" t="s">
        <v>26</v>
      </c>
      <c r="D3354" s="51">
        <v>29</v>
      </c>
    </row>
    <row r="3355" spans="1:4" x14ac:dyDescent="0.2">
      <c r="A3355" s="24">
        <v>44470</v>
      </c>
      <c r="B3355" s="25" t="s">
        <v>120</v>
      </c>
      <c r="C3355" s="25" t="s">
        <v>26</v>
      </c>
      <c r="D3355" s="51">
        <v>3691</v>
      </c>
    </row>
    <row r="3356" spans="1:4" x14ac:dyDescent="0.2">
      <c r="A3356" s="24">
        <v>44470</v>
      </c>
      <c r="B3356" s="25" t="s">
        <v>121</v>
      </c>
      <c r="C3356" s="25" t="s">
        <v>26</v>
      </c>
      <c r="D3356" s="51">
        <v>1076</v>
      </c>
    </row>
    <row r="3357" spans="1:4" x14ac:dyDescent="0.2">
      <c r="A3357" s="24">
        <v>44470</v>
      </c>
      <c r="B3357" s="25" t="s">
        <v>122</v>
      </c>
      <c r="C3357" s="25" t="s">
        <v>26</v>
      </c>
      <c r="D3357" s="51">
        <v>11144</v>
      </c>
    </row>
    <row r="3358" spans="1:4" x14ac:dyDescent="0.2">
      <c r="A3358" s="24">
        <v>44470</v>
      </c>
      <c r="B3358" s="25" t="s">
        <v>123</v>
      </c>
      <c r="C3358" s="25" t="s">
        <v>26</v>
      </c>
      <c r="D3358" s="51">
        <v>131606</v>
      </c>
    </row>
    <row r="3359" spans="1:4" x14ac:dyDescent="0.2">
      <c r="A3359" s="24">
        <v>44470</v>
      </c>
      <c r="B3359" s="25" t="s">
        <v>127</v>
      </c>
      <c r="C3359" s="25" t="s">
        <v>26</v>
      </c>
      <c r="D3359" s="51">
        <v>385</v>
      </c>
    </row>
    <row r="3360" spans="1:4" x14ac:dyDescent="0.2">
      <c r="A3360" s="24">
        <v>44470</v>
      </c>
      <c r="B3360" s="25" t="s">
        <v>128</v>
      </c>
      <c r="C3360" s="25" t="s">
        <v>26</v>
      </c>
      <c r="D3360" s="51">
        <v>303</v>
      </c>
    </row>
    <row r="3361" spans="1:4" x14ac:dyDescent="0.2">
      <c r="A3361" s="24">
        <v>44470</v>
      </c>
      <c r="B3361" s="25" t="s">
        <v>117</v>
      </c>
      <c r="C3361" s="25" t="s">
        <v>142</v>
      </c>
      <c r="D3361" s="51">
        <v>280790</v>
      </c>
    </row>
    <row r="3362" spans="1:4" x14ac:dyDescent="0.2">
      <c r="A3362" s="24">
        <v>44470</v>
      </c>
      <c r="B3362" s="25" t="s">
        <v>137</v>
      </c>
      <c r="C3362" s="25" t="s">
        <v>142</v>
      </c>
      <c r="D3362" s="51">
        <v>136772</v>
      </c>
    </row>
    <row r="3363" spans="1:4" x14ac:dyDescent="0.2">
      <c r="A3363" s="24">
        <v>44470</v>
      </c>
      <c r="B3363" s="25" t="s">
        <v>118</v>
      </c>
      <c r="C3363" s="25" t="s">
        <v>142</v>
      </c>
      <c r="D3363" s="51">
        <v>36456</v>
      </c>
    </row>
    <row r="3364" spans="1:4" x14ac:dyDescent="0.2">
      <c r="A3364" s="24">
        <v>44470</v>
      </c>
      <c r="B3364" s="25" t="s">
        <v>119</v>
      </c>
      <c r="C3364" s="25" t="s">
        <v>142</v>
      </c>
      <c r="D3364" s="51">
        <v>44037</v>
      </c>
    </row>
    <row r="3365" spans="1:4" x14ac:dyDescent="0.2">
      <c r="A3365" s="24">
        <v>44470</v>
      </c>
      <c r="B3365" s="25" t="s">
        <v>139</v>
      </c>
      <c r="C3365" s="25" t="s">
        <v>142</v>
      </c>
      <c r="D3365" s="51">
        <v>4</v>
      </c>
    </row>
    <row r="3366" spans="1:4" x14ac:dyDescent="0.2">
      <c r="A3366" s="24">
        <v>44470</v>
      </c>
      <c r="B3366" s="25" t="s">
        <v>120</v>
      </c>
      <c r="C3366" s="25" t="s">
        <v>142</v>
      </c>
      <c r="D3366" s="51">
        <v>3504</v>
      </c>
    </row>
    <row r="3367" spans="1:4" x14ac:dyDescent="0.2">
      <c r="A3367" s="24">
        <v>44470</v>
      </c>
      <c r="B3367" s="25" t="s">
        <v>121</v>
      </c>
      <c r="C3367" s="25" t="s">
        <v>142</v>
      </c>
      <c r="D3367" s="51">
        <v>569</v>
      </c>
    </row>
    <row r="3368" spans="1:4" x14ac:dyDescent="0.2">
      <c r="A3368" s="24">
        <v>44470</v>
      </c>
      <c r="B3368" s="25" t="s">
        <v>122</v>
      </c>
      <c r="C3368" s="25" t="s">
        <v>142</v>
      </c>
      <c r="D3368" s="51">
        <v>28833</v>
      </c>
    </row>
    <row r="3369" spans="1:4" x14ac:dyDescent="0.2">
      <c r="A3369" s="24">
        <v>44470</v>
      </c>
      <c r="B3369" s="25" t="s">
        <v>123</v>
      </c>
      <c r="C3369" s="25" t="s">
        <v>142</v>
      </c>
      <c r="D3369" s="51">
        <v>48030</v>
      </c>
    </row>
    <row r="3370" spans="1:4" x14ac:dyDescent="0.2">
      <c r="A3370" s="24">
        <v>44470</v>
      </c>
      <c r="B3370" s="25" t="s">
        <v>129</v>
      </c>
      <c r="C3370" s="25" t="s">
        <v>142</v>
      </c>
      <c r="D3370" s="51">
        <v>1249</v>
      </c>
    </row>
    <row r="3371" spans="1:4" x14ac:dyDescent="0.2">
      <c r="A3371" s="24">
        <v>44470</v>
      </c>
      <c r="B3371" s="25" t="s">
        <v>130</v>
      </c>
      <c r="C3371" s="25" t="s">
        <v>142</v>
      </c>
      <c r="D3371" s="51">
        <v>1933</v>
      </c>
    </row>
    <row r="3372" spans="1:4" x14ac:dyDescent="0.2">
      <c r="A3372" s="24">
        <v>44470</v>
      </c>
      <c r="B3372" s="25" t="s">
        <v>117</v>
      </c>
      <c r="C3372" s="25" t="s">
        <v>2</v>
      </c>
      <c r="D3372" s="51">
        <v>4898487</v>
      </c>
    </row>
    <row r="3373" spans="1:4" x14ac:dyDescent="0.2">
      <c r="A3373" s="24">
        <v>44470</v>
      </c>
      <c r="B3373" s="25" t="s">
        <v>137</v>
      </c>
      <c r="C3373" s="25" t="s">
        <v>2</v>
      </c>
      <c r="D3373" s="51">
        <v>2257721</v>
      </c>
    </row>
    <row r="3374" spans="1:4" x14ac:dyDescent="0.2">
      <c r="A3374" s="24">
        <v>44470</v>
      </c>
      <c r="B3374" s="25" t="s">
        <v>118</v>
      </c>
      <c r="C3374" s="25" t="s">
        <v>2</v>
      </c>
      <c r="D3374" s="51">
        <v>268070</v>
      </c>
    </row>
    <row r="3375" spans="1:4" x14ac:dyDescent="0.2">
      <c r="A3375" s="24">
        <v>44470</v>
      </c>
      <c r="B3375" s="25" t="s">
        <v>119</v>
      </c>
      <c r="C3375" s="25" t="s">
        <v>2</v>
      </c>
      <c r="D3375" s="51">
        <v>377617</v>
      </c>
    </row>
    <row r="3376" spans="1:4" x14ac:dyDescent="0.2">
      <c r="A3376" s="24">
        <v>44470</v>
      </c>
      <c r="B3376" s="25" t="s">
        <v>138</v>
      </c>
      <c r="C3376" s="25" t="s">
        <v>2</v>
      </c>
      <c r="D3376" s="51">
        <v>6</v>
      </c>
    </row>
    <row r="3377" spans="1:4" x14ac:dyDescent="0.2">
      <c r="A3377" s="24">
        <v>44470</v>
      </c>
      <c r="B3377" s="25" t="s">
        <v>139</v>
      </c>
      <c r="C3377" s="25" t="s">
        <v>2</v>
      </c>
      <c r="D3377" s="51">
        <v>476</v>
      </c>
    </row>
    <row r="3378" spans="1:4" x14ac:dyDescent="0.2">
      <c r="A3378" s="24">
        <v>44470</v>
      </c>
      <c r="B3378" s="25" t="s">
        <v>120</v>
      </c>
      <c r="C3378" s="25" t="s">
        <v>2</v>
      </c>
      <c r="D3378" s="51">
        <v>116346</v>
      </c>
    </row>
    <row r="3379" spans="1:4" x14ac:dyDescent="0.2">
      <c r="A3379" s="24">
        <v>44470</v>
      </c>
      <c r="B3379" s="25" t="s">
        <v>121</v>
      </c>
      <c r="C3379" s="25" t="s">
        <v>2</v>
      </c>
      <c r="D3379" s="51">
        <v>10412</v>
      </c>
    </row>
    <row r="3380" spans="1:4" x14ac:dyDescent="0.2">
      <c r="A3380" s="24">
        <v>44470</v>
      </c>
      <c r="B3380" s="25" t="s">
        <v>122</v>
      </c>
      <c r="C3380" s="25" t="s">
        <v>2</v>
      </c>
      <c r="D3380" s="51">
        <v>245858</v>
      </c>
    </row>
    <row r="3381" spans="1:4" x14ac:dyDescent="0.2">
      <c r="A3381" s="24">
        <v>44470</v>
      </c>
      <c r="B3381" s="25" t="s">
        <v>123</v>
      </c>
      <c r="C3381" s="25" t="s">
        <v>2</v>
      </c>
      <c r="D3381" s="51">
        <v>1045123</v>
      </c>
    </row>
    <row r="3382" spans="1:4" x14ac:dyDescent="0.2">
      <c r="A3382" s="24">
        <v>44470</v>
      </c>
      <c r="B3382" s="25" t="s">
        <v>129</v>
      </c>
      <c r="C3382" s="25" t="s">
        <v>2</v>
      </c>
      <c r="D3382" s="51">
        <v>20147</v>
      </c>
    </row>
    <row r="3383" spans="1:4" x14ac:dyDescent="0.2">
      <c r="A3383" s="24">
        <v>44470</v>
      </c>
      <c r="B3383" s="25" t="s">
        <v>130</v>
      </c>
      <c r="C3383" s="25" t="s">
        <v>2</v>
      </c>
      <c r="D3383" s="51">
        <v>16303</v>
      </c>
    </row>
    <row r="3384" spans="1:4" x14ac:dyDescent="0.2">
      <c r="A3384" s="24">
        <v>44501</v>
      </c>
      <c r="B3384" s="25" t="s">
        <v>117</v>
      </c>
      <c r="C3384" s="25" t="s">
        <v>4</v>
      </c>
      <c r="D3384" s="51">
        <v>4475868</v>
      </c>
    </row>
    <row r="3385" spans="1:4" x14ac:dyDescent="0.2">
      <c r="A3385" s="24">
        <v>44501</v>
      </c>
      <c r="B3385" s="25" t="s">
        <v>131</v>
      </c>
      <c r="C3385" s="25" t="s">
        <v>4</v>
      </c>
      <c r="D3385" s="51">
        <v>93</v>
      </c>
    </row>
    <row r="3386" spans="1:4" x14ac:dyDescent="0.2">
      <c r="A3386" s="24">
        <v>44501</v>
      </c>
      <c r="B3386" s="25" t="s">
        <v>132</v>
      </c>
      <c r="C3386" s="25" t="s">
        <v>4</v>
      </c>
      <c r="D3386" s="51">
        <v>34</v>
      </c>
    </row>
    <row r="3387" spans="1:4" x14ac:dyDescent="0.2">
      <c r="A3387" s="24">
        <v>44501</v>
      </c>
      <c r="B3387" s="25" t="s">
        <v>133</v>
      </c>
      <c r="C3387" s="25" t="s">
        <v>4</v>
      </c>
      <c r="D3387" s="51">
        <v>10</v>
      </c>
    </row>
    <row r="3388" spans="1:4" x14ac:dyDescent="0.2">
      <c r="A3388" s="24">
        <v>44501</v>
      </c>
      <c r="B3388" s="25" t="s">
        <v>137</v>
      </c>
      <c r="C3388" s="25" t="s">
        <v>4</v>
      </c>
      <c r="D3388" s="51">
        <v>2702675</v>
      </c>
    </row>
    <row r="3389" spans="1:4" x14ac:dyDescent="0.2">
      <c r="A3389" s="24">
        <v>44501</v>
      </c>
      <c r="B3389" s="25" t="s">
        <v>118</v>
      </c>
      <c r="C3389" s="25" t="s">
        <v>4</v>
      </c>
      <c r="D3389" s="51">
        <v>519653</v>
      </c>
    </row>
    <row r="3390" spans="1:4" x14ac:dyDescent="0.2">
      <c r="A3390" s="24">
        <v>44501</v>
      </c>
      <c r="B3390" s="25" t="s">
        <v>135</v>
      </c>
      <c r="C3390" s="25" t="s">
        <v>4</v>
      </c>
      <c r="D3390" s="51">
        <v>3</v>
      </c>
    </row>
    <row r="3391" spans="1:4" x14ac:dyDescent="0.2">
      <c r="A3391" s="24">
        <v>44501</v>
      </c>
      <c r="B3391" s="25" t="s">
        <v>119</v>
      </c>
      <c r="C3391" s="25" t="s">
        <v>4</v>
      </c>
      <c r="D3391" s="51">
        <v>479864</v>
      </c>
    </row>
    <row r="3392" spans="1:4" x14ac:dyDescent="0.2">
      <c r="A3392" s="24">
        <v>44501</v>
      </c>
      <c r="B3392" s="25" t="s">
        <v>138</v>
      </c>
      <c r="C3392" s="25" t="s">
        <v>4</v>
      </c>
      <c r="D3392" s="51">
        <v>3</v>
      </c>
    </row>
    <row r="3393" spans="1:4" x14ac:dyDescent="0.2">
      <c r="A3393" s="24">
        <v>44501</v>
      </c>
      <c r="B3393" s="25" t="s">
        <v>139</v>
      </c>
      <c r="C3393" s="25" t="s">
        <v>4</v>
      </c>
      <c r="D3393" s="51">
        <v>528</v>
      </c>
    </row>
    <row r="3394" spans="1:4" x14ac:dyDescent="0.2">
      <c r="A3394" s="24">
        <v>44501</v>
      </c>
      <c r="B3394" s="25" t="s">
        <v>120</v>
      </c>
      <c r="C3394" s="25" t="s">
        <v>4</v>
      </c>
      <c r="D3394" s="51">
        <v>47652</v>
      </c>
    </row>
    <row r="3395" spans="1:4" x14ac:dyDescent="0.2">
      <c r="A3395" s="24">
        <v>44501</v>
      </c>
      <c r="B3395" s="25" t="s">
        <v>121</v>
      </c>
      <c r="C3395" s="25" t="s">
        <v>4</v>
      </c>
      <c r="D3395" s="51">
        <v>22062</v>
      </c>
    </row>
    <row r="3396" spans="1:4" x14ac:dyDescent="0.2">
      <c r="A3396" s="24">
        <v>44501</v>
      </c>
      <c r="B3396" s="25" t="s">
        <v>140</v>
      </c>
      <c r="C3396" s="25" t="s">
        <v>4</v>
      </c>
      <c r="D3396" s="51">
        <v>17583</v>
      </c>
    </row>
    <row r="3397" spans="1:4" x14ac:dyDescent="0.2">
      <c r="A3397" s="24">
        <v>44501</v>
      </c>
      <c r="B3397" s="25" t="s">
        <v>122</v>
      </c>
      <c r="C3397" s="25" t="s">
        <v>4</v>
      </c>
      <c r="D3397" s="51">
        <v>1582582</v>
      </c>
    </row>
    <row r="3398" spans="1:4" x14ac:dyDescent="0.2">
      <c r="A3398" s="24">
        <v>44501</v>
      </c>
      <c r="B3398" s="25" t="s">
        <v>123</v>
      </c>
      <c r="C3398" s="25" t="s">
        <v>4</v>
      </c>
      <c r="D3398" s="51">
        <v>2587962</v>
      </c>
    </row>
    <row r="3399" spans="1:4" x14ac:dyDescent="0.2">
      <c r="A3399" s="24">
        <v>44501</v>
      </c>
      <c r="B3399" s="25" t="s">
        <v>117</v>
      </c>
      <c r="C3399" s="25" t="s">
        <v>8</v>
      </c>
      <c r="D3399" s="51">
        <v>149851</v>
      </c>
    </row>
    <row r="3400" spans="1:4" x14ac:dyDescent="0.2">
      <c r="A3400" s="24">
        <v>44501</v>
      </c>
      <c r="B3400" s="25" t="s">
        <v>137</v>
      </c>
      <c r="C3400" s="25" t="s">
        <v>8</v>
      </c>
      <c r="D3400" s="51">
        <v>145215</v>
      </c>
    </row>
    <row r="3401" spans="1:4" x14ac:dyDescent="0.2">
      <c r="A3401" s="24">
        <v>44501</v>
      </c>
      <c r="B3401" s="25" t="s">
        <v>118</v>
      </c>
      <c r="C3401" s="25" t="s">
        <v>8</v>
      </c>
      <c r="D3401" s="51">
        <v>19692</v>
      </c>
    </row>
    <row r="3402" spans="1:4" x14ac:dyDescent="0.2">
      <c r="A3402" s="24">
        <v>44501</v>
      </c>
      <c r="B3402" s="25" t="s">
        <v>119</v>
      </c>
      <c r="C3402" s="25" t="s">
        <v>8</v>
      </c>
      <c r="D3402" s="51">
        <v>8697</v>
      </c>
    </row>
    <row r="3403" spans="1:4" x14ac:dyDescent="0.2">
      <c r="A3403" s="24">
        <v>44501</v>
      </c>
      <c r="B3403" s="25" t="s">
        <v>139</v>
      </c>
      <c r="C3403" s="25" t="s">
        <v>8</v>
      </c>
      <c r="D3403" s="51">
        <v>2</v>
      </c>
    </row>
    <row r="3404" spans="1:4" x14ac:dyDescent="0.2">
      <c r="A3404" s="24">
        <v>44501</v>
      </c>
      <c r="B3404" s="25" t="s">
        <v>120</v>
      </c>
      <c r="C3404" s="25" t="s">
        <v>8</v>
      </c>
      <c r="D3404" s="51">
        <v>2839</v>
      </c>
    </row>
    <row r="3405" spans="1:4" x14ac:dyDescent="0.2">
      <c r="A3405" s="24">
        <v>44501</v>
      </c>
      <c r="B3405" s="25" t="s">
        <v>121</v>
      </c>
      <c r="C3405" s="25" t="s">
        <v>8</v>
      </c>
      <c r="D3405" s="51">
        <v>1169</v>
      </c>
    </row>
    <row r="3406" spans="1:4" x14ac:dyDescent="0.2">
      <c r="A3406" s="24">
        <v>44501</v>
      </c>
      <c r="B3406" s="25" t="s">
        <v>122</v>
      </c>
      <c r="C3406" s="25" t="s">
        <v>8</v>
      </c>
      <c r="D3406" s="51">
        <v>8679</v>
      </c>
    </row>
    <row r="3407" spans="1:4" x14ac:dyDescent="0.2">
      <c r="A3407" s="24">
        <v>44501</v>
      </c>
      <c r="B3407" s="25" t="s">
        <v>123</v>
      </c>
      <c r="C3407" s="25" t="s">
        <v>8</v>
      </c>
      <c r="D3407" s="51">
        <v>98389</v>
      </c>
    </row>
    <row r="3408" spans="1:4" x14ac:dyDescent="0.2">
      <c r="A3408" s="24">
        <v>44501</v>
      </c>
      <c r="B3408" s="25" t="s">
        <v>124</v>
      </c>
      <c r="C3408" s="25" t="s">
        <v>8</v>
      </c>
      <c r="D3408" s="51">
        <v>4208</v>
      </c>
    </row>
    <row r="3409" spans="1:4" x14ac:dyDescent="0.2">
      <c r="A3409" s="24">
        <v>44501</v>
      </c>
      <c r="B3409" s="25" t="s">
        <v>125</v>
      </c>
      <c r="C3409" s="25" t="s">
        <v>8</v>
      </c>
      <c r="D3409" s="51">
        <v>2455</v>
      </c>
    </row>
    <row r="3410" spans="1:4" x14ac:dyDescent="0.2">
      <c r="A3410" s="24">
        <v>44501</v>
      </c>
      <c r="B3410" s="25" t="s">
        <v>117</v>
      </c>
      <c r="C3410" s="25" t="s">
        <v>26</v>
      </c>
      <c r="D3410" s="51">
        <v>436404</v>
      </c>
    </row>
    <row r="3411" spans="1:4" x14ac:dyDescent="0.2">
      <c r="A3411" s="24">
        <v>44501</v>
      </c>
      <c r="B3411" s="25" t="s">
        <v>137</v>
      </c>
      <c r="C3411" s="25" t="s">
        <v>26</v>
      </c>
      <c r="D3411" s="51">
        <v>318933</v>
      </c>
    </row>
    <row r="3412" spans="1:4" x14ac:dyDescent="0.2">
      <c r="A3412" s="24">
        <v>44501</v>
      </c>
      <c r="B3412" s="25" t="s">
        <v>118</v>
      </c>
      <c r="C3412" s="25" t="s">
        <v>26</v>
      </c>
      <c r="D3412" s="51">
        <v>22022</v>
      </c>
    </row>
    <row r="3413" spans="1:4" x14ac:dyDescent="0.2">
      <c r="A3413" s="24">
        <v>44501</v>
      </c>
      <c r="B3413" s="25" t="s">
        <v>119</v>
      </c>
      <c r="C3413" s="25" t="s">
        <v>26</v>
      </c>
      <c r="D3413" s="51">
        <v>61425</v>
      </c>
    </row>
    <row r="3414" spans="1:4" x14ac:dyDescent="0.2">
      <c r="A3414" s="24">
        <v>44501</v>
      </c>
      <c r="B3414" s="25" t="s">
        <v>138</v>
      </c>
      <c r="C3414" s="25" t="s">
        <v>26</v>
      </c>
      <c r="D3414" s="51">
        <v>5</v>
      </c>
    </row>
    <row r="3415" spans="1:4" x14ac:dyDescent="0.2">
      <c r="A3415" s="24">
        <v>44501</v>
      </c>
      <c r="B3415" s="25" t="s">
        <v>139</v>
      </c>
      <c r="C3415" s="25" t="s">
        <v>26</v>
      </c>
      <c r="D3415" s="51">
        <v>17</v>
      </c>
    </row>
    <row r="3416" spans="1:4" x14ac:dyDescent="0.2">
      <c r="A3416" s="24">
        <v>44501</v>
      </c>
      <c r="B3416" s="25" t="s">
        <v>120</v>
      </c>
      <c r="C3416" s="25" t="s">
        <v>26</v>
      </c>
      <c r="D3416" s="51">
        <v>4282</v>
      </c>
    </row>
    <row r="3417" spans="1:4" x14ac:dyDescent="0.2">
      <c r="A3417" s="24">
        <v>44501</v>
      </c>
      <c r="B3417" s="25" t="s">
        <v>121</v>
      </c>
      <c r="C3417" s="25" t="s">
        <v>26</v>
      </c>
      <c r="D3417" s="51">
        <v>1292</v>
      </c>
    </row>
    <row r="3418" spans="1:4" x14ac:dyDescent="0.2">
      <c r="A3418" s="24">
        <v>44501</v>
      </c>
      <c r="B3418" s="25" t="s">
        <v>122</v>
      </c>
      <c r="C3418" s="25" t="s">
        <v>26</v>
      </c>
      <c r="D3418" s="51">
        <v>25205</v>
      </c>
    </row>
    <row r="3419" spans="1:4" x14ac:dyDescent="0.2">
      <c r="A3419" s="24">
        <v>44501</v>
      </c>
      <c r="B3419" s="25" t="s">
        <v>123</v>
      </c>
      <c r="C3419" s="25" t="s">
        <v>26</v>
      </c>
      <c r="D3419" s="51">
        <v>150267</v>
      </c>
    </row>
    <row r="3420" spans="1:4" x14ac:dyDescent="0.2">
      <c r="A3420" s="24">
        <v>44501</v>
      </c>
      <c r="B3420" s="25" t="s">
        <v>127</v>
      </c>
      <c r="C3420" s="25" t="s">
        <v>26</v>
      </c>
      <c r="D3420" s="51">
        <v>494</v>
      </c>
    </row>
    <row r="3421" spans="1:4" x14ac:dyDescent="0.2">
      <c r="A3421" s="24">
        <v>44501</v>
      </c>
      <c r="B3421" s="25" t="s">
        <v>128</v>
      </c>
      <c r="C3421" s="25" t="s">
        <v>26</v>
      </c>
      <c r="D3421" s="51">
        <v>293</v>
      </c>
    </row>
    <row r="3422" spans="1:4" x14ac:dyDescent="0.2">
      <c r="A3422" s="24">
        <v>44501</v>
      </c>
      <c r="B3422" s="25" t="s">
        <v>117</v>
      </c>
      <c r="C3422" s="25" t="s">
        <v>142</v>
      </c>
      <c r="D3422" s="51">
        <v>452954</v>
      </c>
    </row>
    <row r="3423" spans="1:4" x14ac:dyDescent="0.2">
      <c r="A3423" s="24">
        <v>44501</v>
      </c>
      <c r="B3423" s="25" t="s">
        <v>137</v>
      </c>
      <c r="C3423" s="25" t="s">
        <v>142</v>
      </c>
      <c r="D3423" s="51">
        <v>216940</v>
      </c>
    </row>
    <row r="3424" spans="1:4" x14ac:dyDescent="0.2">
      <c r="A3424" s="24">
        <v>44501</v>
      </c>
      <c r="B3424" s="25" t="s">
        <v>118</v>
      </c>
      <c r="C3424" s="25" t="s">
        <v>142</v>
      </c>
      <c r="D3424" s="51">
        <v>55977</v>
      </c>
    </row>
    <row r="3425" spans="1:4" x14ac:dyDescent="0.2">
      <c r="A3425" s="24">
        <v>44501</v>
      </c>
      <c r="B3425" s="25" t="s">
        <v>119</v>
      </c>
      <c r="C3425" s="25" t="s">
        <v>142</v>
      </c>
      <c r="D3425" s="51">
        <v>72774</v>
      </c>
    </row>
    <row r="3426" spans="1:4" x14ac:dyDescent="0.2">
      <c r="A3426" s="24">
        <v>44501</v>
      </c>
      <c r="B3426" s="25" t="s">
        <v>139</v>
      </c>
      <c r="C3426" s="25" t="s">
        <v>142</v>
      </c>
      <c r="D3426" s="51">
        <v>5</v>
      </c>
    </row>
    <row r="3427" spans="1:4" x14ac:dyDescent="0.2">
      <c r="A3427" s="24">
        <v>44501</v>
      </c>
      <c r="B3427" s="25" t="s">
        <v>120</v>
      </c>
      <c r="C3427" s="25" t="s">
        <v>142</v>
      </c>
      <c r="D3427" s="51">
        <v>5866</v>
      </c>
    </row>
    <row r="3428" spans="1:4" x14ac:dyDescent="0.2">
      <c r="A3428" s="24">
        <v>44501</v>
      </c>
      <c r="B3428" s="25" t="s">
        <v>121</v>
      </c>
      <c r="C3428" s="25" t="s">
        <v>142</v>
      </c>
      <c r="D3428" s="51">
        <v>967</v>
      </c>
    </row>
    <row r="3429" spans="1:4" x14ac:dyDescent="0.2">
      <c r="A3429" s="24">
        <v>44501</v>
      </c>
      <c r="B3429" s="25" t="s">
        <v>122</v>
      </c>
      <c r="C3429" s="25" t="s">
        <v>142</v>
      </c>
      <c r="D3429" s="51">
        <v>116422</v>
      </c>
    </row>
    <row r="3430" spans="1:4" x14ac:dyDescent="0.2">
      <c r="A3430" s="24">
        <v>44501</v>
      </c>
      <c r="B3430" s="25" t="s">
        <v>123</v>
      </c>
      <c r="C3430" s="25" t="s">
        <v>142</v>
      </c>
      <c r="D3430" s="51">
        <v>81250</v>
      </c>
    </row>
    <row r="3431" spans="1:4" x14ac:dyDescent="0.2">
      <c r="A3431" s="24">
        <v>44501</v>
      </c>
      <c r="B3431" s="25" t="s">
        <v>129</v>
      </c>
      <c r="C3431" s="25" t="s">
        <v>142</v>
      </c>
      <c r="D3431" s="51">
        <v>2200</v>
      </c>
    </row>
    <row r="3432" spans="1:4" x14ac:dyDescent="0.2">
      <c r="A3432" s="24">
        <v>44501</v>
      </c>
      <c r="B3432" s="25" t="s">
        <v>130</v>
      </c>
      <c r="C3432" s="25" t="s">
        <v>142</v>
      </c>
      <c r="D3432" s="51">
        <v>2666</v>
      </c>
    </row>
    <row r="3433" spans="1:4" x14ac:dyDescent="0.2">
      <c r="A3433" s="24">
        <v>44501</v>
      </c>
      <c r="B3433" s="25" t="s">
        <v>117</v>
      </c>
      <c r="C3433" s="25" t="s">
        <v>2</v>
      </c>
      <c r="D3433" s="51">
        <v>7240864</v>
      </c>
    </row>
    <row r="3434" spans="1:4" x14ac:dyDescent="0.2">
      <c r="A3434" s="24">
        <v>44501</v>
      </c>
      <c r="B3434" s="25" t="s">
        <v>137</v>
      </c>
      <c r="C3434" s="25" t="s">
        <v>2</v>
      </c>
      <c r="D3434" s="51">
        <v>3480234</v>
      </c>
    </row>
    <row r="3435" spans="1:4" x14ac:dyDescent="0.2">
      <c r="A3435" s="24">
        <v>44501</v>
      </c>
      <c r="B3435" s="25" t="s">
        <v>118</v>
      </c>
      <c r="C3435" s="25" t="s">
        <v>2</v>
      </c>
      <c r="D3435" s="51">
        <v>385203</v>
      </c>
    </row>
    <row r="3436" spans="1:4" x14ac:dyDescent="0.2">
      <c r="A3436" s="24">
        <v>44501</v>
      </c>
      <c r="B3436" s="25" t="s">
        <v>119</v>
      </c>
      <c r="C3436" s="25" t="s">
        <v>2</v>
      </c>
      <c r="D3436" s="51">
        <v>625489</v>
      </c>
    </row>
    <row r="3437" spans="1:4" x14ac:dyDescent="0.2">
      <c r="A3437" s="24">
        <v>44501</v>
      </c>
      <c r="B3437" s="25" t="s">
        <v>138</v>
      </c>
      <c r="C3437" s="25" t="s">
        <v>2</v>
      </c>
      <c r="D3437" s="51">
        <v>11</v>
      </c>
    </row>
    <row r="3438" spans="1:4" x14ac:dyDescent="0.2">
      <c r="A3438" s="24">
        <v>44501</v>
      </c>
      <c r="B3438" s="25" t="s">
        <v>139</v>
      </c>
      <c r="C3438" s="25" t="s">
        <v>2</v>
      </c>
      <c r="D3438" s="51">
        <v>507</v>
      </c>
    </row>
    <row r="3439" spans="1:4" x14ac:dyDescent="0.2">
      <c r="A3439" s="24">
        <v>44501</v>
      </c>
      <c r="B3439" s="25" t="s">
        <v>120</v>
      </c>
      <c r="C3439" s="25" t="s">
        <v>2</v>
      </c>
      <c r="D3439" s="51">
        <v>176091</v>
      </c>
    </row>
    <row r="3440" spans="1:4" x14ac:dyDescent="0.2">
      <c r="A3440" s="24">
        <v>44501</v>
      </c>
      <c r="B3440" s="25" t="s">
        <v>121</v>
      </c>
      <c r="C3440" s="25" t="s">
        <v>2</v>
      </c>
      <c r="D3440" s="51">
        <v>16182</v>
      </c>
    </row>
    <row r="3441" spans="1:4" x14ac:dyDescent="0.2">
      <c r="A3441" s="24">
        <v>44501</v>
      </c>
      <c r="B3441" s="25" t="s">
        <v>122</v>
      </c>
      <c r="C3441" s="25" t="s">
        <v>2</v>
      </c>
      <c r="D3441" s="51">
        <v>947788</v>
      </c>
    </row>
    <row r="3442" spans="1:4" x14ac:dyDescent="0.2">
      <c r="A3442" s="24">
        <v>44501</v>
      </c>
      <c r="B3442" s="25" t="s">
        <v>123</v>
      </c>
      <c r="C3442" s="25" t="s">
        <v>2</v>
      </c>
      <c r="D3442" s="51">
        <v>1631839</v>
      </c>
    </row>
    <row r="3443" spans="1:4" x14ac:dyDescent="0.2">
      <c r="A3443" s="24">
        <v>44501</v>
      </c>
      <c r="B3443" s="25" t="s">
        <v>129</v>
      </c>
      <c r="C3443" s="25" t="s">
        <v>2</v>
      </c>
      <c r="D3443" s="51">
        <v>41254</v>
      </c>
    </row>
    <row r="3444" spans="1:4" x14ac:dyDescent="0.2">
      <c r="A3444" s="24">
        <v>44501</v>
      </c>
      <c r="B3444" s="25" t="s">
        <v>130</v>
      </c>
      <c r="C3444" s="25" t="s">
        <v>2</v>
      </c>
      <c r="D3444" s="51">
        <v>22923</v>
      </c>
    </row>
    <row r="3445" spans="1:4" x14ac:dyDescent="0.2">
      <c r="A3445" s="24">
        <v>44531</v>
      </c>
      <c r="B3445" s="25" t="s">
        <v>117</v>
      </c>
      <c r="C3445" s="25" t="s">
        <v>4</v>
      </c>
      <c r="D3445" s="51">
        <v>4224733</v>
      </c>
    </row>
    <row r="3446" spans="1:4" x14ac:dyDescent="0.2">
      <c r="A3446" s="24">
        <v>44531</v>
      </c>
      <c r="B3446" s="25" t="s">
        <v>131</v>
      </c>
      <c r="C3446" s="25" t="s">
        <v>4</v>
      </c>
      <c r="D3446" s="51">
        <v>124</v>
      </c>
    </row>
    <row r="3447" spans="1:4" x14ac:dyDescent="0.2">
      <c r="A3447" s="24">
        <v>44531</v>
      </c>
      <c r="B3447" s="25" t="s">
        <v>132</v>
      </c>
      <c r="C3447" s="25" t="s">
        <v>4</v>
      </c>
      <c r="D3447" s="51">
        <v>44</v>
      </c>
    </row>
    <row r="3448" spans="1:4" x14ac:dyDescent="0.2">
      <c r="A3448" s="24">
        <v>44531</v>
      </c>
      <c r="B3448" s="25" t="s">
        <v>133</v>
      </c>
      <c r="C3448" s="25" t="s">
        <v>4</v>
      </c>
      <c r="D3448" s="51">
        <v>19</v>
      </c>
    </row>
    <row r="3449" spans="1:4" x14ac:dyDescent="0.2">
      <c r="A3449" s="24">
        <v>44531</v>
      </c>
      <c r="B3449" s="25" t="s">
        <v>137</v>
      </c>
      <c r="C3449" s="25" t="s">
        <v>4</v>
      </c>
      <c r="D3449" s="51">
        <v>2631049</v>
      </c>
    </row>
    <row r="3450" spans="1:4" x14ac:dyDescent="0.2">
      <c r="A3450" s="24">
        <v>44531</v>
      </c>
      <c r="B3450" s="25" t="s">
        <v>118</v>
      </c>
      <c r="C3450" s="25" t="s">
        <v>4</v>
      </c>
      <c r="D3450" s="51">
        <v>637255</v>
      </c>
    </row>
    <row r="3451" spans="1:4" x14ac:dyDescent="0.2">
      <c r="A3451" s="24">
        <v>44531</v>
      </c>
      <c r="B3451" s="25" t="s">
        <v>134</v>
      </c>
      <c r="C3451" s="25" t="s">
        <v>4</v>
      </c>
      <c r="D3451" s="51">
        <v>1</v>
      </c>
    </row>
    <row r="3452" spans="1:4" x14ac:dyDescent="0.2">
      <c r="A3452" s="24">
        <v>44531</v>
      </c>
      <c r="B3452" s="25" t="s">
        <v>135</v>
      </c>
      <c r="C3452" s="25" t="s">
        <v>4</v>
      </c>
      <c r="D3452" s="51">
        <v>2</v>
      </c>
    </row>
    <row r="3453" spans="1:4" x14ac:dyDescent="0.2">
      <c r="A3453" s="24">
        <v>44531</v>
      </c>
      <c r="B3453" s="25" t="s">
        <v>119</v>
      </c>
      <c r="C3453" s="25" t="s">
        <v>4</v>
      </c>
      <c r="D3453" s="51">
        <v>471774</v>
      </c>
    </row>
    <row r="3454" spans="1:4" x14ac:dyDescent="0.2">
      <c r="A3454" s="24">
        <v>44531</v>
      </c>
      <c r="B3454" s="25" t="s">
        <v>138</v>
      </c>
      <c r="C3454" s="25" t="s">
        <v>4</v>
      </c>
      <c r="D3454" s="51">
        <v>21</v>
      </c>
    </row>
    <row r="3455" spans="1:4" x14ac:dyDescent="0.2">
      <c r="A3455" s="24">
        <v>44531</v>
      </c>
      <c r="B3455" s="25" t="s">
        <v>139</v>
      </c>
      <c r="C3455" s="25" t="s">
        <v>4</v>
      </c>
      <c r="D3455" s="51">
        <v>604</v>
      </c>
    </row>
    <row r="3456" spans="1:4" x14ac:dyDescent="0.2">
      <c r="A3456" s="24">
        <v>44531</v>
      </c>
      <c r="B3456" s="25" t="s">
        <v>120</v>
      </c>
      <c r="C3456" s="25" t="s">
        <v>4</v>
      </c>
      <c r="D3456" s="51">
        <v>47570</v>
      </c>
    </row>
    <row r="3457" spans="1:4" x14ac:dyDescent="0.2">
      <c r="A3457" s="24">
        <v>44531</v>
      </c>
      <c r="B3457" s="25" t="s">
        <v>121</v>
      </c>
      <c r="C3457" s="25" t="s">
        <v>4</v>
      </c>
      <c r="D3457" s="51">
        <v>21412</v>
      </c>
    </row>
    <row r="3458" spans="1:4" x14ac:dyDescent="0.2">
      <c r="A3458" s="24">
        <v>44531</v>
      </c>
      <c r="B3458" s="25" t="s">
        <v>140</v>
      </c>
      <c r="C3458" s="25" t="s">
        <v>4</v>
      </c>
      <c r="D3458" s="51">
        <v>18475</v>
      </c>
    </row>
    <row r="3459" spans="1:4" x14ac:dyDescent="0.2">
      <c r="A3459" s="24">
        <v>44531</v>
      </c>
      <c r="B3459" s="25" t="s">
        <v>122</v>
      </c>
      <c r="C3459" s="25" t="s">
        <v>4</v>
      </c>
      <c r="D3459" s="51">
        <v>603437</v>
      </c>
    </row>
    <row r="3460" spans="1:4" x14ac:dyDescent="0.2">
      <c r="A3460" s="24">
        <v>44531</v>
      </c>
      <c r="B3460" s="25" t="s">
        <v>123</v>
      </c>
      <c r="C3460" s="25" t="s">
        <v>4</v>
      </c>
      <c r="D3460" s="51">
        <v>2490492</v>
      </c>
    </row>
    <row r="3461" spans="1:4" x14ac:dyDescent="0.2">
      <c r="A3461" s="24">
        <v>44531</v>
      </c>
      <c r="B3461" s="25" t="s">
        <v>117</v>
      </c>
      <c r="C3461" s="25" t="s">
        <v>8</v>
      </c>
      <c r="D3461" s="51">
        <v>209567</v>
      </c>
    </row>
    <row r="3462" spans="1:4" x14ac:dyDescent="0.2">
      <c r="A3462" s="24">
        <v>44531</v>
      </c>
      <c r="B3462" s="25" t="s">
        <v>137</v>
      </c>
      <c r="C3462" s="25" t="s">
        <v>8</v>
      </c>
      <c r="D3462" s="51">
        <v>217890</v>
      </c>
    </row>
    <row r="3463" spans="1:4" x14ac:dyDescent="0.2">
      <c r="A3463" s="24">
        <v>44531</v>
      </c>
      <c r="B3463" s="25" t="s">
        <v>118</v>
      </c>
      <c r="C3463" s="25" t="s">
        <v>8</v>
      </c>
      <c r="D3463" s="51">
        <v>52941</v>
      </c>
    </row>
    <row r="3464" spans="1:4" x14ac:dyDescent="0.2">
      <c r="A3464" s="24">
        <v>44531</v>
      </c>
      <c r="B3464" s="25" t="s">
        <v>119</v>
      </c>
      <c r="C3464" s="25" t="s">
        <v>8</v>
      </c>
      <c r="D3464" s="51">
        <v>12388</v>
      </c>
    </row>
    <row r="3465" spans="1:4" x14ac:dyDescent="0.2">
      <c r="A3465" s="24">
        <v>44531</v>
      </c>
      <c r="B3465" s="25" t="s">
        <v>138</v>
      </c>
      <c r="C3465" s="25" t="s">
        <v>8</v>
      </c>
      <c r="D3465" s="51">
        <v>7</v>
      </c>
    </row>
    <row r="3466" spans="1:4" x14ac:dyDescent="0.2">
      <c r="A3466" s="24">
        <v>44531</v>
      </c>
      <c r="B3466" s="25" t="s">
        <v>139</v>
      </c>
      <c r="C3466" s="25" t="s">
        <v>8</v>
      </c>
      <c r="D3466" s="51">
        <v>48</v>
      </c>
    </row>
    <row r="3467" spans="1:4" x14ac:dyDescent="0.2">
      <c r="A3467" s="24">
        <v>44531</v>
      </c>
      <c r="B3467" s="25" t="s">
        <v>120</v>
      </c>
      <c r="C3467" s="25" t="s">
        <v>8</v>
      </c>
      <c r="D3467" s="51">
        <v>3825</v>
      </c>
    </row>
    <row r="3468" spans="1:4" x14ac:dyDescent="0.2">
      <c r="A3468" s="24">
        <v>44531</v>
      </c>
      <c r="B3468" s="25" t="s">
        <v>121</v>
      </c>
      <c r="C3468" s="25" t="s">
        <v>8</v>
      </c>
      <c r="D3468" s="51">
        <v>1331</v>
      </c>
    </row>
    <row r="3469" spans="1:4" x14ac:dyDescent="0.2">
      <c r="A3469" s="24">
        <v>44531</v>
      </c>
      <c r="B3469" s="25" t="s">
        <v>122</v>
      </c>
      <c r="C3469" s="25" t="s">
        <v>8</v>
      </c>
      <c r="D3469" s="51">
        <v>5125</v>
      </c>
    </row>
    <row r="3470" spans="1:4" x14ac:dyDescent="0.2">
      <c r="A3470" s="24">
        <v>44531</v>
      </c>
      <c r="B3470" s="25" t="s">
        <v>123</v>
      </c>
      <c r="C3470" s="25" t="s">
        <v>8</v>
      </c>
      <c r="D3470" s="51">
        <v>107297</v>
      </c>
    </row>
    <row r="3471" spans="1:4" x14ac:dyDescent="0.2">
      <c r="A3471" s="24">
        <v>44531</v>
      </c>
      <c r="B3471" s="25" t="s">
        <v>124</v>
      </c>
      <c r="C3471" s="25" t="s">
        <v>8</v>
      </c>
      <c r="D3471" s="51">
        <v>12391</v>
      </c>
    </row>
    <row r="3472" spans="1:4" x14ac:dyDescent="0.2">
      <c r="A3472" s="24">
        <v>44531</v>
      </c>
      <c r="B3472" s="25" t="s">
        <v>125</v>
      </c>
      <c r="C3472" s="25" t="s">
        <v>8</v>
      </c>
      <c r="D3472" s="51">
        <v>9570</v>
      </c>
    </row>
    <row r="3473" spans="1:4" x14ac:dyDescent="0.2">
      <c r="A3473" s="24">
        <v>44531</v>
      </c>
      <c r="B3473" s="25" t="s">
        <v>117</v>
      </c>
      <c r="C3473" s="25" t="s">
        <v>26</v>
      </c>
      <c r="D3473" s="51">
        <v>567365</v>
      </c>
    </row>
    <row r="3474" spans="1:4" x14ac:dyDescent="0.2">
      <c r="A3474" s="24">
        <v>44531</v>
      </c>
      <c r="B3474" s="25" t="s">
        <v>137</v>
      </c>
      <c r="C3474" s="25" t="s">
        <v>26</v>
      </c>
      <c r="D3474" s="51">
        <v>403722</v>
      </c>
    </row>
    <row r="3475" spans="1:4" x14ac:dyDescent="0.2">
      <c r="A3475" s="24">
        <v>44531</v>
      </c>
      <c r="B3475" s="25" t="s">
        <v>118</v>
      </c>
      <c r="C3475" s="25" t="s">
        <v>26</v>
      </c>
      <c r="D3475" s="51">
        <v>54227</v>
      </c>
    </row>
    <row r="3476" spans="1:4" x14ac:dyDescent="0.2">
      <c r="A3476" s="24">
        <v>44531</v>
      </c>
      <c r="B3476" s="25" t="s">
        <v>119</v>
      </c>
      <c r="C3476" s="25" t="s">
        <v>26</v>
      </c>
      <c r="D3476" s="51">
        <v>68888</v>
      </c>
    </row>
    <row r="3477" spans="1:4" x14ac:dyDescent="0.2">
      <c r="A3477" s="24">
        <v>44531</v>
      </c>
      <c r="B3477" s="25" t="s">
        <v>138</v>
      </c>
      <c r="C3477" s="25" t="s">
        <v>26</v>
      </c>
      <c r="D3477" s="51">
        <v>3</v>
      </c>
    </row>
    <row r="3478" spans="1:4" x14ac:dyDescent="0.2">
      <c r="A3478" s="24">
        <v>44531</v>
      </c>
      <c r="B3478" s="25" t="s">
        <v>139</v>
      </c>
      <c r="C3478" s="25" t="s">
        <v>26</v>
      </c>
      <c r="D3478" s="51">
        <v>40</v>
      </c>
    </row>
    <row r="3479" spans="1:4" x14ac:dyDescent="0.2">
      <c r="A3479" s="24">
        <v>44531</v>
      </c>
      <c r="B3479" s="25" t="s">
        <v>120</v>
      </c>
      <c r="C3479" s="25" t="s">
        <v>26</v>
      </c>
      <c r="D3479" s="51">
        <v>5869</v>
      </c>
    </row>
    <row r="3480" spans="1:4" x14ac:dyDescent="0.2">
      <c r="A3480" s="24">
        <v>44531</v>
      </c>
      <c r="B3480" s="25" t="s">
        <v>121</v>
      </c>
      <c r="C3480" s="25" t="s">
        <v>26</v>
      </c>
      <c r="D3480" s="51">
        <v>1851</v>
      </c>
    </row>
    <row r="3481" spans="1:4" x14ac:dyDescent="0.2">
      <c r="A3481" s="24">
        <v>44531</v>
      </c>
      <c r="B3481" s="25" t="s">
        <v>122</v>
      </c>
      <c r="C3481" s="25" t="s">
        <v>26</v>
      </c>
      <c r="D3481" s="51">
        <v>14805</v>
      </c>
    </row>
    <row r="3482" spans="1:4" x14ac:dyDescent="0.2">
      <c r="A3482" s="24">
        <v>44531</v>
      </c>
      <c r="B3482" s="25" t="s">
        <v>123</v>
      </c>
      <c r="C3482" s="25" t="s">
        <v>26</v>
      </c>
      <c r="D3482" s="51">
        <v>187658</v>
      </c>
    </row>
    <row r="3483" spans="1:4" x14ac:dyDescent="0.2">
      <c r="A3483" s="24">
        <v>44531</v>
      </c>
      <c r="B3483" s="25" t="s">
        <v>127</v>
      </c>
      <c r="C3483" s="25" t="s">
        <v>26</v>
      </c>
      <c r="D3483" s="51">
        <v>1140</v>
      </c>
    </row>
    <row r="3484" spans="1:4" x14ac:dyDescent="0.2">
      <c r="A3484" s="24">
        <v>44531</v>
      </c>
      <c r="B3484" s="25" t="s">
        <v>128</v>
      </c>
      <c r="C3484" s="25" t="s">
        <v>26</v>
      </c>
      <c r="D3484" s="51">
        <v>855</v>
      </c>
    </row>
    <row r="3485" spans="1:4" x14ac:dyDescent="0.2">
      <c r="A3485" s="24">
        <v>44531</v>
      </c>
      <c r="B3485" s="25" t="s">
        <v>117</v>
      </c>
      <c r="C3485" s="25" t="s">
        <v>142</v>
      </c>
      <c r="D3485" s="51">
        <v>468401</v>
      </c>
    </row>
    <row r="3486" spans="1:4" x14ac:dyDescent="0.2">
      <c r="A3486" s="24">
        <v>44531</v>
      </c>
      <c r="B3486" s="25" t="s">
        <v>137</v>
      </c>
      <c r="C3486" s="25" t="s">
        <v>142</v>
      </c>
      <c r="D3486" s="51">
        <v>244548</v>
      </c>
    </row>
    <row r="3487" spans="1:4" x14ac:dyDescent="0.2">
      <c r="A3487" s="24">
        <v>44531</v>
      </c>
      <c r="B3487" s="25" t="s">
        <v>118</v>
      </c>
      <c r="C3487" s="25" t="s">
        <v>142</v>
      </c>
      <c r="D3487" s="51">
        <v>89830</v>
      </c>
    </row>
    <row r="3488" spans="1:4" x14ac:dyDescent="0.2">
      <c r="A3488" s="24">
        <v>44531</v>
      </c>
      <c r="B3488" s="25" t="s">
        <v>119</v>
      </c>
      <c r="C3488" s="25" t="s">
        <v>142</v>
      </c>
      <c r="D3488" s="51">
        <v>79637</v>
      </c>
    </row>
    <row r="3489" spans="1:4" x14ac:dyDescent="0.2">
      <c r="A3489" s="24">
        <v>44531</v>
      </c>
      <c r="B3489" s="25" t="s">
        <v>139</v>
      </c>
      <c r="C3489" s="25" t="s">
        <v>142</v>
      </c>
      <c r="D3489" s="51">
        <v>13</v>
      </c>
    </row>
    <row r="3490" spans="1:4" x14ac:dyDescent="0.2">
      <c r="A3490" s="24">
        <v>44531</v>
      </c>
      <c r="B3490" s="25" t="s">
        <v>120</v>
      </c>
      <c r="C3490" s="25" t="s">
        <v>142</v>
      </c>
      <c r="D3490" s="51">
        <v>6606</v>
      </c>
    </row>
    <row r="3491" spans="1:4" x14ac:dyDescent="0.2">
      <c r="A3491" s="24">
        <v>44531</v>
      </c>
      <c r="B3491" s="25" t="s">
        <v>121</v>
      </c>
      <c r="C3491" s="25" t="s">
        <v>142</v>
      </c>
      <c r="D3491" s="51">
        <v>899</v>
      </c>
    </row>
    <row r="3492" spans="1:4" x14ac:dyDescent="0.2">
      <c r="A3492" s="24">
        <v>44531</v>
      </c>
      <c r="B3492" s="25" t="s">
        <v>122</v>
      </c>
      <c r="C3492" s="25" t="s">
        <v>142</v>
      </c>
      <c r="D3492" s="51">
        <v>55544</v>
      </c>
    </row>
    <row r="3493" spans="1:4" x14ac:dyDescent="0.2">
      <c r="A3493" s="24">
        <v>44531</v>
      </c>
      <c r="B3493" s="25" t="s">
        <v>123</v>
      </c>
      <c r="C3493" s="25" t="s">
        <v>142</v>
      </c>
      <c r="D3493" s="51">
        <v>79251</v>
      </c>
    </row>
    <row r="3494" spans="1:4" x14ac:dyDescent="0.2">
      <c r="A3494" s="24">
        <v>44531</v>
      </c>
      <c r="B3494" s="25" t="s">
        <v>129</v>
      </c>
      <c r="C3494" s="25" t="s">
        <v>142</v>
      </c>
      <c r="D3494" s="51">
        <v>3228</v>
      </c>
    </row>
    <row r="3495" spans="1:4" x14ac:dyDescent="0.2">
      <c r="A3495" s="24">
        <v>44531</v>
      </c>
      <c r="B3495" s="25" t="s">
        <v>130</v>
      </c>
      <c r="C3495" s="25" t="s">
        <v>142</v>
      </c>
      <c r="D3495" s="51">
        <v>4165</v>
      </c>
    </row>
    <row r="3496" spans="1:4" x14ac:dyDescent="0.2">
      <c r="A3496" s="24">
        <v>44531</v>
      </c>
      <c r="B3496" s="25" t="s">
        <v>117</v>
      </c>
      <c r="C3496" s="25" t="s">
        <v>2</v>
      </c>
      <c r="D3496" s="51">
        <v>6944384</v>
      </c>
    </row>
    <row r="3497" spans="1:4" x14ac:dyDescent="0.2">
      <c r="A3497" s="24">
        <v>44531</v>
      </c>
      <c r="B3497" s="25" t="s">
        <v>137</v>
      </c>
      <c r="C3497" s="25" t="s">
        <v>2</v>
      </c>
      <c r="D3497" s="51">
        <v>3497237</v>
      </c>
    </row>
    <row r="3498" spans="1:4" x14ac:dyDescent="0.2">
      <c r="A3498" s="24">
        <v>44531</v>
      </c>
      <c r="B3498" s="25" t="s">
        <v>118</v>
      </c>
      <c r="C3498" s="25" t="s">
        <v>2</v>
      </c>
      <c r="D3498" s="51">
        <v>562600</v>
      </c>
    </row>
    <row r="3499" spans="1:4" x14ac:dyDescent="0.2">
      <c r="A3499" s="24">
        <v>44531</v>
      </c>
      <c r="B3499" s="25" t="s">
        <v>119</v>
      </c>
      <c r="C3499" s="25" t="s">
        <v>2</v>
      </c>
      <c r="D3499" s="51">
        <v>639846</v>
      </c>
    </row>
    <row r="3500" spans="1:4" x14ac:dyDescent="0.2">
      <c r="A3500" s="24">
        <v>44531</v>
      </c>
      <c r="B3500" s="25" t="s">
        <v>138</v>
      </c>
      <c r="C3500" s="25" t="s">
        <v>2</v>
      </c>
      <c r="D3500" s="51">
        <v>14</v>
      </c>
    </row>
    <row r="3501" spans="1:4" x14ac:dyDescent="0.2">
      <c r="A3501" s="24">
        <v>44531</v>
      </c>
      <c r="B3501" s="25" t="s">
        <v>139</v>
      </c>
      <c r="C3501" s="25" t="s">
        <v>2</v>
      </c>
      <c r="D3501" s="51">
        <v>601</v>
      </c>
    </row>
    <row r="3502" spans="1:4" x14ac:dyDescent="0.2">
      <c r="A3502" s="24">
        <v>44531</v>
      </c>
      <c r="B3502" s="25" t="s">
        <v>120</v>
      </c>
      <c r="C3502" s="25" t="s">
        <v>2</v>
      </c>
      <c r="D3502" s="51">
        <v>176929</v>
      </c>
    </row>
    <row r="3503" spans="1:4" x14ac:dyDescent="0.2">
      <c r="A3503" s="24">
        <v>44531</v>
      </c>
      <c r="B3503" s="25" t="s">
        <v>121</v>
      </c>
      <c r="C3503" s="25" t="s">
        <v>2</v>
      </c>
      <c r="D3503" s="51">
        <v>15046</v>
      </c>
    </row>
    <row r="3504" spans="1:4" x14ac:dyDescent="0.2">
      <c r="A3504" s="24">
        <v>44531</v>
      </c>
      <c r="B3504" s="25" t="s">
        <v>122</v>
      </c>
      <c r="C3504" s="25" t="s">
        <v>2</v>
      </c>
      <c r="D3504" s="51">
        <v>387366</v>
      </c>
    </row>
    <row r="3505" spans="1:4" x14ac:dyDescent="0.2">
      <c r="A3505" s="24">
        <v>44531</v>
      </c>
      <c r="B3505" s="25" t="s">
        <v>123</v>
      </c>
      <c r="C3505" s="25" t="s">
        <v>2</v>
      </c>
      <c r="D3505" s="51">
        <v>1586825</v>
      </c>
    </row>
    <row r="3506" spans="1:4" x14ac:dyDescent="0.2">
      <c r="A3506" s="24">
        <v>44531</v>
      </c>
      <c r="B3506" s="25" t="s">
        <v>129</v>
      </c>
      <c r="C3506" s="25" t="s">
        <v>2</v>
      </c>
      <c r="D3506" s="51">
        <v>55444</v>
      </c>
    </row>
    <row r="3507" spans="1:4" x14ac:dyDescent="0.2">
      <c r="A3507" s="24">
        <v>44531</v>
      </c>
      <c r="B3507" s="25" t="s">
        <v>130</v>
      </c>
      <c r="C3507" s="25" t="s">
        <v>2</v>
      </c>
      <c r="D3507" s="51">
        <v>34888</v>
      </c>
    </row>
    <row r="3508" spans="1:4" x14ac:dyDescent="0.2">
      <c r="A3508" s="24">
        <v>44562</v>
      </c>
      <c r="B3508" s="25" t="s">
        <v>117</v>
      </c>
      <c r="C3508" s="25" t="s">
        <v>4</v>
      </c>
      <c r="D3508" s="51">
        <v>3280150</v>
      </c>
    </row>
    <row r="3509" spans="1:4" x14ac:dyDescent="0.2">
      <c r="A3509" s="24">
        <v>44562</v>
      </c>
      <c r="B3509" s="25" t="s">
        <v>131</v>
      </c>
      <c r="C3509" s="25" t="s">
        <v>4</v>
      </c>
      <c r="D3509" s="51">
        <v>93</v>
      </c>
    </row>
    <row r="3510" spans="1:4" x14ac:dyDescent="0.2">
      <c r="A3510" s="24">
        <v>44562</v>
      </c>
      <c r="B3510" s="25" t="s">
        <v>132</v>
      </c>
      <c r="C3510" s="25" t="s">
        <v>4</v>
      </c>
      <c r="D3510" s="51">
        <v>21</v>
      </c>
    </row>
    <row r="3511" spans="1:4" x14ac:dyDescent="0.2">
      <c r="A3511" s="24">
        <v>44562</v>
      </c>
      <c r="B3511" s="25" t="s">
        <v>133</v>
      </c>
      <c r="C3511" s="25" t="s">
        <v>4</v>
      </c>
      <c r="D3511" s="51">
        <v>14</v>
      </c>
    </row>
    <row r="3512" spans="1:4" x14ac:dyDescent="0.2">
      <c r="A3512" s="24">
        <v>44562</v>
      </c>
      <c r="B3512" s="25" t="s">
        <v>137</v>
      </c>
      <c r="C3512" s="25" t="s">
        <v>4</v>
      </c>
      <c r="D3512" s="51">
        <v>2088109</v>
      </c>
    </row>
    <row r="3513" spans="1:4" x14ac:dyDescent="0.2">
      <c r="A3513" s="24">
        <v>44562</v>
      </c>
      <c r="B3513" s="25" t="s">
        <v>118</v>
      </c>
      <c r="C3513" s="25" t="s">
        <v>4</v>
      </c>
      <c r="D3513" s="51">
        <v>552340</v>
      </c>
    </row>
    <row r="3514" spans="1:4" x14ac:dyDescent="0.2">
      <c r="A3514" s="24">
        <v>44562</v>
      </c>
      <c r="B3514" s="25" t="s">
        <v>134</v>
      </c>
      <c r="C3514" s="25" t="s">
        <v>4</v>
      </c>
      <c r="D3514" s="51">
        <v>2</v>
      </c>
    </row>
    <row r="3515" spans="1:4" x14ac:dyDescent="0.2">
      <c r="A3515" s="24">
        <v>44562</v>
      </c>
      <c r="B3515" s="25" t="s">
        <v>135</v>
      </c>
      <c r="C3515" s="25" t="s">
        <v>4</v>
      </c>
      <c r="D3515" s="51">
        <v>1</v>
      </c>
    </row>
    <row r="3516" spans="1:4" x14ac:dyDescent="0.2">
      <c r="A3516" s="24">
        <v>44562</v>
      </c>
      <c r="B3516" s="25" t="s">
        <v>119</v>
      </c>
      <c r="C3516" s="25" t="s">
        <v>4</v>
      </c>
      <c r="D3516" s="51">
        <v>332743</v>
      </c>
    </row>
    <row r="3517" spans="1:4" x14ac:dyDescent="0.2">
      <c r="A3517" s="24">
        <v>44562</v>
      </c>
      <c r="B3517" s="25" t="s">
        <v>138</v>
      </c>
      <c r="C3517" s="25" t="s">
        <v>4</v>
      </c>
      <c r="D3517" s="51">
        <v>9</v>
      </c>
    </row>
    <row r="3518" spans="1:4" x14ac:dyDescent="0.2">
      <c r="A3518" s="24">
        <v>44562</v>
      </c>
      <c r="B3518" s="25" t="s">
        <v>139</v>
      </c>
      <c r="C3518" s="25" t="s">
        <v>4</v>
      </c>
      <c r="D3518" s="51">
        <v>437</v>
      </c>
    </row>
    <row r="3519" spans="1:4" x14ac:dyDescent="0.2">
      <c r="A3519" s="24">
        <v>44562</v>
      </c>
      <c r="B3519" s="25" t="s">
        <v>120</v>
      </c>
      <c r="C3519" s="25" t="s">
        <v>4</v>
      </c>
      <c r="D3519" s="51">
        <v>37542</v>
      </c>
    </row>
    <row r="3520" spans="1:4" x14ac:dyDescent="0.2">
      <c r="A3520" s="24">
        <v>44562</v>
      </c>
      <c r="B3520" s="25" t="s">
        <v>121</v>
      </c>
      <c r="C3520" s="25" t="s">
        <v>4</v>
      </c>
      <c r="D3520" s="51">
        <v>16557</v>
      </c>
    </row>
    <row r="3521" spans="1:4" x14ac:dyDescent="0.2">
      <c r="A3521" s="24">
        <v>44562</v>
      </c>
      <c r="B3521" s="25" t="s">
        <v>140</v>
      </c>
      <c r="C3521" s="25" t="s">
        <v>4</v>
      </c>
      <c r="D3521" s="51">
        <v>15290</v>
      </c>
    </row>
    <row r="3522" spans="1:4" x14ac:dyDescent="0.2">
      <c r="A3522" s="24">
        <v>44562</v>
      </c>
      <c r="B3522" s="25" t="s">
        <v>122</v>
      </c>
      <c r="C3522" s="25" t="s">
        <v>4</v>
      </c>
      <c r="D3522" s="51">
        <v>23011</v>
      </c>
    </row>
    <row r="3523" spans="1:4" x14ac:dyDescent="0.2">
      <c r="A3523" s="24">
        <v>44562</v>
      </c>
      <c r="B3523" s="25" t="s">
        <v>123</v>
      </c>
      <c r="C3523" s="25" t="s">
        <v>4</v>
      </c>
      <c r="D3523" s="51">
        <v>1915765</v>
      </c>
    </row>
    <row r="3524" spans="1:4" x14ac:dyDescent="0.2">
      <c r="A3524" s="24">
        <v>44562</v>
      </c>
      <c r="B3524" s="25" t="s">
        <v>117</v>
      </c>
      <c r="C3524" s="25" t="s">
        <v>8</v>
      </c>
      <c r="D3524" s="51">
        <v>201854</v>
      </c>
    </row>
    <row r="3525" spans="1:4" x14ac:dyDescent="0.2">
      <c r="A3525" s="24">
        <v>44562</v>
      </c>
      <c r="B3525" s="25" t="s">
        <v>137</v>
      </c>
      <c r="C3525" s="25" t="s">
        <v>8</v>
      </c>
      <c r="D3525" s="51">
        <v>211482</v>
      </c>
    </row>
    <row r="3526" spans="1:4" x14ac:dyDescent="0.2">
      <c r="A3526" s="24">
        <v>44562</v>
      </c>
      <c r="B3526" s="25" t="s">
        <v>118</v>
      </c>
      <c r="C3526" s="25" t="s">
        <v>8</v>
      </c>
      <c r="D3526" s="51">
        <v>70512</v>
      </c>
    </row>
    <row r="3527" spans="1:4" x14ac:dyDescent="0.2">
      <c r="A3527" s="24">
        <v>44562</v>
      </c>
      <c r="B3527" s="25" t="s">
        <v>119</v>
      </c>
      <c r="C3527" s="25" t="s">
        <v>8</v>
      </c>
      <c r="D3527" s="51">
        <v>10798</v>
      </c>
    </row>
    <row r="3528" spans="1:4" x14ac:dyDescent="0.2">
      <c r="A3528" s="24">
        <v>44562</v>
      </c>
      <c r="B3528" s="25" t="s">
        <v>138</v>
      </c>
      <c r="C3528" s="25" t="s">
        <v>8</v>
      </c>
      <c r="D3528" s="51">
        <v>2</v>
      </c>
    </row>
    <row r="3529" spans="1:4" x14ac:dyDescent="0.2">
      <c r="A3529" s="24">
        <v>44562</v>
      </c>
      <c r="B3529" s="25" t="s">
        <v>139</v>
      </c>
      <c r="C3529" s="25" t="s">
        <v>8</v>
      </c>
      <c r="D3529" s="51">
        <v>8</v>
      </c>
    </row>
    <row r="3530" spans="1:4" x14ac:dyDescent="0.2">
      <c r="A3530" s="24">
        <v>44562</v>
      </c>
      <c r="B3530" s="25" t="s">
        <v>120</v>
      </c>
      <c r="C3530" s="25" t="s">
        <v>8</v>
      </c>
      <c r="D3530" s="51">
        <v>4167</v>
      </c>
    </row>
    <row r="3531" spans="1:4" x14ac:dyDescent="0.2">
      <c r="A3531" s="24">
        <v>44562</v>
      </c>
      <c r="B3531" s="25" t="s">
        <v>121</v>
      </c>
      <c r="C3531" s="25" t="s">
        <v>8</v>
      </c>
      <c r="D3531" s="51">
        <v>1295</v>
      </c>
    </row>
    <row r="3532" spans="1:4" x14ac:dyDescent="0.2">
      <c r="A3532" s="24">
        <v>44562</v>
      </c>
      <c r="B3532" s="25" t="s">
        <v>122</v>
      </c>
      <c r="C3532" s="25" t="s">
        <v>8</v>
      </c>
      <c r="D3532" s="51">
        <v>584</v>
      </c>
    </row>
    <row r="3533" spans="1:4" x14ac:dyDescent="0.2">
      <c r="A3533" s="24">
        <v>44562</v>
      </c>
      <c r="B3533" s="25" t="s">
        <v>123</v>
      </c>
      <c r="C3533" s="25" t="s">
        <v>8</v>
      </c>
      <c r="D3533" s="51">
        <v>96703</v>
      </c>
    </row>
    <row r="3534" spans="1:4" x14ac:dyDescent="0.2">
      <c r="A3534" s="24">
        <v>44562</v>
      </c>
      <c r="B3534" s="25" t="s">
        <v>124</v>
      </c>
      <c r="C3534" s="25" t="s">
        <v>8</v>
      </c>
      <c r="D3534" s="51">
        <v>15507</v>
      </c>
    </row>
    <row r="3535" spans="1:4" x14ac:dyDescent="0.2">
      <c r="A3535" s="24">
        <v>44562</v>
      </c>
      <c r="B3535" s="25" t="s">
        <v>125</v>
      </c>
      <c r="C3535" s="25" t="s">
        <v>8</v>
      </c>
      <c r="D3535" s="51">
        <v>13836</v>
      </c>
    </row>
    <row r="3536" spans="1:4" x14ac:dyDescent="0.2">
      <c r="A3536" s="24">
        <v>44562</v>
      </c>
      <c r="B3536" s="25" t="s">
        <v>117</v>
      </c>
      <c r="C3536" s="25" t="s">
        <v>26</v>
      </c>
      <c r="D3536" s="51">
        <v>451366</v>
      </c>
    </row>
    <row r="3537" spans="1:4" x14ac:dyDescent="0.2">
      <c r="A3537" s="24">
        <v>44562</v>
      </c>
      <c r="B3537" s="25" t="s">
        <v>137</v>
      </c>
      <c r="C3537" s="25" t="s">
        <v>26</v>
      </c>
      <c r="D3537" s="51">
        <v>312879</v>
      </c>
    </row>
    <row r="3538" spans="1:4" x14ac:dyDescent="0.2">
      <c r="A3538" s="24">
        <v>44562</v>
      </c>
      <c r="B3538" s="25" t="s">
        <v>118</v>
      </c>
      <c r="C3538" s="25" t="s">
        <v>26</v>
      </c>
      <c r="D3538" s="51">
        <v>55106</v>
      </c>
    </row>
    <row r="3539" spans="1:4" x14ac:dyDescent="0.2">
      <c r="A3539" s="24">
        <v>44562</v>
      </c>
      <c r="B3539" s="25" t="s">
        <v>119</v>
      </c>
      <c r="C3539" s="25" t="s">
        <v>26</v>
      </c>
      <c r="D3539" s="51">
        <v>45876</v>
      </c>
    </row>
    <row r="3540" spans="1:4" x14ac:dyDescent="0.2">
      <c r="A3540" s="24">
        <v>44562</v>
      </c>
      <c r="B3540" s="25" t="s">
        <v>138</v>
      </c>
      <c r="C3540" s="25" t="s">
        <v>26</v>
      </c>
      <c r="D3540" s="51">
        <v>1</v>
      </c>
    </row>
    <row r="3541" spans="1:4" x14ac:dyDescent="0.2">
      <c r="A3541" s="24">
        <v>44562</v>
      </c>
      <c r="B3541" s="25" t="s">
        <v>139</v>
      </c>
      <c r="C3541" s="25" t="s">
        <v>26</v>
      </c>
      <c r="D3541" s="51">
        <v>26</v>
      </c>
    </row>
    <row r="3542" spans="1:4" x14ac:dyDescent="0.2">
      <c r="A3542" s="24">
        <v>44562</v>
      </c>
      <c r="B3542" s="25" t="s">
        <v>120</v>
      </c>
      <c r="C3542" s="25" t="s">
        <v>26</v>
      </c>
      <c r="D3542" s="51">
        <v>4664</v>
      </c>
    </row>
    <row r="3543" spans="1:4" x14ac:dyDescent="0.2">
      <c r="A3543" s="24">
        <v>44562</v>
      </c>
      <c r="B3543" s="25" t="s">
        <v>121</v>
      </c>
      <c r="C3543" s="25" t="s">
        <v>26</v>
      </c>
      <c r="D3543" s="51">
        <v>1471</v>
      </c>
    </row>
    <row r="3544" spans="1:4" x14ac:dyDescent="0.2">
      <c r="A3544" s="24">
        <v>44562</v>
      </c>
      <c r="B3544" s="25" t="s">
        <v>122</v>
      </c>
      <c r="C3544" s="25" t="s">
        <v>26</v>
      </c>
      <c r="D3544" s="51">
        <v>793</v>
      </c>
    </row>
    <row r="3545" spans="1:4" x14ac:dyDescent="0.2">
      <c r="A3545" s="24">
        <v>44562</v>
      </c>
      <c r="B3545" s="25" t="s">
        <v>123</v>
      </c>
      <c r="C3545" s="25" t="s">
        <v>26</v>
      </c>
      <c r="D3545" s="51">
        <v>143982</v>
      </c>
    </row>
    <row r="3546" spans="1:4" x14ac:dyDescent="0.2">
      <c r="A3546" s="24">
        <v>44562</v>
      </c>
      <c r="B3546" s="25" t="s">
        <v>127</v>
      </c>
      <c r="C3546" s="25" t="s">
        <v>26</v>
      </c>
      <c r="D3546" s="51">
        <v>1067</v>
      </c>
    </row>
    <row r="3547" spans="1:4" x14ac:dyDescent="0.2">
      <c r="A3547" s="24">
        <v>44562</v>
      </c>
      <c r="B3547" s="25" t="s">
        <v>128</v>
      </c>
      <c r="C3547" s="25" t="s">
        <v>26</v>
      </c>
      <c r="D3547" s="51">
        <v>873</v>
      </c>
    </row>
    <row r="3548" spans="1:4" x14ac:dyDescent="0.2">
      <c r="A3548" s="24">
        <v>44562</v>
      </c>
      <c r="B3548" s="25" t="s">
        <v>117</v>
      </c>
      <c r="C3548" s="25" t="s">
        <v>142</v>
      </c>
      <c r="D3548" s="51">
        <v>303258</v>
      </c>
    </row>
    <row r="3549" spans="1:4" x14ac:dyDescent="0.2">
      <c r="A3549" s="24">
        <v>44562</v>
      </c>
      <c r="B3549" s="25" t="s">
        <v>137</v>
      </c>
      <c r="C3549" s="25" t="s">
        <v>142</v>
      </c>
      <c r="D3549" s="51">
        <v>161355</v>
      </c>
    </row>
    <row r="3550" spans="1:4" x14ac:dyDescent="0.2">
      <c r="A3550" s="24">
        <v>44562</v>
      </c>
      <c r="B3550" s="25" t="s">
        <v>118</v>
      </c>
      <c r="C3550" s="25" t="s">
        <v>142</v>
      </c>
      <c r="D3550" s="51">
        <v>72529</v>
      </c>
    </row>
    <row r="3551" spans="1:4" x14ac:dyDescent="0.2">
      <c r="A3551" s="24">
        <v>44562</v>
      </c>
      <c r="B3551" s="25" t="s">
        <v>119</v>
      </c>
      <c r="C3551" s="25" t="s">
        <v>142</v>
      </c>
      <c r="D3551" s="51">
        <v>50098</v>
      </c>
    </row>
    <row r="3552" spans="1:4" x14ac:dyDescent="0.2">
      <c r="A3552" s="24">
        <v>44562</v>
      </c>
      <c r="B3552" s="25" t="s">
        <v>139</v>
      </c>
      <c r="C3552" s="25" t="s">
        <v>142</v>
      </c>
      <c r="D3552" s="51">
        <v>5</v>
      </c>
    </row>
    <row r="3553" spans="1:4" x14ac:dyDescent="0.2">
      <c r="A3553" s="24">
        <v>44562</v>
      </c>
      <c r="B3553" s="25" t="s">
        <v>120</v>
      </c>
      <c r="C3553" s="25" t="s">
        <v>142</v>
      </c>
      <c r="D3553" s="51">
        <v>4492</v>
      </c>
    </row>
    <row r="3554" spans="1:4" x14ac:dyDescent="0.2">
      <c r="A3554" s="24">
        <v>44562</v>
      </c>
      <c r="B3554" s="25" t="s">
        <v>121</v>
      </c>
      <c r="C3554" s="25" t="s">
        <v>142</v>
      </c>
      <c r="D3554" s="51">
        <v>620</v>
      </c>
    </row>
    <row r="3555" spans="1:4" x14ac:dyDescent="0.2">
      <c r="A3555" s="24">
        <v>44562</v>
      </c>
      <c r="B3555" s="25" t="s">
        <v>122</v>
      </c>
      <c r="C3555" s="25" t="s">
        <v>142</v>
      </c>
      <c r="D3555" s="51">
        <v>2758</v>
      </c>
    </row>
    <row r="3556" spans="1:4" x14ac:dyDescent="0.2">
      <c r="A3556" s="24">
        <v>44562</v>
      </c>
      <c r="B3556" s="25" t="s">
        <v>123</v>
      </c>
      <c r="C3556" s="25" t="s">
        <v>142</v>
      </c>
      <c r="D3556" s="51">
        <v>48621</v>
      </c>
    </row>
    <row r="3557" spans="1:4" x14ac:dyDescent="0.2">
      <c r="A3557" s="24">
        <v>44562</v>
      </c>
      <c r="B3557" s="25" t="s">
        <v>129</v>
      </c>
      <c r="C3557" s="25" t="s">
        <v>142</v>
      </c>
      <c r="D3557" s="51">
        <v>1974</v>
      </c>
    </row>
    <row r="3558" spans="1:4" x14ac:dyDescent="0.2">
      <c r="A3558" s="24">
        <v>44562</v>
      </c>
      <c r="B3558" s="25" t="s">
        <v>130</v>
      </c>
      <c r="C3558" s="25" t="s">
        <v>142</v>
      </c>
      <c r="D3558" s="51">
        <v>3432</v>
      </c>
    </row>
    <row r="3559" spans="1:4" x14ac:dyDescent="0.2">
      <c r="A3559" s="24">
        <v>44562</v>
      </c>
      <c r="B3559" s="25" t="s">
        <v>117</v>
      </c>
      <c r="C3559" s="25" t="s">
        <v>2</v>
      </c>
      <c r="D3559" s="51">
        <v>5176801</v>
      </c>
    </row>
    <row r="3560" spans="1:4" x14ac:dyDescent="0.2">
      <c r="A3560" s="24">
        <v>44562</v>
      </c>
      <c r="B3560" s="25" t="s">
        <v>137</v>
      </c>
      <c r="C3560" s="25" t="s">
        <v>2</v>
      </c>
      <c r="D3560" s="51">
        <v>2554131</v>
      </c>
    </row>
    <row r="3561" spans="1:4" x14ac:dyDescent="0.2">
      <c r="A3561" s="24">
        <v>44562</v>
      </c>
      <c r="B3561" s="25" t="s">
        <v>118</v>
      </c>
      <c r="C3561" s="25" t="s">
        <v>2</v>
      </c>
      <c r="D3561" s="51">
        <v>505128</v>
      </c>
    </row>
    <row r="3562" spans="1:4" x14ac:dyDescent="0.2">
      <c r="A3562" s="24">
        <v>44562</v>
      </c>
      <c r="B3562" s="25" t="s">
        <v>119</v>
      </c>
      <c r="C3562" s="25" t="s">
        <v>2</v>
      </c>
      <c r="D3562" s="51">
        <v>429252</v>
      </c>
    </row>
    <row r="3563" spans="1:4" x14ac:dyDescent="0.2">
      <c r="A3563" s="24">
        <v>44562</v>
      </c>
      <c r="B3563" s="25" t="s">
        <v>138</v>
      </c>
      <c r="C3563" s="25" t="s">
        <v>2</v>
      </c>
      <c r="D3563" s="51">
        <v>5</v>
      </c>
    </row>
    <row r="3564" spans="1:4" x14ac:dyDescent="0.2">
      <c r="A3564" s="24">
        <v>44562</v>
      </c>
      <c r="B3564" s="25" t="s">
        <v>139</v>
      </c>
      <c r="C3564" s="25" t="s">
        <v>2</v>
      </c>
      <c r="D3564" s="51">
        <v>574</v>
      </c>
    </row>
    <row r="3565" spans="1:4" x14ac:dyDescent="0.2">
      <c r="A3565" s="24">
        <v>44562</v>
      </c>
      <c r="B3565" s="25" t="s">
        <v>120</v>
      </c>
      <c r="C3565" s="25" t="s">
        <v>2</v>
      </c>
      <c r="D3565" s="51">
        <v>139527</v>
      </c>
    </row>
    <row r="3566" spans="1:4" x14ac:dyDescent="0.2">
      <c r="A3566" s="24">
        <v>44562</v>
      </c>
      <c r="B3566" s="25" t="s">
        <v>121</v>
      </c>
      <c r="C3566" s="25" t="s">
        <v>2</v>
      </c>
      <c r="D3566" s="51">
        <v>10852</v>
      </c>
    </row>
    <row r="3567" spans="1:4" x14ac:dyDescent="0.2">
      <c r="A3567" s="24">
        <v>44562</v>
      </c>
      <c r="B3567" s="25" t="s">
        <v>122</v>
      </c>
      <c r="C3567" s="25" t="s">
        <v>2</v>
      </c>
      <c r="D3567" s="51">
        <v>18336</v>
      </c>
    </row>
    <row r="3568" spans="1:4" x14ac:dyDescent="0.2">
      <c r="A3568" s="24">
        <v>44562</v>
      </c>
      <c r="B3568" s="25" t="s">
        <v>123</v>
      </c>
      <c r="C3568" s="25" t="s">
        <v>2</v>
      </c>
      <c r="D3568" s="51">
        <v>1149408</v>
      </c>
    </row>
    <row r="3569" spans="1:4" x14ac:dyDescent="0.2">
      <c r="A3569" s="24">
        <v>44562</v>
      </c>
      <c r="B3569" s="25" t="s">
        <v>129</v>
      </c>
      <c r="C3569" s="25" t="s">
        <v>2</v>
      </c>
      <c r="D3569" s="51">
        <v>40368</v>
      </c>
    </row>
    <row r="3570" spans="1:4" x14ac:dyDescent="0.2">
      <c r="A3570" s="24">
        <v>44562</v>
      </c>
      <c r="B3570" s="25" t="s">
        <v>130</v>
      </c>
      <c r="C3570" s="25" t="s">
        <v>2</v>
      </c>
      <c r="D3570" s="51">
        <v>32074</v>
      </c>
    </row>
    <row r="3571" spans="1:4" x14ac:dyDescent="0.2">
      <c r="A3571" s="24">
        <v>44593</v>
      </c>
      <c r="B3571" s="25" t="s">
        <v>117</v>
      </c>
      <c r="C3571" s="25" t="s">
        <v>4</v>
      </c>
      <c r="D3571" s="51">
        <v>4244808</v>
      </c>
    </row>
    <row r="3572" spans="1:4" x14ac:dyDescent="0.2">
      <c r="A3572" s="24">
        <v>44593</v>
      </c>
      <c r="B3572" s="25" t="s">
        <v>131</v>
      </c>
      <c r="C3572" s="25" t="s">
        <v>4</v>
      </c>
      <c r="D3572" s="51">
        <v>73</v>
      </c>
    </row>
    <row r="3573" spans="1:4" x14ac:dyDescent="0.2">
      <c r="A3573" s="24">
        <v>44593</v>
      </c>
      <c r="B3573" s="25" t="s">
        <v>132</v>
      </c>
      <c r="C3573" s="25" t="s">
        <v>4</v>
      </c>
      <c r="D3573" s="51">
        <v>28</v>
      </c>
    </row>
    <row r="3574" spans="1:4" x14ac:dyDescent="0.2">
      <c r="A3574" s="24">
        <v>44593</v>
      </c>
      <c r="B3574" s="25" t="s">
        <v>133</v>
      </c>
      <c r="C3574" s="25" t="s">
        <v>4</v>
      </c>
      <c r="D3574" s="51">
        <v>7</v>
      </c>
    </row>
    <row r="3575" spans="1:4" x14ac:dyDescent="0.2">
      <c r="A3575" s="24">
        <v>44593</v>
      </c>
      <c r="B3575" s="25" t="s">
        <v>137</v>
      </c>
      <c r="C3575" s="25" t="s">
        <v>4</v>
      </c>
      <c r="D3575" s="51">
        <v>2739591</v>
      </c>
    </row>
    <row r="3576" spans="1:4" x14ac:dyDescent="0.2">
      <c r="A3576" s="24">
        <v>44593</v>
      </c>
      <c r="B3576" s="25" t="s">
        <v>118</v>
      </c>
      <c r="C3576" s="25" t="s">
        <v>4</v>
      </c>
      <c r="D3576" s="51">
        <v>562929</v>
      </c>
    </row>
    <row r="3577" spans="1:4" x14ac:dyDescent="0.2">
      <c r="A3577" s="24">
        <v>44593</v>
      </c>
      <c r="B3577" s="25" t="s">
        <v>134</v>
      </c>
      <c r="C3577" s="25" t="s">
        <v>4</v>
      </c>
      <c r="D3577" s="51">
        <v>1</v>
      </c>
    </row>
    <row r="3578" spans="1:4" x14ac:dyDescent="0.2">
      <c r="A3578" s="24">
        <v>44593</v>
      </c>
      <c r="B3578" s="25" t="s">
        <v>135</v>
      </c>
      <c r="C3578" s="25" t="s">
        <v>4</v>
      </c>
      <c r="D3578" s="51">
        <v>3</v>
      </c>
    </row>
    <row r="3579" spans="1:4" x14ac:dyDescent="0.2">
      <c r="A3579" s="24">
        <v>44593</v>
      </c>
      <c r="B3579" s="25" t="s">
        <v>119</v>
      </c>
      <c r="C3579" s="25" t="s">
        <v>4</v>
      </c>
      <c r="D3579" s="51">
        <v>566350</v>
      </c>
    </row>
    <row r="3580" spans="1:4" x14ac:dyDescent="0.2">
      <c r="A3580" s="24">
        <v>44593</v>
      </c>
      <c r="B3580" s="25" t="s">
        <v>139</v>
      </c>
      <c r="C3580" s="25" t="s">
        <v>4</v>
      </c>
      <c r="D3580" s="51">
        <v>389</v>
      </c>
    </row>
    <row r="3581" spans="1:4" x14ac:dyDescent="0.2">
      <c r="A3581" s="24">
        <v>44593</v>
      </c>
      <c r="B3581" s="25" t="s">
        <v>120</v>
      </c>
      <c r="C3581" s="25" t="s">
        <v>4</v>
      </c>
      <c r="D3581" s="51">
        <v>44817</v>
      </c>
    </row>
    <row r="3582" spans="1:4" x14ac:dyDescent="0.2">
      <c r="A3582" s="24">
        <v>44593</v>
      </c>
      <c r="B3582" s="25" t="s">
        <v>121</v>
      </c>
      <c r="C3582" s="25" t="s">
        <v>4</v>
      </c>
      <c r="D3582" s="51">
        <v>20091</v>
      </c>
    </row>
    <row r="3583" spans="1:4" x14ac:dyDescent="0.2">
      <c r="A3583" s="24">
        <v>44593</v>
      </c>
      <c r="B3583" s="25" t="s">
        <v>140</v>
      </c>
      <c r="C3583" s="25" t="s">
        <v>4</v>
      </c>
      <c r="D3583" s="51">
        <v>18034</v>
      </c>
    </row>
    <row r="3584" spans="1:4" x14ac:dyDescent="0.2">
      <c r="A3584" s="24">
        <v>44593</v>
      </c>
      <c r="B3584" s="25" t="s">
        <v>122</v>
      </c>
      <c r="C3584" s="25" t="s">
        <v>4</v>
      </c>
      <c r="D3584" s="51">
        <v>1483705</v>
      </c>
    </row>
    <row r="3585" spans="1:4" x14ac:dyDescent="0.2">
      <c r="A3585" s="24">
        <v>44593</v>
      </c>
      <c r="B3585" s="25" t="s">
        <v>123</v>
      </c>
      <c r="C3585" s="25" t="s">
        <v>4</v>
      </c>
      <c r="D3585" s="51">
        <v>2280735</v>
      </c>
    </row>
    <row r="3586" spans="1:4" x14ac:dyDescent="0.2">
      <c r="A3586" s="24">
        <v>44593</v>
      </c>
      <c r="B3586" s="25" t="s">
        <v>117</v>
      </c>
      <c r="C3586" s="25" t="s">
        <v>8</v>
      </c>
      <c r="D3586" s="51">
        <v>173621</v>
      </c>
    </row>
    <row r="3587" spans="1:4" x14ac:dyDescent="0.2">
      <c r="A3587" s="24">
        <v>44593</v>
      </c>
      <c r="B3587" s="25" t="s">
        <v>137</v>
      </c>
      <c r="C3587" s="25" t="s">
        <v>8</v>
      </c>
      <c r="D3587" s="51">
        <v>184821</v>
      </c>
    </row>
    <row r="3588" spans="1:4" x14ac:dyDescent="0.2">
      <c r="A3588" s="24">
        <v>44593</v>
      </c>
      <c r="B3588" s="25" t="s">
        <v>118</v>
      </c>
      <c r="C3588" s="25" t="s">
        <v>8</v>
      </c>
      <c r="D3588" s="51">
        <v>23157</v>
      </c>
    </row>
    <row r="3589" spans="1:4" x14ac:dyDescent="0.2">
      <c r="A3589" s="24">
        <v>44593</v>
      </c>
      <c r="B3589" s="25" t="s">
        <v>119</v>
      </c>
      <c r="C3589" s="25" t="s">
        <v>8</v>
      </c>
      <c r="D3589" s="51">
        <v>12268</v>
      </c>
    </row>
    <row r="3590" spans="1:4" x14ac:dyDescent="0.2">
      <c r="A3590" s="24">
        <v>44593</v>
      </c>
      <c r="B3590" s="25" t="s">
        <v>139</v>
      </c>
      <c r="C3590" s="25" t="s">
        <v>8</v>
      </c>
      <c r="D3590" s="51">
        <v>4</v>
      </c>
    </row>
    <row r="3591" spans="1:4" x14ac:dyDescent="0.2">
      <c r="A3591" s="24">
        <v>44593</v>
      </c>
      <c r="B3591" s="25" t="s">
        <v>120</v>
      </c>
      <c r="C3591" s="25" t="s">
        <v>8</v>
      </c>
      <c r="D3591" s="51">
        <v>3539</v>
      </c>
    </row>
    <row r="3592" spans="1:4" x14ac:dyDescent="0.2">
      <c r="A3592" s="24">
        <v>44593</v>
      </c>
      <c r="B3592" s="25" t="s">
        <v>121</v>
      </c>
      <c r="C3592" s="25" t="s">
        <v>8</v>
      </c>
      <c r="D3592" s="51">
        <v>1061</v>
      </c>
    </row>
    <row r="3593" spans="1:4" x14ac:dyDescent="0.2">
      <c r="A3593" s="24">
        <v>44593</v>
      </c>
      <c r="B3593" s="25" t="s">
        <v>122</v>
      </c>
      <c r="C3593" s="25" t="s">
        <v>8</v>
      </c>
      <c r="D3593" s="51">
        <v>9522</v>
      </c>
    </row>
    <row r="3594" spans="1:4" x14ac:dyDescent="0.2">
      <c r="A3594" s="24">
        <v>44593</v>
      </c>
      <c r="B3594" s="25" t="s">
        <v>123</v>
      </c>
      <c r="C3594" s="25" t="s">
        <v>8</v>
      </c>
      <c r="D3594" s="51">
        <v>99494</v>
      </c>
    </row>
    <row r="3595" spans="1:4" x14ac:dyDescent="0.2">
      <c r="A3595" s="24">
        <v>44593</v>
      </c>
      <c r="B3595" s="25" t="s">
        <v>124</v>
      </c>
      <c r="C3595" s="25" t="s">
        <v>8</v>
      </c>
      <c r="D3595" s="51">
        <v>7854</v>
      </c>
    </row>
    <row r="3596" spans="1:4" x14ac:dyDescent="0.2">
      <c r="A3596" s="24">
        <v>44593</v>
      </c>
      <c r="B3596" s="25" t="s">
        <v>125</v>
      </c>
      <c r="C3596" s="25" t="s">
        <v>8</v>
      </c>
      <c r="D3596" s="51">
        <v>3791</v>
      </c>
    </row>
    <row r="3597" spans="1:4" x14ac:dyDescent="0.2">
      <c r="A3597" s="24">
        <v>44593</v>
      </c>
      <c r="B3597" s="25" t="s">
        <v>117</v>
      </c>
      <c r="C3597" s="25" t="s">
        <v>26</v>
      </c>
      <c r="D3597" s="51">
        <v>553409</v>
      </c>
    </row>
    <row r="3598" spans="1:4" x14ac:dyDescent="0.2">
      <c r="A3598" s="24">
        <v>44593</v>
      </c>
      <c r="B3598" s="25" t="s">
        <v>137</v>
      </c>
      <c r="C3598" s="25" t="s">
        <v>26</v>
      </c>
      <c r="D3598" s="51">
        <v>400830</v>
      </c>
    </row>
    <row r="3599" spans="1:4" x14ac:dyDescent="0.2">
      <c r="A3599" s="24">
        <v>44593</v>
      </c>
      <c r="B3599" s="25" t="s">
        <v>118</v>
      </c>
      <c r="C3599" s="25" t="s">
        <v>26</v>
      </c>
      <c r="D3599" s="51">
        <v>51964</v>
      </c>
    </row>
    <row r="3600" spans="1:4" x14ac:dyDescent="0.2">
      <c r="A3600" s="24">
        <v>44593</v>
      </c>
      <c r="B3600" s="25" t="s">
        <v>119</v>
      </c>
      <c r="C3600" s="25" t="s">
        <v>26</v>
      </c>
      <c r="D3600" s="51">
        <v>140277</v>
      </c>
    </row>
    <row r="3601" spans="1:4" x14ac:dyDescent="0.2">
      <c r="A3601" s="24">
        <v>44593</v>
      </c>
      <c r="B3601" s="25" t="s">
        <v>139</v>
      </c>
      <c r="C3601" s="25" t="s">
        <v>26</v>
      </c>
      <c r="D3601" s="51">
        <v>15</v>
      </c>
    </row>
    <row r="3602" spans="1:4" x14ac:dyDescent="0.2">
      <c r="A3602" s="24">
        <v>44593</v>
      </c>
      <c r="B3602" s="25" t="s">
        <v>120</v>
      </c>
      <c r="C3602" s="25" t="s">
        <v>26</v>
      </c>
      <c r="D3602" s="51">
        <v>4984</v>
      </c>
    </row>
    <row r="3603" spans="1:4" x14ac:dyDescent="0.2">
      <c r="A3603" s="24">
        <v>44593</v>
      </c>
      <c r="B3603" s="25" t="s">
        <v>121</v>
      </c>
      <c r="C3603" s="25" t="s">
        <v>26</v>
      </c>
      <c r="D3603" s="51">
        <v>1776</v>
      </c>
    </row>
    <row r="3604" spans="1:4" x14ac:dyDescent="0.2">
      <c r="A3604" s="24">
        <v>44593</v>
      </c>
      <c r="B3604" s="25" t="s">
        <v>122</v>
      </c>
      <c r="C3604" s="25" t="s">
        <v>26</v>
      </c>
      <c r="D3604" s="51">
        <v>35281</v>
      </c>
    </row>
    <row r="3605" spans="1:4" x14ac:dyDescent="0.2">
      <c r="A3605" s="24">
        <v>44593</v>
      </c>
      <c r="B3605" s="25" t="s">
        <v>123</v>
      </c>
      <c r="C3605" s="25" t="s">
        <v>26</v>
      </c>
      <c r="D3605" s="51">
        <v>180145</v>
      </c>
    </row>
    <row r="3606" spans="1:4" x14ac:dyDescent="0.2">
      <c r="A3606" s="24">
        <v>44593</v>
      </c>
      <c r="B3606" s="25" t="s">
        <v>127</v>
      </c>
      <c r="C3606" s="25" t="s">
        <v>26</v>
      </c>
      <c r="D3606" s="51">
        <v>991</v>
      </c>
    </row>
    <row r="3607" spans="1:4" x14ac:dyDescent="0.2">
      <c r="A3607" s="24">
        <v>44593</v>
      </c>
      <c r="B3607" s="25" t="s">
        <v>128</v>
      </c>
      <c r="C3607" s="25" t="s">
        <v>26</v>
      </c>
      <c r="D3607" s="51">
        <v>415</v>
      </c>
    </row>
    <row r="3608" spans="1:4" x14ac:dyDescent="0.2">
      <c r="A3608" s="24">
        <v>44593</v>
      </c>
      <c r="B3608" s="25" t="s">
        <v>117</v>
      </c>
      <c r="C3608" s="25" t="s">
        <v>142</v>
      </c>
      <c r="D3608" s="51">
        <v>392103</v>
      </c>
    </row>
    <row r="3609" spans="1:4" x14ac:dyDescent="0.2">
      <c r="A3609" s="24">
        <v>44593</v>
      </c>
      <c r="B3609" s="25" t="s">
        <v>137</v>
      </c>
      <c r="C3609" s="25" t="s">
        <v>142</v>
      </c>
      <c r="D3609" s="51">
        <v>208243</v>
      </c>
    </row>
    <row r="3610" spans="1:4" x14ac:dyDescent="0.2">
      <c r="A3610" s="24">
        <v>44593</v>
      </c>
      <c r="B3610" s="25" t="s">
        <v>118</v>
      </c>
      <c r="C3610" s="25" t="s">
        <v>142</v>
      </c>
      <c r="D3610" s="51">
        <v>69520</v>
      </c>
    </row>
    <row r="3611" spans="1:4" x14ac:dyDescent="0.2">
      <c r="A3611" s="24">
        <v>44593</v>
      </c>
      <c r="B3611" s="25" t="s">
        <v>119</v>
      </c>
      <c r="C3611" s="25" t="s">
        <v>142</v>
      </c>
      <c r="D3611" s="51">
        <v>90031</v>
      </c>
    </row>
    <row r="3612" spans="1:4" x14ac:dyDescent="0.2">
      <c r="A3612" s="24">
        <v>44593</v>
      </c>
      <c r="B3612" s="25" t="s">
        <v>139</v>
      </c>
      <c r="C3612" s="25" t="s">
        <v>142</v>
      </c>
      <c r="D3612" s="51">
        <v>3</v>
      </c>
    </row>
    <row r="3613" spans="1:4" x14ac:dyDescent="0.2">
      <c r="A3613" s="24">
        <v>44593</v>
      </c>
      <c r="B3613" s="25" t="s">
        <v>120</v>
      </c>
      <c r="C3613" s="25" t="s">
        <v>142</v>
      </c>
      <c r="D3613" s="51">
        <v>5587</v>
      </c>
    </row>
    <row r="3614" spans="1:4" x14ac:dyDescent="0.2">
      <c r="A3614" s="24">
        <v>44593</v>
      </c>
      <c r="B3614" s="25" t="s">
        <v>121</v>
      </c>
      <c r="C3614" s="25" t="s">
        <v>142</v>
      </c>
      <c r="D3614" s="51">
        <v>815</v>
      </c>
    </row>
    <row r="3615" spans="1:4" x14ac:dyDescent="0.2">
      <c r="A3615" s="24">
        <v>44593</v>
      </c>
      <c r="B3615" s="25" t="s">
        <v>122</v>
      </c>
      <c r="C3615" s="25" t="s">
        <v>142</v>
      </c>
      <c r="D3615" s="51">
        <v>107578</v>
      </c>
    </row>
    <row r="3616" spans="1:4" x14ac:dyDescent="0.2">
      <c r="A3616" s="24">
        <v>44593</v>
      </c>
      <c r="B3616" s="25" t="s">
        <v>123</v>
      </c>
      <c r="C3616" s="25" t="s">
        <v>142</v>
      </c>
      <c r="D3616" s="51">
        <v>62320</v>
      </c>
    </row>
    <row r="3617" spans="1:4" x14ac:dyDescent="0.2">
      <c r="A3617" s="24">
        <v>44593</v>
      </c>
      <c r="B3617" s="25" t="s">
        <v>129</v>
      </c>
      <c r="C3617" s="25" t="s">
        <v>142</v>
      </c>
      <c r="D3617" s="51">
        <v>2142</v>
      </c>
    </row>
    <row r="3618" spans="1:4" x14ac:dyDescent="0.2">
      <c r="A3618" s="24">
        <v>44593</v>
      </c>
      <c r="B3618" s="25" t="s">
        <v>130</v>
      </c>
      <c r="C3618" s="25" t="s">
        <v>142</v>
      </c>
      <c r="D3618" s="51">
        <v>2430</v>
      </c>
    </row>
    <row r="3619" spans="1:4" x14ac:dyDescent="0.2">
      <c r="A3619" s="24">
        <v>44593</v>
      </c>
      <c r="B3619" s="25" t="s">
        <v>117</v>
      </c>
      <c r="C3619" s="25" t="s">
        <v>2</v>
      </c>
      <c r="D3619" s="51">
        <v>6040182</v>
      </c>
    </row>
    <row r="3620" spans="1:4" x14ac:dyDescent="0.2">
      <c r="A3620" s="24">
        <v>44593</v>
      </c>
      <c r="B3620" s="25" t="s">
        <v>137</v>
      </c>
      <c r="C3620" s="25" t="s">
        <v>2</v>
      </c>
      <c r="D3620" s="51">
        <v>3131179</v>
      </c>
    </row>
    <row r="3621" spans="1:4" x14ac:dyDescent="0.2">
      <c r="A3621" s="24">
        <v>44593</v>
      </c>
      <c r="B3621" s="25" t="s">
        <v>118</v>
      </c>
      <c r="C3621" s="25" t="s">
        <v>2</v>
      </c>
      <c r="D3621" s="51">
        <v>446173</v>
      </c>
    </row>
    <row r="3622" spans="1:4" x14ac:dyDescent="0.2">
      <c r="A3622" s="24">
        <v>44593</v>
      </c>
      <c r="B3622" s="25" t="s">
        <v>119</v>
      </c>
      <c r="C3622" s="25" t="s">
        <v>2</v>
      </c>
      <c r="D3622" s="51">
        <v>707095</v>
      </c>
    </row>
    <row r="3623" spans="1:4" x14ac:dyDescent="0.2">
      <c r="A3623" s="24">
        <v>44593</v>
      </c>
      <c r="B3623" s="25" t="s">
        <v>138</v>
      </c>
      <c r="C3623" s="25" t="s">
        <v>2</v>
      </c>
      <c r="D3623" s="51">
        <v>2</v>
      </c>
    </row>
    <row r="3624" spans="1:4" x14ac:dyDescent="0.2">
      <c r="A3624" s="24">
        <v>44593</v>
      </c>
      <c r="B3624" s="25" t="s">
        <v>139</v>
      </c>
      <c r="C3624" s="25" t="s">
        <v>2</v>
      </c>
      <c r="D3624" s="51">
        <v>497</v>
      </c>
    </row>
    <row r="3625" spans="1:4" x14ac:dyDescent="0.2">
      <c r="A3625" s="24">
        <v>44593</v>
      </c>
      <c r="B3625" s="25" t="s">
        <v>120</v>
      </c>
      <c r="C3625" s="25" t="s">
        <v>2</v>
      </c>
      <c r="D3625" s="51">
        <v>151437</v>
      </c>
    </row>
    <row r="3626" spans="1:4" x14ac:dyDescent="0.2">
      <c r="A3626" s="24">
        <v>44593</v>
      </c>
      <c r="B3626" s="25" t="s">
        <v>121</v>
      </c>
      <c r="C3626" s="25" t="s">
        <v>2</v>
      </c>
      <c r="D3626" s="51">
        <v>13427</v>
      </c>
    </row>
    <row r="3627" spans="1:4" x14ac:dyDescent="0.2">
      <c r="A3627" s="24">
        <v>44593</v>
      </c>
      <c r="B3627" s="25" t="s">
        <v>122</v>
      </c>
      <c r="C3627" s="25" t="s">
        <v>2</v>
      </c>
      <c r="D3627" s="51">
        <v>851333</v>
      </c>
    </row>
    <row r="3628" spans="1:4" x14ac:dyDescent="0.2">
      <c r="A3628" s="24">
        <v>44593</v>
      </c>
      <c r="B3628" s="25" t="s">
        <v>123</v>
      </c>
      <c r="C3628" s="25" t="s">
        <v>2</v>
      </c>
      <c r="D3628" s="51">
        <v>1318743</v>
      </c>
    </row>
    <row r="3629" spans="1:4" x14ac:dyDescent="0.2">
      <c r="A3629" s="24">
        <v>44593</v>
      </c>
      <c r="B3629" s="25" t="s">
        <v>129</v>
      </c>
      <c r="C3629" s="25" t="s">
        <v>2</v>
      </c>
      <c r="D3629" s="51">
        <v>44855</v>
      </c>
    </row>
    <row r="3630" spans="1:4" x14ac:dyDescent="0.2">
      <c r="A3630" s="24">
        <v>44593</v>
      </c>
      <c r="B3630" s="25" t="s">
        <v>130</v>
      </c>
      <c r="C3630" s="25" t="s">
        <v>2</v>
      </c>
      <c r="D3630" s="51">
        <v>23762</v>
      </c>
    </row>
    <row r="3631" spans="1:4" x14ac:dyDescent="0.2">
      <c r="A3631" s="24">
        <v>44621</v>
      </c>
      <c r="B3631" s="25" t="s">
        <v>117</v>
      </c>
      <c r="C3631" s="25" t="s">
        <v>4</v>
      </c>
      <c r="D3631" s="51">
        <v>5275005</v>
      </c>
    </row>
    <row r="3632" spans="1:4" x14ac:dyDescent="0.2">
      <c r="A3632" s="24">
        <v>44621</v>
      </c>
      <c r="B3632" s="25" t="s">
        <v>131</v>
      </c>
      <c r="C3632" s="25" t="s">
        <v>4</v>
      </c>
      <c r="D3632" s="51">
        <v>104</v>
      </c>
    </row>
    <row r="3633" spans="1:4" x14ac:dyDescent="0.2">
      <c r="A3633" s="24">
        <v>44621</v>
      </c>
      <c r="B3633" s="25" t="s">
        <v>132</v>
      </c>
      <c r="C3633" s="25" t="s">
        <v>4</v>
      </c>
      <c r="D3633" s="51">
        <v>38</v>
      </c>
    </row>
    <row r="3634" spans="1:4" x14ac:dyDescent="0.2">
      <c r="A3634" s="24">
        <v>44621</v>
      </c>
      <c r="B3634" s="25" t="s">
        <v>133</v>
      </c>
      <c r="C3634" s="25" t="s">
        <v>4</v>
      </c>
      <c r="D3634" s="51">
        <v>14</v>
      </c>
    </row>
    <row r="3635" spans="1:4" x14ac:dyDescent="0.2">
      <c r="A3635" s="24">
        <v>44621</v>
      </c>
      <c r="B3635" s="25" t="s">
        <v>137</v>
      </c>
      <c r="C3635" s="25" t="s">
        <v>4</v>
      </c>
      <c r="D3635" s="51">
        <v>3460409</v>
      </c>
    </row>
    <row r="3636" spans="1:4" x14ac:dyDescent="0.2">
      <c r="A3636" s="24">
        <v>44621</v>
      </c>
      <c r="B3636" s="25" t="s">
        <v>118</v>
      </c>
      <c r="C3636" s="25" t="s">
        <v>4</v>
      </c>
      <c r="D3636" s="51">
        <v>542260</v>
      </c>
    </row>
    <row r="3637" spans="1:4" x14ac:dyDescent="0.2">
      <c r="A3637" s="24">
        <v>44621</v>
      </c>
      <c r="B3637" s="25" t="s">
        <v>134</v>
      </c>
      <c r="C3637" s="25" t="s">
        <v>4</v>
      </c>
      <c r="D3637" s="51">
        <v>3</v>
      </c>
    </row>
    <row r="3638" spans="1:4" x14ac:dyDescent="0.2">
      <c r="A3638" s="24">
        <v>44621</v>
      </c>
      <c r="B3638" s="25" t="s">
        <v>119</v>
      </c>
      <c r="C3638" s="25" t="s">
        <v>4</v>
      </c>
      <c r="D3638" s="51">
        <v>896181</v>
      </c>
    </row>
    <row r="3639" spans="1:4" x14ac:dyDescent="0.2">
      <c r="A3639" s="24">
        <v>44621</v>
      </c>
      <c r="B3639" s="25" t="s">
        <v>138</v>
      </c>
      <c r="C3639" s="25" t="s">
        <v>4</v>
      </c>
      <c r="D3639" s="51">
        <v>18</v>
      </c>
    </row>
    <row r="3640" spans="1:4" x14ac:dyDescent="0.2">
      <c r="A3640" s="24">
        <v>44621</v>
      </c>
      <c r="B3640" s="25" t="s">
        <v>139</v>
      </c>
      <c r="C3640" s="25" t="s">
        <v>4</v>
      </c>
      <c r="D3640" s="51">
        <v>503</v>
      </c>
    </row>
    <row r="3641" spans="1:4" x14ac:dyDescent="0.2">
      <c r="A3641" s="24">
        <v>44621</v>
      </c>
      <c r="B3641" s="25" t="s">
        <v>120</v>
      </c>
      <c r="C3641" s="25" t="s">
        <v>4</v>
      </c>
      <c r="D3641" s="51">
        <v>52935</v>
      </c>
    </row>
    <row r="3642" spans="1:4" x14ac:dyDescent="0.2">
      <c r="A3642" s="24">
        <v>44621</v>
      </c>
      <c r="B3642" s="25" t="s">
        <v>121</v>
      </c>
      <c r="C3642" s="25" t="s">
        <v>4</v>
      </c>
      <c r="D3642" s="51">
        <v>23571</v>
      </c>
    </row>
    <row r="3643" spans="1:4" x14ac:dyDescent="0.2">
      <c r="A3643" s="24">
        <v>44621</v>
      </c>
      <c r="B3643" s="25" t="s">
        <v>140</v>
      </c>
      <c r="C3643" s="25" t="s">
        <v>4</v>
      </c>
      <c r="D3643" s="51">
        <v>21147</v>
      </c>
    </row>
    <row r="3644" spans="1:4" x14ac:dyDescent="0.2">
      <c r="A3644" s="24">
        <v>44621</v>
      </c>
      <c r="B3644" s="25" t="s">
        <v>122</v>
      </c>
      <c r="C3644" s="25" t="s">
        <v>4</v>
      </c>
      <c r="D3644" s="51">
        <v>1469333</v>
      </c>
    </row>
    <row r="3645" spans="1:4" x14ac:dyDescent="0.2">
      <c r="A3645" s="24">
        <v>44621</v>
      </c>
      <c r="B3645" s="25" t="s">
        <v>123</v>
      </c>
      <c r="C3645" s="25" t="s">
        <v>4</v>
      </c>
      <c r="D3645" s="51">
        <v>2664934</v>
      </c>
    </row>
    <row r="3646" spans="1:4" x14ac:dyDescent="0.2">
      <c r="A3646" s="24">
        <v>44621</v>
      </c>
      <c r="B3646" s="25" t="s">
        <v>117</v>
      </c>
      <c r="C3646" s="25" t="s">
        <v>8</v>
      </c>
      <c r="D3646" s="51">
        <v>215463</v>
      </c>
    </row>
    <row r="3647" spans="1:4" x14ac:dyDescent="0.2">
      <c r="A3647" s="24">
        <v>44621</v>
      </c>
      <c r="B3647" s="25" t="s">
        <v>137</v>
      </c>
      <c r="C3647" s="25" t="s">
        <v>8</v>
      </c>
      <c r="D3647" s="51">
        <v>236344</v>
      </c>
    </row>
    <row r="3648" spans="1:4" x14ac:dyDescent="0.2">
      <c r="A3648" s="24">
        <v>44621</v>
      </c>
      <c r="B3648" s="25" t="s">
        <v>118</v>
      </c>
      <c r="C3648" s="25" t="s">
        <v>8</v>
      </c>
      <c r="D3648" s="51">
        <v>31567</v>
      </c>
    </row>
    <row r="3649" spans="1:4" x14ac:dyDescent="0.2">
      <c r="A3649" s="24">
        <v>44621</v>
      </c>
      <c r="B3649" s="25" t="s">
        <v>119</v>
      </c>
      <c r="C3649" s="25" t="s">
        <v>8</v>
      </c>
      <c r="D3649" s="51">
        <v>15266</v>
      </c>
    </row>
    <row r="3650" spans="1:4" x14ac:dyDescent="0.2">
      <c r="A3650" s="24">
        <v>44621</v>
      </c>
      <c r="B3650" s="25" t="s">
        <v>139</v>
      </c>
      <c r="C3650" s="25" t="s">
        <v>8</v>
      </c>
      <c r="D3650" s="51">
        <v>5</v>
      </c>
    </row>
    <row r="3651" spans="1:4" x14ac:dyDescent="0.2">
      <c r="A3651" s="24">
        <v>44621</v>
      </c>
      <c r="B3651" s="25" t="s">
        <v>120</v>
      </c>
      <c r="C3651" s="25" t="s">
        <v>8</v>
      </c>
      <c r="D3651" s="51">
        <v>3318</v>
      </c>
    </row>
    <row r="3652" spans="1:4" x14ac:dyDescent="0.2">
      <c r="A3652" s="24">
        <v>44621</v>
      </c>
      <c r="B3652" s="25" t="s">
        <v>121</v>
      </c>
      <c r="C3652" s="25" t="s">
        <v>8</v>
      </c>
      <c r="D3652" s="51">
        <v>1222</v>
      </c>
    </row>
    <row r="3653" spans="1:4" x14ac:dyDescent="0.2">
      <c r="A3653" s="24">
        <v>44621</v>
      </c>
      <c r="B3653" s="25" t="s">
        <v>122</v>
      </c>
      <c r="C3653" s="25" t="s">
        <v>8</v>
      </c>
      <c r="D3653" s="51">
        <v>9308</v>
      </c>
    </row>
    <row r="3654" spans="1:4" x14ac:dyDescent="0.2">
      <c r="A3654" s="24">
        <v>44621</v>
      </c>
      <c r="B3654" s="25" t="s">
        <v>123</v>
      </c>
      <c r="C3654" s="25" t="s">
        <v>8</v>
      </c>
      <c r="D3654" s="51">
        <v>108081</v>
      </c>
    </row>
    <row r="3655" spans="1:4" x14ac:dyDescent="0.2">
      <c r="A3655" s="24">
        <v>44621</v>
      </c>
      <c r="B3655" s="25" t="s">
        <v>124</v>
      </c>
      <c r="C3655" s="25" t="s">
        <v>8</v>
      </c>
      <c r="D3655" s="51">
        <v>11094</v>
      </c>
    </row>
    <row r="3656" spans="1:4" x14ac:dyDescent="0.2">
      <c r="A3656" s="24">
        <v>44621</v>
      </c>
      <c r="B3656" s="25" t="s">
        <v>125</v>
      </c>
      <c r="C3656" s="25" t="s">
        <v>8</v>
      </c>
      <c r="D3656" s="51">
        <v>5201</v>
      </c>
    </row>
    <row r="3657" spans="1:4" x14ac:dyDescent="0.2">
      <c r="A3657" s="24">
        <v>44621</v>
      </c>
      <c r="B3657" s="25" t="s">
        <v>117</v>
      </c>
      <c r="C3657" s="25" t="s">
        <v>26</v>
      </c>
      <c r="D3657" s="51">
        <v>788385</v>
      </c>
    </row>
    <row r="3658" spans="1:4" x14ac:dyDescent="0.2">
      <c r="A3658" s="24">
        <v>44621</v>
      </c>
      <c r="B3658" s="25" t="s">
        <v>137</v>
      </c>
      <c r="C3658" s="25" t="s">
        <v>26</v>
      </c>
      <c r="D3658" s="51">
        <v>589751</v>
      </c>
    </row>
    <row r="3659" spans="1:4" x14ac:dyDescent="0.2">
      <c r="A3659" s="24">
        <v>44621</v>
      </c>
      <c r="B3659" s="25" t="s">
        <v>118</v>
      </c>
      <c r="C3659" s="25" t="s">
        <v>26</v>
      </c>
      <c r="D3659" s="51">
        <v>56517</v>
      </c>
    </row>
    <row r="3660" spans="1:4" x14ac:dyDescent="0.2">
      <c r="A3660" s="24">
        <v>44621</v>
      </c>
      <c r="B3660" s="25" t="s">
        <v>119</v>
      </c>
      <c r="C3660" s="25" t="s">
        <v>26</v>
      </c>
      <c r="D3660" s="51">
        <v>226808</v>
      </c>
    </row>
    <row r="3661" spans="1:4" x14ac:dyDescent="0.2">
      <c r="A3661" s="24">
        <v>44621</v>
      </c>
      <c r="B3661" s="25" t="s">
        <v>139</v>
      </c>
      <c r="C3661" s="25" t="s">
        <v>26</v>
      </c>
      <c r="D3661" s="51">
        <v>21</v>
      </c>
    </row>
    <row r="3662" spans="1:4" x14ac:dyDescent="0.2">
      <c r="A3662" s="24">
        <v>44621</v>
      </c>
      <c r="B3662" s="25" t="s">
        <v>120</v>
      </c>
      <c r="C3662" s="25" t="s">
        <v>26</v>
      </c>
      <c r="D3662" s="51">
        <v>6799</v>
      </c>
    </row>
    <row r="3663" spans="1:4" x14ac:dyDescent="0.2">
      <c r="A3663" s="24">
        <v>44621</v>
      </c>
      <c r="B3663" s="25" t="s">
        <v>121</v>
      </c>
      <c r="C3663" s="25" t="s">
        <v>26</v>
      </c>
      <c r="D3663" s="51">
        <v>2527</v>
      </c>
    </row>
    <row r="3664" spans="1:4" x14ac:dyDescent="0.2">
      <c r="A3664" s="24">
        <v>44621</v>
      </c>
      <c r="B3664" s="25" t="s">
        <v>122</v>
      </c>
      <c r="C3664" s="25" t="s">
        <v>26</v>
      </c>
      <c r="D3664" s="51">
        <v>36097</v>
      </c>
    </row>
    <row r="3665" spans="1:4" x14ac:dyDescent="0.2">
      <c r="A3665" s="24">
        <v>44621</v>
      </c>
      <c r="B3665" s="25" t="s">
        <v>123</v>
      </c>
      <c r="C3665" s="25" t="s">
        <v>26</v>
      </c>
      <c r="D3665" s="51">
        <v>266341</v>
      </c>
    </row>
    <row r="3666" spans="1:4" x14ac:dyDescent="0.2">
      <c r="A3666" s="24">
        <v>44621</v>
      </c>
      <c r="B3666" s="25" t="s">
        <v>127</v>
      </c>
      <c r="C3666" s="25" t="s">
        <v>26</v>
      </c>
      <c r="D3666" s="51">
        <v>1576</v>
      </c>
    </row>
    <row r="3667" spans="1:4" x14ac:dyDescent="0.2">
      <c r="A3667" s="24">
        <v>44621</v>
      </c>
      <c r="B3667" s="25" t="s">
        <v>128</v>
      </c>
      <c r="C3667" s="25" t="s">
        <v>26</v>
      </c>
      <c r="D3667" s="51">
        <v>671</v>
      </c>
    </row>
    <row r="3668" spans="1:4" x14ac:dyDescent="0.2">
      <c r="A3668" s="24">
        <v>44621</v>
      </c>
      <c r="B3668" s="25" t="s">
        <v>117</v>
      </c>
      <c r="C3668" s="25" t="s">
        <v>142</v>
      </c>
      <c r="D3668" s="51">
        <v>545201</v>
      </c>
    </row>
    <row r="3669" spans="1:4" x14ac:dyDescent="0.2">
      <c r="A3669" s="24">
        <v>44621</v>
      </c>
      <c r="B3669" s="25" t="s">
        <v>137</v>
      </c>
      <c r="C3669" s="25" t="s">
        <v>142</v>
      </c>
      <c r="D3669" s="51">
        <v>298153</v>
      </c>
    </row>
    <row r="3670" spans="1:4" x14ac:dyDescent="0.2">
      <c r="A3670" s="24">
        <v>44621</v>
      </c>
      <c r="B3670" s="25" t="s">
        <v>118</v>
      </c>
      <c r="C3670" s="25" t="s">
        <v>142</v>
      </c>
      <c r="D3670" s="51">
        <v>70762</v>
      </c>
    </row>
    <row r="3671" spans="1:4" x14ac:dyDescent="0.2">
      <c r="A3671" s="24">
        <v>44621</v>
      </c>
      <c r="B3671" s="25" t="s">
        <v>119</v>
      </c>
      <c r="C3671" s="25" t="s">
        <v>142</v>
      </c>
      <c r="D3671" s="51">
        <v>184842</v>
      </c>
    </row>
    <row r="3672" spans="1:4" x14ac:dyDescent="0.2">
      <c r="A3672" s="24">
        <v>44621</v>
      </c>
      <c r="B3672" s="25" t="s">
        <v>139</v>
      </c>
      <c r="C3672" s="25" t="s">
        <v>142</v>
      </c>
      <c r="D3672" s="51">
        <v>5</v>
      </c>
    </row>
    <row r="3673" spans="1:4" x14ac:dyDescent="0.2">
      <c r="A3673" s="24">
        <v>44621</v>
      </c>
      <c r="B3673" s="25" t="s">
        <v>120</v>
      </c>
      <c r="C3673" s="25" t="s">
        <v>142</v>
      </c>
      <c r="D3673" s="51">
        <v>7699</v>
      </c>
    </row>
    <row r="3674" spans="1:4" x14ac:dyDescent="0.2">
      <c r="A3674" s="24">
        <v>44621</v>
      </c>
      <c r="B3674" s="25" t="s">
        <v>121</v>
      </c>
      <c r="C3674" s="25" t="s">
        <v>142</v>
      </c>
      <c r="D3674" s="51">
        <v>979</v>
      </c>
    </row>
    <row r="3675" spans="1:4" x14ac:dyDescent="0.2">
      <c r="A3675" s="24">
        <v>44621</v>
      </c>
      <c r="B3675" s="25" t="s">
        <v>122</v>
      </c>
      <c r="C3675" s="25" t="s">
        <v>142</v>
      </c>
      <c r="D3675" s="51">
        <v>123529</v>
      </c>
    </row>
    <row r="3676" spans="1:4" x14ac:dyDescent="0.2">
      <c r="A3676" s="24">
        <v>44621</v>
      </c>
      <c r="B3676" s="25" t="s">
        <v>123</v>
      </c>
      <c r="C3676" s="25" t="s">
        <v>142</v>
      </c>
      <c r="D3676" s="51">
        <v>80905</v>
      </c>
    </row>
    <row r="3677" spans="1:4" x14ac:dyDescent="0.2">
      <c r="A3677" s="24">
        <v>44621</v>
      </c>
      <c r="B3677" s="25" t="s">
        <v>129</v>
      </c>
      <c r="C3677" s="25" t="s">
        <v>142</v>
      </c>
      <c r="D3677" s="51">
        <v>3164</v>
      </c>
    </row>
    <row r="3678" spans="1:4" x14ac:dyDescent="0.2">
      <c r="A3678" s="24">
        <v>44621</v>
      </c>
      <c r="B3678" s="25" t="s">
        <v>130</v>
      </c>
      <c r="C3678" s="25" t="s">
        <v>142</v>
      </c>
      <c r="D3678" s="51">
        <v>3428</v>
      </c>
    </row>
    <row r="3679" spans="1:4" x14ac:dyDescent="0.2">
      <c r="A3679" s="24">
        <v>44621</v>
      </c>
      <c r="B3679" s="25" t="s">
        <v>117</v>
      </c>
      <c r="C3679" s="25" t="s">
        <v>2</v>
      </c>
      <c r="D3679" s="51">
        <v>7671085</v>
      </c>
    </row>
    <row r="3680" spans="1:4" x14ac:dyDescent="0.2">
      <c r="A3680" s="24">
        <v>44621</v>
      </c>
      <c r="B3680" s="25" t="s">
        <v>137</v>
      </c>
      <c r="C3680" s="25" t="s">
        <v>2</v>
      </c>
      <c r="D3680" s="51">
        <v>4111466</v>
      </c>
    </row>
    <row r="3681" spans="1:4" x14ac:dyDescent="0.2">
      <c r="A3681" s="24">
        <v>44621</v>
      </c>
      <c r="B3681" s="25" t="s">
        <v>118</v>
      </c>
      <c r="C3681" s="25" t="s">
        <v>2</v>
      </c>
      <c r="D3681" s="51">
        <v>420388</v>
      </c>
    </row>
    <row r="3682" spans="1:4" x14ac:dyDescent="0.2">
      <c r="A3682" s="24">
        <v>44621</v>
      </c>
      <c r="B3682" s="25" t="s">
        <v>119</v>
      </c>
      <c r="C3682" s="25" t="s">
        <v>2</v>
      </c>
      <c r="D3682" s="51">
        <v>1170947</v>
      </c>
    </row>
    <row r="3683" spans="1:4" x14ac:dyDescent="0.2">
      <c r="A3683" s="24">
        <v>44621</v>
      </c>
      <c r="B3683" s="25" t="s">
        <v>138</v>
      </c>
      <c r="C3683" s="25" t="s">
        <v>2</v>
      </c>
      <c r="D3683" s="51">
        <v>2</v>
      </c>
    </row>
    <row r="3684" spans="1:4" x14ac:dyDescent="0.2">
      <c r="A3684" s="24">
        <v>44621</v>
      </c>
      <c r="B3684" s="25" t="s">
        <v>139</v>
      </c>
      <c r="C3684" s="25" t="s">
        <v>2</v>
      </c>
      <c r="D3684" s="51">
        <v>529</v>
      </c>
    </row>
    <row r="3685" spans="1:4" x14ac:dyDescent="0.2">
      <c r="A3685" s="24">
        <v>44621</v>
      </c>
      <c r="B3685" s="25" t="s">
        <v>120</v>
      </c>
      <c r="C3685" s="25" t="s">
        <v>2</v>
      </c>
      <c r="D3685" s="51">
        <v>189739</v>
      </c>
    </row>
    <row r="3686" spans="1:4" x14ac:dyDescent="0.2">
      <c r="A3686" s="24">
        <v>44621</v>
      </c>
      <c r="B3686" s="25" t="s">
        <v>121</v>
      </c>
      <c r="C3686" s="25" t="s">
        <v>2</v>
      </c>
      <c r="D3686" s="51">
        <v>16367</v>
      </c>
    </row>
    <row r="3687" spans="1:4" x14ac:dyDescent="0.2">
      <c r="A3687" s="24">
        <v>44621</v>
      </c>
      <c r="B3687" s="25" t="s">
        <v>122</v>
      </c>
      <c r="C3687" s="25" t="s">
        <v>2</v>
      </c>
      <c r="D3687" s="51">
        <v>911751</v>
      </c>
    </row>
    <row r="3688" spans="1:4" x14ac:dyDescent="0.2">
      <c r="A3688" s="24">
        <v>44621</v>
      </c>
      <c r="B3688" s="25" t="s">
        <v>123</v>
      </c>
      <c r="C3688" s="25" t="s">
        <v>2</v>
      </c>
      <c r="D3688" s="51">
        <v>1614839</v>
      </c>
    </row>
    <row r="3689" spans="1:4" x14ac:dyDescent="0.2">
      <c r="A3689" s="24">
        <v>44621</v>
      </c>
      <c r="B3689" s="25" t="s">
        <v>129</v>
      </c>
      <c r="C3689" s="25" t="s">
        <v>2</v>
      </c>
      <c r="D3689" s="51">
        <v>62264</v>
      </c>
    </row>
    <row r="3690" spans="1:4" x14ac:dyDescent="0.2">
      <c r="A3690" s="24">
        <v>44621</v>
      </c>
      <c r="B3690" s="25" t="s">
        <v>130</v>
      </c>
      <c r="C3690" s="25" t="s">
        <v>2</v>
      </c>
      <c r="D3690" s="51">
        <v>26392</v>
      </c>
    </row>
    <row r="3691" spans="1:4" x14ac:dyDescent="0.2">
      <c r="A3691" s="24">
        <v>44652</v>
      </c>
      <c r="B3691" s="25" t="s">
        <v>117</v>
      </c>
      <c r="C3691" s="25" t="s">
        <v>4</v>
      </c>
      <c r="D3691" s="51">
        <v>5006854</v>
      </c>
    </row>
    <row r="3692" spans="1:4" x14ac:dyDescent="0.2">
      <c r="A3692" s="24">
        <v>44652</v>
      </c>
      <c r="B3692" s="25" t="s">
        <v>131</v>
      </c>
      <c r="C3692" s="25" t="s">
        <v>4</v>
      </c>
      <c r="D3692" s="51">
        <v>149</v>
      </c>
    </row>
    <row r="3693" spans="1:4" x14ac:dyDescent="0.2">
      <c r="A3693" s="24">
        <v>44652</v>
      </c>
      <c r="B3693" s="25" t="s">
        <v>132</v>
      </c>
      <c r="C3693" s="25" t="s">
        <v>4</v>
      </c>
      <c r="D3693" s="51">
        <v>109</v>
      </c>
    </row>
    <row r="3694" spans="1:4" x14ac:dyDescent="0.2">
      <c r="A3694" s="24">
        <v>44652</v>
      </c>
      <c r="B3694" s="25" t="s">
        <v>133</v>
      </c>
      <c r="C3694" s="25" t="s">
        <v>4</v>
      </c>
      <c r="D3694" s="51">
        <v>148</v>
      </c>
    </row>
    <row r="3695" spans="1:4" x14ac:dyDescent="0.2">
      <c r="A3695" s="24">
        <v>44652</v>
      </c>
      <c r="B3695" s="25" t="s">
        <v>137</v>
      </c>
      <c r="C3695" s="25" t="s">
        <v>4</v>
      </c>
      <c r="D3695" s="51">
        <v>3146796</v>
      </c>
    </row>
    <row r="3696" spans="1:4" x14ac:dyDescent="0.2">
      <c r="A3696" s="24">
        <v>44652</v>
      </c>
      <c r="B3696" s="25" t="s">
        <v>118</v>
      </c>
      <c r="C3696" s="25" t="s">
        <v>4</v>
      </c>
      <c r="D3696" s="51">
        <v>663096</v>
      </c>
    </row>
    <row r="3697" spans="1:4" x14ac:dyDescent="0.2">
      <c r="A3697" s="24">
        <v>44652</v>
      </c>
      <c r="B3697" s="25" t="s">
        <v>134</v>
      </c>
      <c r="C3697" s="25" t="s">
        <v>4</v>
      </c>
      <c r="D3697" s="51">
        <v>12</v>
      </c>
    </row>
    <row r="3698" spans="1:4" x14ac:dyDescent="0.2">
      <c r="A3698" s="24">
        <v>44652</v>
      </c>
      <c r="B3698" s="25" t="s">
        <v>135</v>
      </c>
      <c r="C3698" s="25" t="s">
        <v>4</v>
      </c>
      <c r="D3698" s="51">
        <v>3</v>
      </c>
    </row>
    <row r="3699" spans="1:4" x14ac:dyDescent="0.2">
      <c r="A3699" s="24">
        <v>44652</v>
      </c>
      <c r="B3699" s="25" t="s">
        <v>119</v>
      </c>
      <c r="C3699" s="25" t="s">
        <v>4</v>
      </c>
      <c r="D3699" s="51">
        <v>647357</v>
      </c>
    </row>
    <row r="3700" spans="1:4" x14ac:dyDescent="0.2">
      <c r="A3700" s="24">
        <v>44652</v>
      </c>
      <c r="B3700" s="25" t="s">
        <v>138</v>
      </c>
      <c r="C3700" s="25" t="s">
        <v>4</v>
      </c>
      <c r="D3700" s="51">
        <v>6</v>
      </c>
    </row>
    <row r="3701" spans="1:4" x14ac:dyDescent="0.2">
      <c r="A3701" s="24">
        <v>44652</v>
      </c>
      <c r="B3701" s="25" t="s">
        <v>139</v>
      </c>
      <c r="C3701" s="25" t="s">
        <v>4</v>
      </c>
      <c r="D3701" s="51">
        <v>367</v>
      </c>
    </row>
    <row r="3702" spans="1:4" x14ac:dyDescent="0.2">
      <c r="A3702" s="24">
        <v>44652</v>
      </c>
      <c r="B3702" s="25" t="s">
        <v>120</v>
      </c>
      <c r="C3702" s="25" t="s">
        <v>4</v>
      </c>
      <c r="D3702" s="51">
        <v>45399</v>
      </c>
    </row>
    <row r="3703" spans="1:4" x14ac:dyDescent="0.2">
      <c r="A3703" s="24">
        <v>44652</v>
      </c>
      <c r="B3703" s="25" t="s">
        <v>121</v>
      </c>
      <c r="C3703" s="25" t="s">
        <v>4</v>
      </c>
      <c r="D3703" s="51">
        <v>20971</v>
      </c>
    </row>
    <row r="3704" spans="1:4" x14ac:dyDescent="0.2">
      <c r="A3704" s="24">
        <v>44652</v>
      </c>
      <c r="B3704" s="25" t="s">
        <v>140</v>
      </c>
      <c r="C3704" s="25" t="s">
        <v>4</v>
      </c>
      <c r="D3704" s="51">
        <v>19661</v>
      </c>
    </row>
    <row r="3705" spans="1:4" x14ac:dyDescent="0.2">
      <c r="A3705" s="24">
        <v>44652</v>
      </c>
      <c r="B3705" s="25" t="s">
        <v>122</v>
      </c>
      <c r="C3705" s="25" t="s">
        <v>4</v>
      </c>
      <c r="D3705" s="51">
        <v>574559</v>
      </c>
    </row>
    <row r="3706" spans="1:4" x14ac:dyDescent="0.2">
      <c r="A3706" s="24">
        <v>44652</v>
      </c>
      <c r="B3706" s="25" t="s">
        <v>123</v>
      </c>
      <c r="C3706" s="25" t="s">
        <v>4</v>
      </c>
      <c r="D3706" s="51">
        <v>2488231</v>
      </c>
    </row>
    <row r="3707" spans="1:4" x14ac:dyDescent="0.2">
      <c r="A3707" s="24">
        <v>44652</v>
      </c>
      <c r="B3707" s="25" t="s">
        <v>117</v>
      </c>
      <c r="C3707" s="25" t="s">
        <v>8</v>
      </c>
      <c r="D3707" s="51">
        <v>424839</v>
      </c>
    </row>
    <row r="3708" spans="1:4" x14ac:dyDescent="0.2">
      <c r="A3708" s="24">
        <v>44652</v>
      </c>
      <c r="B3708" s="25" t="s">
        <v>137</v>
      </c>
      <c r="C3708" s="25" t="s">
        <v>8</v>
      </c>
      <c r="D3708" s="51">
        <v>352454</v>
      </c>
    </row>
    <row r="3709" spans="1:4" x14ac:dyDescent="0.2">
      <c r="A3709" s="24">
        <v>44652</v>
      </c>
      <c r="B3709" s="25" t="s">
        <v>118</v>
      </c>
      <c r="C3709" s="25" t="s">
        <v>8</v>
      </c>
      <c r="D3709" s="51">
        <v>120905</v>
      </c>
    </row>
    <row r="3710" spans="1:4" x14ac:dyDescent="0.2">
      <c r="A3710" s="24">
        <v>44652</v>
      </c>
      <c r="B3710" s="25" t="s">
        <v>119</v>
      </c>
      <c r="C3710" s="25" t="s">
        <v>8</v>
      </c>
      <c r="D3710" s="51">
        <v>18312</v>
      </c>
    </row>
    <row r="3711" spans="1:4" x14ac:dyDescent="0.2">
      <c r="A3711" s="24">
        <v>44652</v>
      </c>
      <c r="B3711" s="25" t="s">
        <v>138</v>
      </c>
      <c r="C3711" s="25" t="s">
        <v>8</v>
      </c>
      <c r="D3711" s="51">
        <v>63</v>
      </c>
    </row>
    <row r="3712" spans="1:4" x14ac:dyDescent="0.2">
      <c r="A3712" s="24">
        <v>44652</v>
      </c>
      <c r="B3712" s="25" t="s">
        <v>139</v>
      </c>
      <c r="C3712" s="25" t="s">
        <v>8</v>
      </c>
      <c r="D3712" s="51">
        <v>28</v>
      </c>
    </row>
    <row r="3713" spans="1:4" x14ac:dyDescent="0.2">
      <c r="A3713" s="24">
        <v>44652</v>
      </c>
      <c r="B3713" s="25" t="s">
        <v>120</v>
      </c>
      <c r="C3713" s="25" t="s">
        <v>8</v>
      </c>
      <c r="D3713" s="51">
        <v>3903</v>
      </c>
    </row>
    <row r="3714" spans="1:4" x14ac:dyDescent="0.2">
      <c r="A3714" s="24">
        <v>44652</v>
      </c>
      <c r="B3714" s="25" t="s">
        <v>121</v>
      </c>
      <c r="C3714" s="25" t="s">
        <v>8</v>
      </c>
      <c r="D3714" s="51">
        <v>1305</v>
      </c>
    </row>
    <row r="3715" spans="1:4" x14ac:dyDescent="0.2">
      <c r="A3715" s="24">
        <v>44652</v>
      </c>
      <c r="B3715" s="25" t="s">
        <v>122</v>
      </c>
      <c r="C3715" s="25" t="s">
        <v>8</v>
      </c>
      <c r="D3715" s="51">
        <v>3866</v>
      </c>
    </row>
    <row r="3716" spans="1:4" x14ac:dyDescent="0.2">
      <c r="A3716" s="24">
        <v>44652</v>
      </c>
      <c r="B3716" s="25" t="s">
        <v>123</v>
      </c>
      <c r="C3716" s="25" t="s">
        <v>8</v>
      </c>
      <c r="D3716" s="51">
        <v>141577</v>
      </c>
    </row>
    <row r="3717" spans="1:4" x14ac:dyDescent="0.2">
      <c r="A3717" s="24">
        <v>44652</v>
      </c>
      <c r="B3717" s="25" t="s">
        <v>124</v>
      </c>
      <c r="C3717" s="25" t="s">
        <v>8</v>
      </c>
      <c r="D3717" s="51">
        <v>12096</v>
      </c>
    </row>
    <row r="3718" spans="1:4" x14ac:dyDescent="0.2">
      <c r="A3718" s="24">
        <v>44652</v>
      </c>
      <c r="B3718" s="25" t="s">
        <v>125</v>
      </c>
      <c r="C3718" s="25" t="s">
        <v>8</v>
      </c>
      <c r="D3718" s="51">
        <v>8094</v>
      </c>
    </row>
    <row r="3719" spans="1:4" x14ac:dyDescent="0.2">
      <c r="A3719" s="24">
        <v>44652</v>
      </c>
      <c r="B3719" s="25" t="s">
        <v>117</v>
      </c>
      <c r="C3719" s="25" t="s">
        <v>26</v>
      </c>
      <c r="D3719" s="51">
        <v>951394</v>
      </c>
    </row>
    <row r="3720" spans="1:4" x14ac:dyDescent="0.2">
      <c r="A3720" s="24">
        <v>44652</v>
      </c>
      <c r="B3720" s="25" t="s">
        <v>137</v>
      </c>
      <c r="C3720" s="25" t="s">
        <v>26</v>
      </c>
      <c r="D3720" s="51">
        <v>615146</v>
      </c>
    </row>
    <row r="3721" spans="1:4" x14ac:dyDescent="0.2">
      <c r="A3721" s="24">
        <v>44652</v>
      </c>
      <c r="B3721" s="25" t="s">
        <v>118</v>
      </c>
      <c r="C3721" s="25" t="s">
        <v>26</v>
      </c>
      <c r="D3721" s="51">
        <v>125332</v>
      </c>
    </row>
    <row r="3722" spans="1:4" x14ac:dyDescent="0.2">
      <c r="A3722" s="24">
        <v>44652</v>
      </c>
      <c r="B3722" s="25" t="s">
        <v>119</v>
      </c>
      <c r="C3722" s="25" t="s">
        <v>26</v>
      </c>
      <c r="D3722" s="51">
        <v>174463</v>
      </c>
    </row>
    <row r="3723" spans="1:4" x14ac:dyDescent="0.2">
      <c r="A3723" s="24">
        <v>44652</v>
      </c>
      <c r="B3723" s="25" t="s">
        <v>139</v>
      </c>
      <c r="C3723" s="25" t="s">
        <v>26</v>
      </c>
      <c r="D3723" s="51">
        <v>6</v>
      </c>
    </row>
    <row r="3724" spans="1:4" x14ac:dyDescent="0.2">
      <c r="A3724" s="24">
        <v>44652</v>
      </c>
      <c r="B3724" s="25" t="s">
        <v>120</v>
      </c>
      <c r="C3724" s="25" t="s">
        <v>26</v>
      </c>
      <c r="D3724" s="51">
        <v>6552</v>
      </c>
    </row>
    <row r="3725" spans="1:4" x14ac:dyDescent="0.2">
      <c r="A3725" s="24">
        <v>44652</v>
      </c>
      <c r="B3725" s="25" t="s">
        <v>121</v>
      </c>
      <c r="C3725" s="25" t="s">
        <v>26</v>
      </c>
      <c r="D3725" s="51">
        <v>2358</v>
      </c>
    </row>
    <row r="3726" spans="1:4" x14ac:dyDescent="0.2">
      <c r="A3726" s="24">
        <v>44652</v>
      </c>
      <c r="B3726" s="25" t="s">
        <v>122</v>
      </c>
      <c r="C3726" s="25" t="s">
        <v>26</v>
      </c>
      <c r="D3726" s="51">
        <v>13166</v>
      </c>
    </row>
    <row r="3727" spans="1:4" x14ac:dyDescent="0.2">
      <c r="A3727" s="24">
        <v>44652</v>
      </c>
      <c r="B3727" s="25" t="s">
        <v>123</v>
      </c>
      <c r="C3727" s="25" t="s">
        <v>26</v>
      </c>
      <c r="D3727" s="51">
        <v>278917</v>
      </c>
    </row>
    <row r="3728" spans="1:4" x14ac:dyDescent="0.2">
      <c r="A3728" s="24">
        <v>44652</v>
      </c>
      <c r="B3728" s="25" t="s">
        <v>127</v>
      </c>
      <c r="C3728" s="25" t="s">
        <v>26</v>
      </c>
      <c r="D3728" s="51">
        <v>1659</v>
      </c>
    </row>
    <row r="3729" spans="1:4" x14ac:dyDescent="0.2">
      <c r="A3729" s="24">
        <v>44652</v>
      </c>
      <c r="B3729" s="25" t="s">
        <v>128</v>
      </c>
      <c r="C3729" s="25" t="s">
        <v>26</v>
      </c>
      <c r="D3729" s="51">
        <v>896</v>
      </c>
    </row>
    <row r="3730" spans="1:4" x14ac:dyDescent="0.2">
      <c r="A3730" s="24">
        <v>44652</v>
      </c>
      <c r="B3730" s="25" t="s">
        <v>117</v>
      </c>
      <c r="C3730" s="25" t="s">
        <v>142</v>
      </c>
      <c r="D3730" s="51">
        <v>604787</v>
      </c>
    </row>
    <row r="3731" spans="1:4" x14ac:dyDescent="0.2">
      <c r="A3731" s="24">
        <v>44652</v>
      </c>
      <c r="B3731" s="25" t="s">
        <v>137</v>
      </c>
      <c r="C3731" s="25" t="s">
        <v>142</v>
      </c>
      <c r="D3731" s="51">
        <v>316827</v>
      </c>
    </row>
    <row r="3732" spans="1:4" x14ac:dyDescent="0.2">
      <c r="A3732" s="24">
        <v>44652</v>
      </c>
      <c r="B3732" s="25" t="s">
        <v>118</v>
      </c>
      <c r="C3732" s="25" t="s">
        <v>142</v>
      </c>
      <c r="D3732" s="51">
        <v>126592</v>
      </c>
    </row>
    <row r="3733" spans="1:4" x14ac:dyDescent="0.2">
      <c r="A3733" s="24">
        <v>44652</v>
      </c>
      <c r="B3733" s="25" t="s">
        <v>119</v>
      </c>
      <c r="C3733" s="25" t="s">
        <v>142</v>
      </c>
      <c r="D3733" s="51">
        <v>124694</v>
      </c>
    </row>
    <row r="3734" spans="1:4" x14ac:dyDescent="0.2">
      <c r="A3734" s="24">
        <v>44652</v>
      </c>
      <c r="B3734" s="25" t="s">
        <v>139</v>
      </c>
      <c r="C3734" s="25" t="s">
        <v>142</v>
      </c>
      <c r="D3734" s="51">
        <v>2</v>
      </c>
    </row>
    <row r="3735" spans="1:4" x14ac:dyDescent="0.2">
      <c r="A3735" s="24">
        <v>44652</v>
      </c>
      <c r="B3735" s="25" t="s">
        <v>120</v>
      </c>
      <c r="C3735" s="25" t="s">
        <v>142</v>
      </c>
      <c r="D3735" s="51">
        <v>7373</v>
      </c>
    </row>
    <row r="3736" spans="1:4" x14ac:dyDescent="0.2">
      <c r="A3736" s="24">
        <v>44652</v>
      </c>
      <c r="B3736" s="25" t="s">
        <v>121</v>
      </c>
      <c r="C3736" s="25" t="s">
        <v>142</v>
      </c>
      <c r="D3736" s="51">
        <v>931</v>
      </c>
    </row>
    <row r="3737" spans="1:4" x14ac:dyDescent="0.2">
      <c r="A3737" s="24">
        <v>44652</v>
      </c>
      <c r="B3737" s="25" t="s">
        <v>122</v>
      </c>
      <c r="C3737" s="25" t="s">
        <v>142</v>
      </c>
      <c r="D3737" s="51">
        <v>53990</v>
      </c>
    </row>
    <row r="3738" spans="1:4" x14ac:dyDescent="0.2">
      <c r="A3738" s="24">
        <v>44652</v>
      </c>
      <c r="B3738" s="25" t="s">
        <v>123</v>
      </c>
      <c r="C3738" s="25" t="s">
        <v>142</v>
      </c>
      <c r="D3738" s="51">
        <v>96771</v>
      </c>
    </row>
    <row r="3739" spans="1:4" x14ac:dyDescent="0.2">
      <c r="A3739" s="24">
        <v>44652</v>
      </c>
      <c r="B3739" s="25" t="s">
        <v>129</v>
      </c>
      <c r="C3739" s="25" t="s">
        <v>142</v>
      </c>
      <c r="D3739" s="51">
        <v>2836</v>
      </c>
    </row>
    <row r="3740" spans="1:4" x14ac:dyDescent="0.2">
      <c r="A3740" s="24">
        <v>44652</v>
      </c>
      <c r="B3740" s="25" t="s">
        <v>130</v>
      </c>
      <c r="C3740" s="25" t="s">
        <v>142</v>
      </c>
      <c r="D3740" s="51">
        <v>3682</v>
      </c>
    </row>
    <row r="3741" spans="1:4" x14ac:dyDescent="0.2">
      <c r="A3741" s="24">
        <v>44652</v>
      </c>
      <c r="B3741" s="25" t="s">
        <v>117</v>
      </c>
      <c r="C3741" s="25" t="s">
        <v>2</v>
      </c>
      <c r="D3741" s="51">
        <v>8524511</v>
      </c>
    </row>
    <row r="3742" spans="1:4" x14ac:dyDescent="0.2">
      <c r="A3742" s="24">
        <v>44652</v>
      </c>
      <c r="B3742" s="25" t="s">
        <v>137</v>
      </c>
      <c r="C3742" s="25" t="s">
        <v>2</v>
      </c>
      <c r="D3742" s="51">
        <v>4535313</v>
      </c>
    </row>
    <row r="3743" spans="1:4" x14ac:dyDescent="0.2">
      <c r="A3743" s="24">
        <v>44652</v>
      </c>
      <c r="B3743" s="25" t="s">
        <v>118</v>
      </c>
      <c r="C3743" s="25" t="s">
        <v>2</v>
      </c>
      <c r="D3743" s="51">
        <v>832396</v>
      </c>
    </row>
    <row r="3744" spans="1:4" x14ac:dyDescent="0.2">
      <c r="A3744" s="24">
        <v>44652</v>
      </c>
      <c r="B3744" s="25" t="s">
        <v>119</v>
      </c>
      <c r="C3744" s="25" t="s">
        <v>2</v>
      </c>
      <c r="D3744" s="51">
        <v>953331</v>
      </c>
    </row>
    <row r="3745" spans="1:4" x14ac:dyDescent="0.2">
      <c r="A3745" s="24">
        <v>44652</v>
      </c>
      <c r="B3745" s="25" t="s">
        <v>138</v>
      </c>
      <c r="C3745" s="25" t="s">
        <v>2</v>
      </c>
      <c r="D3745" s="51">
        <v>2</v>
      </c>
    </row>
    <row r="3746" spans="1:4" x14ac:dyDescent="0.2">
      <c r="A3746" s="24">
        <v>44652</v>
      </c>
      <c r="B3746" s="25" t="s">
        <v>139</v>
      </c>
      <c r="C3746" s="25" t="s">
        <v>2</v>
      </c>
      <c r="D3746" s="51">
        <v>477</v>
      </c>
    </row>
    <row r="3747" spans="1:4" x14ac:dyDescent="0.2">
      <c r="A3747" s="24">
        <v>44652</v>
      </c>
      <c r="B3747" s="25" t="s">
        <v>120</v>
      </c>
      <c r="C3747" s="25" t="s">
        <v>2</v>
      </c>
      <c r="D3747" s="51">
        <v>187612</v>
      </c>
    </row>
    <row r="3748" spans="1:4" x14ac:dyDescent="0.2">
      <c r="A3748" s="24">
        <v>44652</v>
      </c>
      <c r="B3748" s="25" t="s">
        <v>121</v>
      </c>
      <c r="C3748" s="25" t="s">
        <v>2</v>
      </c>
      <c r="D3748" s="51">
        <v>16992</v>
      </c>
    </row>
    <row r="3749" spans="1:4" x14ac:dyDescent="0.2">
      <c r="A3749" s="24">
        <v>44652</v>
      </c>
      <c r="B3749" s="25" t="s">
        <v>122</v>
      </c>
      <c r="C3749" s="25" t="s">
        <v>2</v>
      </c>
      <c r="D3749" s="51">
        <v>398546</v>
      </c>
    </row>
    <row r="3750" spans="1:4" x14ac:dyDescent="0.2">
      <c r="A3750" s="24">
        <v>44652</v>
      </c>
      <c r="B3750" s="25" t="s">
        <v>123</v>
      </c>
      <c r="C3750" s="25" t="s">
        <v>2</v>
      </c>
      <c r="D3750" s="51">
        <v>1792395</v>
      </c>
    </row>
    <row r="3751" spans="1:4" x14ac:dyDescent="0.2">
      <c r="A3751" s="24">
        <v>44652</v>
      </c>
      <c r="B3751" s="25" t="s">
        <v>129</v>
      </c>
      <c r="C3751" s="25" t="s">
        <v>2</v>
      </c>
      <c r="D3751" s="51">
        <v>59034</v>
      </c>
    </row>
    <row r="3752" spans="1:4" x14ac:dyDescent="0.2">
      <c r="A3752" s="24">
        <v>44652</v>
      </c>
      <c r="B3752" s="25" t="s">
        <v>130</v>
      </c>
      <c r="C3752" s="25" t="s">
        <v>2</v>
      </c>
      <c r="D3752" s="51">
        <v>31540</v>
      </c>
    </row>
    <row r="3753" spans="1:4" x14ac:dyDescent="0.2">
      <c r="A3753" s="24">
        <v>44682</v>
      </c>
      <c r="B3753" s="25" t="s">
        <v>117</v>
      </c>
      <c r="C3753" s="25" t="s">
        <v>4</v>
      </c>
      <c r="D3753" s="51">
        <v>5632116</v>
      </c>
    </row>
    <row r="3754" spans="1:4" x14ac:dyDescent="0.2">
      <c r="A3754" s="24">
        <v>44682</v>
      </c>
      <c r="B3754" s="25" t="s">
        <v>131</v>
      </c>
      <c r="C3754" s="25" t="s">
        <v>4</v>
      </c>
      <c r="D3754" s="51">
        <v>106</v>
      </c>
    </row>
    <row r="3755" spans="1:4" x14ac:dyDescent="0.2">
      <c r="A3755" s="24">
        <v>44682</v>
      </c>
      <c r="B3755" s="25" t="s">
        <v>132</v>
      </c>
      <c r="C3755" s="25" t="s">
        <v>4</v>
      </c>
      <c r="D3755" s="51">
        <v>34</v>
      </c>
    </row>
    <row r="3756" spans="1:4" x14ac:dyDescent="0.2">
      <c r="A3756" s="24">
        <v>44682</v>
      </c>
      <c r="B3756" s="25" t="s">
        <v>133</v>
      </c>
      <c r="C3756" s="25" t="s">
        <v>4</v>
      </c>
      <c r="D3756" s="51">
        <v>16</v>
      </c>
    </row>
    <row r="3757" spans="1:4" x14ac:dyDescent="0.2">
      <c r="A3757" s="24">
        <v>44682</v>
      </c>
      <c r="B3757" s="25" t="s">
        <v>137</v>
      </c>
      <c r="C3757" s="25" t="s">
        <v>4</v>
      </c>
      <c r="D3757" s="51">
        <v>3857044</v>
      </c>
    </row>
    <row r="3758" spans="1:4" x14ac:dyDescent="0.2">
      <c r="A3758" s="24">
        <v>44682</v>
      </c>
      <c r="B3758" s="25" t="s">
        <v>118</v>
      </c>
      <c r="C3758" s="25" t="s">
        <v>4</v>
      </c>
      <c r="D3758" s="51">
        <v>550795</v>
      </c>
    </row>
    <row r="3759" spans="1:4" x14ac:dyDescent="0.2">
      <c r="A3759" s="24">
        <v>44682</v>
      </c>
      <c r="B3759" s="25" t="s">
        <v>134</v>
      </c>
      <c r="C3759" s="25" t="s">
        <v>4</v>
      </c>
      <c r="D3759" s="51">
        <v>2</v>
      </c>
    </row>
    <row r="3760" spans="1:4" x14ac:dyDescent="0.2">
      <c r="A3760" s="24">
        <v>44682</v>
      </c>
      <c r="B3760" s="25" t="s">
        <v>135</v>
      </c>
      <c r="C3760" s="25" t="s">
        <v>4</v>
      </c>
      <c r="D3760" s="51">
        <v>4</v>
      </c>
    </row>
    <row r="3761" spans="1:4" x14ac:dyDescent="0.2">
      <c r="A3761" s="24">
        <v>44682</v>
      </c>
      <c r="B3761" s="25" t="s">
        <v>119</v>
      </c>
      <c r="C3761" s="25" t="s">
        <v>4</v>
      </c>
      <c r="D3761" s="51">
        <v>756242</v>
      </c>
    </row>
    <row r="3762" spans="1:4" x14ac:dyDescent="0.2">
      <c r="A3762" s="24">
        <v>44682</v>
      </c>
      <c r="B3762" s="25" t="s">
        <v>138</v>
      </c>
      <c r="C3762" s="25" t="s">
        <v>4</v>
      </c>
      <c r="D3762" s="51">
        <v>17</v>
      </c>
    </row>
    <row r="3763" spans="1:4" x14ac:dyDescent="0.2">
      <c r="A3763" s="24">
        <v>44682</v>
      </c>
      <c r="B3763" s="25" t="s">
        <v>139</v>
      </c>
      <c r="C3763" s="25" t="s">
        <v>4</v>
      </c>
      <c r="D3763" s="51">
        <v>555</v>
      </c>
    </row>
    <row r="3764" spans="1:4" x14ac:dyDescent="0.2">
      <c r="A3764" s="24">
        <v>44682</v>
      </c>
      <c r="B3764" s="25" t="s">
        <v>120</v>
      </c>
      <c r="C3764" s="25" t="s">
        <v>4</v>
      </c>
      <c r="D3764" s="51">
        <v>54714</v>
      </c>
    </row>
    <row r="3765" spans="1:4" x14ac:dyDescent="0.2">
      <c r="A3765" s="24">
        <v>44682</v>
      </c>
      <c r="B3765" s="25" t="s">
        <v>121</v>
      </c>
      <c r="C3765" s="25" t="s">
        <v>4</v>
      </c>
      <c r="D3765" s="51">
        <v>25184</v>
      </c>
    </row>
    <row r="3766" spans="1:4" x14ac:dyDescent="0.2">
      <c r="A3766" s="24">
        <v>44682</v>
      </c>
      <c r="B3766" s="25" t="s">
        <v>140</v>
      </c>
      <c r="C3766" s="25" t="s">
        <v>4</v>
      </c>
      <c r="D3766" s="51">
        <v>21803</v>
      </c>
    </row>
    <row r="3767" spans="1:4" x14ac:dyDescent="0.2">
      <c r="A3767" s="24">
        <v>44682</v>
      </c>
      <c r="B3767" s="25" t="s">
        <v>122</v>
      </c>
      <c r="C3767" s="25" t="s">
        <v>4</v>
      </c>
      <c r="D3767" s="51">
        <v>1453409</v>
      </c>
    </row>
    <row r="3768" spans="1:4" x14ac:dyDescent="0.2">
      <c r="A3768" s="24">
        <v>44682</v>
      </c>
      <c r="B3768" s="25" t="s">
        <v>123</v>
      </c>
      <c r="C3768" s="25" t="s">
        <v>4</v>
      </c>
      <c r="D3768" s="51">
        <v>2859536</v>
      </c>
    </row>
    <row r="3769" spans="1:4" x14ac:dyDescent="0.2">
      <c r="A3769" s="24">
        <v>44682</v>
      </c>
      <c r="B3769" s="25" t="s">
        <v>117</v>
      </c>
      <c r="C3769" s="25" t="s">
        <v>8</v>
      </c>
      <c r="D3769" s="51">
        <v>285457</v>
      </c>
    </row>
    <row r="3770" spans="1:4" x14ac:dyDescent="0.2">
      <c r="A3770" s="24">
        <v>44682</v>
      </c>
      <c r="B3770" s="25" t="s">
        <v>137</v>
      </c>
      <c r="C3770" s="25" t="s">
        <v>8</v>
      </c>
      <c r="D3770" s="51">
        <v>326216</v>
      </c>
    </row>
    <row r="3771" spans="1:4" x14ac:dyDescent="0.2">
      <c r="A3771" s="24">
        <v>44682</v>
      </c>
      <c r="B3771" s="25" t="s">
        <v>118</v>
      </c>
      <c r="C3771" s="25" t="s">
        <v>8</v>
      </c>
      <c r="D3771" s="51">
        <v>47597</v>
      </c>
    </row>
    <row r="3772" spans="1:4" x14ac:dyDescent="0.2">
      <c r="A3772" s="24">
        <v>44682</v>
      </c>
      <c r="B3772" s="25" t="s">
        <v>119</v>
      </c>
      <c r="C3772" s="25" t="s">
        <v>8</v>
      </c>
      <c r="D3772" s="51">
        <v>15636</v>
      </c>
    </row>
    <row r="3773" spans="1:4" x14ac:dyDescent="0.2">
      <c r="A3773" s="24">
        <v>44682</v>
      </c>
      <c r="B3773" s="25" t="s">
        <v>139</v>
      </c>
      <c r="C3773" s="25" t="s">
        <v>8</v>
      </c>
      <c r="D3773" s="51">
        <v>22</v>
      </c>
    </row>
    <row r="3774" spans="1:4" x14ac:dyDescent="0.2">
      <c r="A3774" s="24">
        <v>44682</v>
      </c>
      <c r="B3774" s="25" t="s">
        <v>120</v>
      </c>
      <c r="C3774" s="25" t="s">
        <v>8</v>
      </c>
      <c r="D3774" s="51">
        <v>4405</v>
      </c>
    </row>
    <row r="3775" spans="1:4" x14ac:dyDescent="0.2">
      <c r="A3775" s="24">
        <v>44682</v>
      </c>
      <c r="B3775" s="25" t="s">
        <v>121</v>
      </c>
      <c r="C3775" s="25" t="s">
        <v>8</v>
      </c>
      <c r="D3775" s="51">
        <v>1576</v>
      </c>
    </row>
    <row r="3776" spans="1:4" x14ac:dyDescent="0.2">
      <c r="A3776" s="24">
        <v>44682</v>
      </c>
      <c r="B3776" s="25" t="s">
        <v>122</v>
      </c>
      <c r="C3776" s="25" t="s">
        <v>8</v>
      </c>
      <c r="D3776" s="51">
        <v>10250</v>
      </c>
    </row>
    <row r="3777" spans="1:4" x14ac:dyDescent="0.2">
      <c r="A3777" s="24">
        <v>44682</v>
      </c>
      <c r="B3777" s="25" t="s">
        <v>123</v>
      </c>
      <c r="C3777" s="25" t="s">
        <v>8</v>
      </c>
      <c r="D3777" s="51">
        <v>140823</v>
      </c>
    </row>
    <row r="3778" spans="1:4" x14ac:dyDescent="0.2">
      <c r="A3778" s="24">
        <v>44682</v>
      </c>
      <c r="B3778" s="25" t="s">
        <v>124</v>
      </c>
      <c r="C3778" s="25" t="s">
        <v>8</v>
      </c>
      <c r="D3778" s="51">
        <v>16156</v>
      </c>
    </row>
    <row r="3779" spans="1:4" x14ac:dyDescent="0.2">
      <c r="A3779" s="24">
        <v>44682</v>
      </c>
      <c r="B3779" s="25" t="s">
        <v>125</v>
      </c>
      <c r="C3779" s="25" t="s">
        <v>8</v>
      </c>
      <c r="D3779" s="51">
        <v>7719</v>
      </c>
    </row>
    <row r="3780" spans="1:4" x14ac:dyDescent="0.2">
      <c r="A3780" s="24">
        <v>44682</v>
      </c>
      <c r="B3780" s="25" t="s">
        <v>117</v>
      </c>
      <c r="C3780" s="25" t="s">
        <v>26</v>
      </c>
      <c r="D3780" s="51">
        <v>941120</v>
      </c>
    </row>
    <row r="3781" spans="1:4" x14ac:dyDescent="0.2">
      <c r="A3781" s="24">
        <v>44682</v>
      </c>
      <c r="B3781" s="25" t="s">
        <v>137</v>
      </c>
      <c r="C3781" s="25" t="s">
        <v>26</v>
      </c>
      <c r="D3781" s="51">
        <v>714401</v>
      </c>
    </row>
    <row r="3782" spans="1:4" x14ac:dyDescent="0.2">
      <c r="A3782" s="24">
        <v>44682</v>
      </c>
      <c r="B3782" s="25" t="s">
        <v>118</v>
      </c>
      <c r="C3782" s="25" t="s">
        <v>26</v>
      </c>
      <c r="D3782" s="51">
        <v>58003</v>
      </c>
    </row>
    <row r="3783" spans="1:4" x14ac:dyDescent="0.2">
      <c r="A3783" s="24">
        <v>44682</v>
      </c>
      <c r="B3783" s="25" t="s">
        <v>119</v>
      </c>
      <c r="C3783" s="25" t="s">
        <v>26</v>
      </c>
      <c r="D3783" s="51">
        <v>147144</v>
      </c>
    </row>
    <row r="3784" spans="1:4" x14ac:dyDescent="0.2">
      <c r="A3784" s="24">
        <v>44682</v>
      </c>
      <c r="B3784" s="25" t="s">
        <v>139</v>
      </c>
      <c r="C3784" s="25" t="s">
        <v>26</v>
      </c>
      <c r="D3784" s="51">
        <v>25</v>
      </c>
    </row>
    <row r="3785" spans="1:4" x14ac:dyDescent="0.2">
      <c r="A3785" s="24">
        <v>44682</v>
      </c>
      <c r="B3785" s="25" t="s">
        <v>120</v>
      </c>
      <c r="C3785" s="25" t="s">
        <v>26</v>
      </c>
      <c r="D3785" s="51">
        <v>7314</v>
      </c>
    </row>
    <row r="3786" spans="1:4" x14ac:dyDescent="0.2">
      <c r="A3786" s="24">
        <v>44682</v>
      </c>
      <c r="B3786" s="25" t="s">
        <v>121</v>
      </c>
      <c r="C3786" s="25" t="s">
        <v>26</v>
      </c>
      <c r="D3786" s="51">
        <v>2750</v>
      </c>
    </row>
    <row r="3787" spans="1:4" x14ac:dyDescent="0.2">
      <c r="A3787" s="24">
        <v>44682</v>
      </c>
      <c r="B3787" s="25" t="s">
        <v>122</v>
      </c>
      <c r="C3787" s="25" t="s">
        <v>26</v>
      </c>
      <c r="D3787" s="51">
        <v>34231</v>
      </c>
    </row>
    <row r="3788" spans="1:4" x14ac:dyDescent="0.2">
      <c r="A3788" s="24">
        <v>44682</v>
      </c>
      <c r="B3788" s="25" t="s">
        <v>123</v>
      </c>
      <c r="C3788" s="25" t="s">
        <v>26</v>
      </c>
      <c r="D3788" s="51">
        <v>306419</v>
      </c>
    </row>
    <row r="3789" spans="1:4" x14ac:dyDescent="0.2">
      <c r="A3789" s="24">
        <v>44682</v>
      </c>
      <c r="B3789" s="25" t="s">
        <v>127</v>
      </c>
      <c r="C3789" s="25" t="s">
        <v>26</v>
      </c>
      <c r="D3789" s="51">
        <v>2277</v>
      </c>
    </row>
    <row r="3790" spans="1:4" x14ac:dyDescent="0.2">
      <c r="A3790" s="24">
        <v>44682</v>
      </c>
      <c r="B3790" s="25" t="s">
        <v>128</v>
      </c>
      <c r="C3790" s="25" t="s">
        <v>26</v>
      </c>
      <c r="D3790" s="51">
        <v>915</v>
      </c>
    </row>
    <row r="3791" spans="1:4" x14ac:dyDescent="0.2">
      <c r="A3791" s="24">
        <v>44682</v>
      </c>
      <c r="B3791" s="25" t="s">
        <v>117</v>
      </c>
      <c r="C3791" s="25" t="s">
        <v>142</v>
      </c>
      <c r="D3791" s="51">
        <v>682645</v>
      </c>
    </row>
    <row r="3792" spans="1:4" x14ac:dyDescent="0.2">
      <c r="A3792" s="24">
        <v>44682</v>
      </c>
      <c r="B3792" s="25" t="s">
        <v>137</v>
      </c>
      <c r="C3792" s="25" t="s">
        <v>142</v>
      </c>
      <c r="D3792" s="51">
        <v>386701</v>
      </c>
    </row>
    <row r="3793" spans="1:4" x14ac:dyDescent="0.2">
      <c r="A3793" s="24">
        <v>44682</v>
      </c>
      <c r="B3793" s="25" t="s">
        <v>118</v>
      </c>
      <c r="C3793" s="25" t="s">
        <v>142</v>
      </c>
      <c r="D3793" s="51">
        <v>76054</v>
      </c>
    </row>
    <row r="3794" spans="1:4" x14ac:dyDescent="0.2">
      <c r="A3794" s="24">
        <v>44682</v>
      </c>
      <c r="B3794" s="25" t="s">
        <v>119</v>
      </c>
      <c r="C3794" s="25" t="s">
        <v>142</v>
      </c>
      <c r="D3794" s="51">
        <v>160565</v>
      </c>
    </row>
    <row r="3795" spans="1:4" x14ac:dyDescent="0.2">
      <c r="A3795" s="24">
        <v>44682</v>
      </c>
      <c r="B3795" s="25" t="s">
        <v>139</v>
      </c>
      <c r="C3795" s="25" t="s">
        <v>142</v>
      </c>
      <c r="D3795" s="51">
        <v>11</v>
      </c>
    </row>
    <row r="3796" spans="1:4" x14ac:dyDescent="0.2">
      <c r="A3796" s="24">
        <v>44682</v>
      </c>
      <c r="B3796" s="25" t="s">
        <v>120</v>
      </c>
      <c r="C3796" s="25" t="s">
        <v>142</v>
      </c>
      <c r="D3796" s="51">
        <v>9020</v>
      </c>
    </row>
    <row r="3797" spans="1:4" x14ac:dyDescent="0.2">
      <c r="A3797" s="24">
        <v>44682</v>
      </c>
      <c r="B3797" s="25" t="s">
        <v>121</v>
      </c>
      <c r="C3797" s="25" t="s">
        <v>142</v>
      </c>
      <c r="D3797" s="51">
        <v>1291</v>
      </c>
    </row>
    <row r="3798" spans="1:4" x14ac:dyDescent="0.2">
      <c r="A3798" s="24">
        <v>44682</v>
      </c>
      <c r="B3798" s="25" t="s">
        <v>122</v>
      </c>
      <c r="C3798" s="25" t="s">
        <v>142</v>
      </c>
      <c r="D3798" s="51">
        <v>132269</v>
      </c>
    </row>
    <row r="3799" spans="1:4" x14ac:dyDescent="0.2">
      <c r="A3799" s="24">
        <v>44682</v>
      </c>
      <c r="B3799" s="25" t="s">
        <v>123</v>
      </c>
      <c r="C3799" s="25" t="s">
        <v>142</v>
      </c>
      <c r="D3799" s="51">
        <v>106441</v>
      </c>
    </row>
    <row r="3800" spans="1:4" x14ac:dyDescent="0.2">
      <c r="A3800" s="24">
        <v>44682</v>
      </c>
      <c r="B3800" s="25" t="s">
        <v>129</v>
      </c>
      <c r="C3800" s="25" t="s">
        <v>142</v>
      </c>
      <c r="D3800" s="51">
        <v>4086</v>
      </c>
    </row>
    <row r="3801" spans="1:4" x14ac:dyDescent="0.2">
      <c r="A3801" s="24">
        <v>44682</v>
      </c>
      <c r="B3801" s="25" t="s">
        <v>130</v>
      </c>
      <c r="C3801" s="25" t="s">
        <v>142</v>
      </c>
      <c r="D3801" s="51">
        <v>4230</v>
      </c>
    </row>
    <row r="3802" spans="1:4" x14ac:dyDescent="0.2">
      <c r="A3802" s="24">
        <v>44682</v>
      </c>
      <c r="B3802" s="25" t="s">
        <v>117</v>
      </c>
      <c r="C3802" s="25" t="s">
        <v>2</v>
      </c>
      <c r="D3802" s="51">
        <v>9530862</v>
      </c>
    </row>
    <row r="3803" spans="1:4" x14ac:dyDescent="0.2">
      <c r="A3803" s="24">
        <v>44682</v>
      </c>
      <c r="B3803" s="25" t="s">
        <v>137</v>
      </c>
      <c r="C3803" s="25" t="s">
        <v>2</v>
      </c>
      <c r="D3803" s="51">
        <v>5491488</v>
      </c>
    </row>
    <row r="3804" spans="1:4" x14ac:dyDescent="0.2">
      <c r="A3804" s="24">
        <v>44682</v>
      </c>
      <c r="B3804" s="25" t="s">
        <v>118</v>
      </c>
      <c r="C3804" s="25" t="s">
        <v>2</v>
      </c>
      <c r="D3804" s="51">
        <v>514081</v>
      </c>
    </row>
    <row r="3805" spans="1:4" x14ac:dyDescent="0.2">
      <c r="A3805" s="24">
        <v>44682</v>
      </c>
      <c r="B3805" s="25" t="s">
        <v>119</v>
      </c>
      <c r="C3805" s="25" t="s">
        <v>2</v>
      </c>
      <c r="D3805" s="51">
        <v>1075324</v>
      </c>
    </row>
    <row r="3806" spans="1:4" x14ac:dyDescent="0.2">
      <c r="A3806" s="24">
        <v>44682</v>
      </c>
      <c r="B3806" s="25" t="s">
        <v>138</v>
      </c>
      <c r="C3806" s="25" t="s">
        <v>2</v>
      </c>
      <c r="D3806" s="51">
        <v>62</v>
      </c>
    </row>
    <row r="3807" spans="1:4" x14ac:dyDescent="0.2">
      <c r="A3807" s="24">
        <v>44682</v>
      </c>
      <c r="B3807" s="25" t="s">
        <v>139</v>
      </c>
      <c r="C3807" s="25" t="s">
        <v>2</v>
      </c>
      <c r="D3807" s="51">
        <v>579</v>
      </c>
    </row>
    <row r="3808" spans="1:4" x14ac:dyDescent="0.2">
      <c r="A3808" s="24">
        <v>44682</v>
      </c>
      <c r="B3808" s="25" t="s">
        <v>120</v>
      </c>
      <c r="C3808" s="25" t="s">
        <v>2</v>
      </c>
      <c r="D3808" s="51">
        <v>221741</v>
      </c>
    </row>
    <row r="3809" spans="1:4" x14ac:dyDescent="0.2">
      <c r="A3809" s="24">
        <v>44682</v>
      </c>
      <c r="B3809" s="25" t="s">
        <v>121</v>
      </c>
      <c r="C3809" s="25" t="s">
        <v>2</v>
      </c>
      <c r="D3809" s="51">
        <v>20779</v>
      </c>
    </row>
    <row r="3810" spans="1:4" x14ac:dyDescent="0.2">
      <c r="A3810" s="24">
        <v>44682</v>
      </c>
      <c r="B3810" s="25" t="s">
        <v>122</v>
      </c>
      <c r="C3810" s="25" t="s">
        <v>2</v>
      </c>
      <c r="D3810" s="51">
        <v>1012990</v>
      </c>
    </row>
    <row r="3811" spans="1:4" x14ac:dyDescent="0.2">
      <c r="A3811" s="24">
        <v>44682</v>
      </c>
      <c r="B3811" s="25" t="s">
        <v>123</v>
      </c>
      <c r="C3811" s="25" t="s">
        <v>2</v>
      </c>
      <c r="D3811" s="51">
        <v>2003021</v>
      </c>
    </row>
    <row r="3812" spans="1:4" x14ac:dyDescent="0.2">
      <c r="A3812" s="24">
        <v>44682</v>
      </c>
      <c r="B3812" s="25" t="s">
        <v>129</v>
      </c>
      <c r="C3812" s="25" t="s">
        <v>2</v>
      </c>
      <c r="D3812" s="51">
        <v>81255</v>
      </c>
    </row>
    <row r="3813" spans="1:4" x14ac:dyDescent="0.2">
      <c r="A3813" s="24">
        <v>44682</v>
      </c>
      <c r="B3813" s="25" t="s">
        <v>130</v>
      </c>
      <c r="C3813" s="25" t="s">
        <v>2</v>
      </c>
      <c r="D3813" s="51">
        <v>34097</v>
      </c>
    </row>
    <row r="3814" spans="1:4" x14ac:dyDescent="0.2">
      <c r="A3814" s="24">
        <v>44713</v>
      </c>
      <c r="B3814" s="25" t="s">
        <v>117</v>
      </c>
      <c r="C3814" s="25" t="s">
        <v>4</v>
      </c>
      <c r="D3814" s="51">
        <v>5574794</v>
      </c>
    </row>
    <row r="3815" spans="1:4" x14ac:dyDescent="0.2">
      <c r="A3815" s="24">
        <v>44713</v>
      </c>
      <c r="B3815" s="25" t="s">
        <v>131</v>
      </c>
      <c r="C3815" s="25" t="s">
        <v>4</v>
      </c>
      <c r="D3815" s="51">
        <v>93</v>
      </c>
    </row>
    <row r="3816" spans="1:4" x14ac:dyDescent="0.2">
      <c r="A3816" s="24">
        <v>44713</v>
      </c>
      <c r="B3816" s="25" t="s">
        <v>132</v>
      </c>
      <c r="C3816" s="25" t="s">
        <v>4</v>
      </c>
      <c r="D3816" s="51">
        <v>39</v>
      </c>
    </row>
    <row r="3817" spans="1:4" x14ac:dyDescent="0.2">
      <c r="A3817" s="24">
        <v>44713</v>
      </c>
      <c r="B3817" s="25" t="s">
        <v>133</v>
      </c>
      <c r="C3817" s="25" t="s">
        <v>4</v>
      </c>
      <c r="D3817" s="51">
        <v>8</v>
      </c>
    </row>
    <row r="3818" spans="1:4" x14ac:dyDescent="0.2">
      <c r="A3818" s="24">
        <v>44713</v>
      </c>
      <c r="B3818" s="25" t="s">
        <v>137</v>
      </c>
      <c r="C3818" s="25" t="s">
        <v>4</v>
      </c>
      <c r="D3818" s="51">
        <v>3877626</v>
      </c>
    </row>
    <row r="3819" spans="1:4" x14ac:dyDescent="0.2">
      <c r="A3819" s="24">
        <v>44713</v>
      </c>
      <c r="B3819" s="25" t="s">
        <v>118</v>
      </c>
      <c r="C3819" s="25" t="s">
        <v>4</v>
      </c>
      <c r="D3819" s="51">
        <v>568172</v>
      </c>
    </row>
    <row r="3820" spans="1:4" x14ac:dyDescent="0.2">
      <c r="A3820" s="24">
        <v>44713</v>
      </c>
      <c r="B3820" s="25" t="s">
        <v>134</v>
      </c>
      <c r="C3820" s="25" t="s">
        <v>4</v>
      </c>
      <c r="D3820" s="51">
        <v>4</v>
      </c>
    </row>
    <row r="3821" spans="1:4" x14ac:dyDescent="0.2">
      <c r="A3821" s="24">
        <v>44713</v>
      </c>
      <c r="B3821" s="25" t="s">
        <v>135</v>
      </c>
      <c r="C3821" s="25" t="s">
        <v>4</v>
      </c>
      <c r="D3821" s="51">
        <v>2</v>
      </c>
    </row>
    <row r="3822" spans="1:4" x14ac:dyDescent="0.2">
      <c r="A3822" s="24">
        <v>44713</v>
      </c>
      <c r="B3822" s="25" t="s">
        <v>119</v>
      </c>
      <c r="C3822" s="25" t="s">
        <v>4</v>
      </c>
      <c r="D3822" s="51">
        <v>663253</v>
      </c>
    </row>
    <row r="3823" spans="1:4" x14ac:dyDescent="0.2">
      <c r="A3823" s="24">
        <v>44713</v>
      </c>
      <c r="B3823" s="25" t="s">
        <v>138</v>
      </c>
      <c r="C3823" s="25" t="s">
        <v>4</v>
      </c>
      <c r="D3823" s="51">
        <v>15</v>
      </c>
    </row>
    <row r="3824" spans="1:4" x14ac:dyDescent="0.2">
      <c r="A3824" s="24">
        <v>44713</v>
      </c>
      <c r="B3824" s="25" t="s">
        <v>139</v>
      </c>
      <c r="C3824" s="25" t="s">
        <v>4</v>
      </c>
      <c r="D3824" s="51">
        <v>665</v>
      </c>
    </row>
    <row r="3825" spans="1:4" x14ac:dyDescent="0.2">
      <c r="A3825" s="24">
        <v>44713</v>
      </c>
      <c r="B3825" s="25" t="s">
        <v>120</v>
      </c>
      <c r="C3825" s="25" t="s">
        <v>4</v>
      </c>
      <c r="D3825" s="51">
        <v>55746</v>
      </c>
    </row>
    <row r="3826" spans="1:4" x14ac:dyDescent="0.2">
      <c r="A3826" s="24">
        <v>44713</v>
      </c>
      <c r="B3826" s="25" t="s">
        <v>121</v>
      </c>
      <c r="C3826" s="25" t="s">
        <v>4</v>
      </c>
      <c r="D3826" s="51">
        <v>25494</v>
      </c>
    </row>
    <row r="3827" spans="1:4" x14ac:dyDescent="0.2">
      <c r="A3827" s="24">
        <v>44713</v>
      </c>
      <c r="B3827" s="25" t="s">
        <v>140</v>
      </c>
      <c r="C3827" s="25" t="s">
        <v>4</v>
      </c>
      <c r="D3827" s="51">
        <v>19223</v>
      </c>
    </row>
    <row r="3828" spans="1:4" x14ac:dyDescent="0.2">
      <c r="A3828" s="24">
        <v>44713</v>
      </c>
      <c r="B3828" s="25" t="s">
        <v>122</v>
      </c>
      <c r="C3828" s="25" t="s">
        <v>4</v>
      </c>
      <c r="D3828" s="51">
        <v>1333603</v>
      </c>
    </row>
    <row r="3829" spans="1:4" x14ac:dyDescent="0.2">
      <c r="A3829" s="24">
        <v>44713</v>
      </c>
      <c r="B3829" s="25" t="s">
        <v>123</v>
      </c>
      <c r="C3829" s="25" t="s">
        <v>4</v>
      </c>
      <c r="D3829" s="51">
        <v>2859395</v>
      </c>
    </row>
    <row r="3830" spans="1:4" x14ac:dyDescent="0.2">
      <c r="A3830" s="24">
        <v>44713</v>
      </c>
      <c r="B3830" s="25" t="s">
        <v>117</v>
      </c>
      <c r="C3830" s="25" t="s">
        <v>8</v>
      </c>
      <c r="D3830" s="51">
        <v>346291</v>
      </c>
    </row>
    <row r="3831" spans="1:4" x14ac:dyDescent="0.2">
      <c r="A3831" s="24">
        <v>44713</v>
      </c>
      <c r="B3831" s="25" t="s">
        <v>137</v>
      </c>
      <c r="C3831" s="25" t="s">
        <v>8</v>
      </c>
      <c r="D3831" s="51">
        <v>406455</v>
      </c>
    </row>
    <row r="3832" spans="1:4" x14ac:dyDescent="0.2">
      <c r="A3832" s="24">
        <v>44713</v>
      </c>
      <c r="B3832" s="25" t="s">
        <v>118</v>
      </c>
      <c r="C3832" s="25" t="s">
        <v>8</v>
      </c>
      <c r="D3832" s="51">
        <v>81404</v>
      </c>
    </row>
    <row r="3833" spans="1:4" x14ac:dyDescent="0.2">
      <c r="A3833" s="24">
        <v>44713</v>
      </c>
      <c r="B3833" s="25" t="s">
        <v>119</v>
      </c>
      <c r="C3833" s="25" t="s">
        <v>8</v>
      </c>
      <c r="D3833" s="51">
        <v>18557</v>
      </c>
    </row>
    <row r="3834" spans="1:4" x14ac:dyDescent="0.2">
      <c r="A3834" s="24">
        <v>44713</v>
      </c>
      <c r="B3834" s="25" t="s">
        <v>139</v>
      </c>
      <c r="C3834" s="25" t="s">
        <v>8</v>
      </c>
      <c r="D3834" s="51">
        <v>16</v>
      </c>
    </row>
    <row r="3835" spans="1:4" x14ac:dyDescent="0.2">
      <c r="A3835" s="24">
        <v>44713</v>
      </c>
      <c r="B3835" s="25" t="s">
        <v>120</v>
      </c>
      <c r="C3835" s="25" t="s">
        <v>8</v>
      </c>
      <c r="D3835" s="51">
        <v>5103</v>
      </c>
    </row>
    <row r="3836" spans="1:4" x14ac:dyDescent="0.2">
      <c r="A3836" s="24">
        <v>44713</v>
      </c>
      <c r="B3836" s="25" t="s">
        <v>121</v>
      </c>
      <c r="C3836" s="25" t="s">
        <v>8</v>
      </c>
      <c r="D3836" s="51">
        <v>1857</v>
      </c>
    </row>
    <row r="3837" spans="1:4" x14ac:dyDescent="0.2">
      <c r="A3837" s="24">
        <v>44713</v>
      </c>
      <c r="B3837" s="25" t="s">
        <v>122</v>
      </c>
      <c r="C3837" s="25" t="s">
        <v>8</v>
      </c>
      <c r="D3837" s="51">
        <v>8959</v>
      </c>
    </row>
    <row r="3838" spans="1:4" x14ac:dyDescent="0.2">
      <c r="A3838" s="24">
        <v>44713</v>
      </c>
      <c r="B3838" s="25" t="s">
        <v>123</v>
      </c>
      <c r="C3838" s="25" t="s">
        <v>8</v>
      </c>
      <c r="D3838" s="51">
        <v>170352</v>
      </c>
    </row>
    <row r="3839" spans="1:4" x14ac:dyDescent="0.2">
      <c r="A3839" s="24">
        <v>44713</v>
      </c>
      <c r="B3839" s="25" t="s">
        <v>124</v>
      </c>
      <c r="C3839" s="25" t="s">
        <v>8</v>
      </c>
      <c r="D3839" s="51">
        <v>23803</v>
      </c>
    </row>
    <row r="3840" spans="1:4" x14ac:dyDescent="0.2">
      <c r="A3840" s="24">
        <v>44713</v>
      </c>
      <c r="B3840" s="25" t="s">
        <v>125</v>
      </c>
      <c r="C3840" s="25" t="s">
        <v>8</v>
      </c>
      <c r="D3840" s="51">
        <v>16354</v>
      </c>
    </row>
    <row r="3841" spans="1:4" x14ac:dyDescent="0.2">
      <c r="A3841" s="24">
        <v>44713</v>
      </c>
      <c r="B3841" s="25" t="s">
        <v>117</v>
      </c>
      <c r="C3841" s="25" t="s">
        <v>26</v>
      </c>
      <c r="D3841" s="51">
        <v>974646</v>
      </c>
    </row>
    <row r="3842" spans="1:4" x14ac:dyDescent="0.2">
      <c r="A3842" s="24">
        <v>44713</v>
      </c>
      <c r="B3842" s="25" t="s">
        <v>137</v>
      </c>
      <c r="C3842" s="25" t="s">
        <v>26</v>
      </c>
      <c r="D3842" s="51">
        <v>765968</v>
      </c>
    </row>
    <row r="3843" spans="1:4" x14ac:dyDescent="0.2">
      <c r="A3843" s="24">
        <v>44713</v>
      </c>
      <c r="B3843" s="25" t="s">
        <v>118</v>
      </c>
      <c r="C3843" s="25" t="s">
        <v>26</v>
      </c>
      <c r="D3843" s="51">
        <v>82612</v>
      </c>
    </row>
    <row r="3844" spans="1:4" x14ac:dyDescent="0.2">
      <c r="A3844" s="24">
        <v>44713</v>
      </c>
      <c r="B3844" s="25" t="s">
        <v>119</v>
      </c>
      <c r="C3844" s="25" t="s">
        <v>26</v>
      </c>
      <c r="D3844" s="51">
        <v>238148</v>
      </c>
    </row>
    <row r="3845" spans="1:4" x14ac:dyDescent="0.2">
      <c r="A3845" s="24">
        <v>44713</v>
      </c>
      <c r="B3845" s="25" t="s">
        <v>139</v>
      </c>
      <c r="C3845" s="25" t="s">
        <v>26</v>
      </c>
      <c r="D3845" s="51">
        <v>29</v>
      </c>
    </row>
    <row r="3846" spans="1:4" x14ac:dyDescent="0.2">
      <c r="A3846" s="24">
        <v>44713</v>
      </c>
      <c r="B3846" s="25" t="s">
        <v>120</v>
      </c>
      <c r="C3846" s="25" t="s">
        <v>26</v>
      </c>
      <c r="D3846" s="51">
        <v>8092</v>
      </c>
    </row>
    <row r="3847" spans="1:4" x14ac:dyDescent="0.2">
      <c r="A3847" s="24">
        <v>44713</v>
      </c>
      <c r="B3847" s="25" t="s">
        <v>121</v>
      </c>
      <c r="C3847" s="25" t="s">
        <v>26</v>
      </c>
      <c r="D3847" s="51">
        <v>2926</v>
      </c>
    </row>
    <row r="3848" spans="1:4" x14ac:dyDescent="0.2">
      <c r="A3848" s="24">
        <v>44713</v>
      </c>
      <c r="B3848" s="25" t="s">
        <v>122</v>
      </c>
      <c r="C3848" s="25" t="s">
        <v>26</v>
      </c>
      <c r="D3848" s="51">
        <v>30928</v>
      </c>
    </row>
    <row r="3849" spans="1:4" x14ac:dyDescent="0.2">
      <c r="A3849" s="24">
        <v>44713</v>
      </c>
      <c r="B3849" s="25" t="s">
        <v>123</v>
      </c>
      <c r="C3849" s="25" t="s">
        <v>26</v>
      </c>
      <c r="D3849" s="51">
        <v>337616</v>
      </c>
    </row>
    <row r="3850" spans="1:4" x14ac:dyDescent="0.2">
      <c r="A3850" s="24">
        <v>44713</v>
      </c>
      <c r="B3850" s="25" t="s">
        <v>127</v>
      </c>
      <c r="C3850" s="25" t="s">
        <v>26</v>
      </c>
      <c r="D3850" s="51">
        <v>2940</v>
      </c>
    </row>
    <row r="3851" spans="1:4" x14ac:dyDescent="0.2">
      <c r="A3851" s="24">
        <v>44713</v>
      </c>
      <c r="B3851" s="25" t="s">
        <v>128</v>
      </c>
      <c r="C3851" s="25" t="s">
        <v>26</v>
      </c>
      <c r="D3851" s="51">
        <v>1753</v>
      </c>
    </row>
    <row r="3852" spans="1:4" x14ac:dyDescent="0.2">
      <c r="A3852" s="24">
        <v>44713</v>
      </c>
      <c r="B3852" s="25" t="s">
        <v>117</v>
      </c>
      <c r="C3852" s="25" t="s">
        <v>142</v>
      </c>
      <c r="D3852" s="51">
        <v>675361</v>
      </c>
    </row>
    <row r="3853" spans="1:4" x14ac:dyDescent="0.2">
      <c r="A3853" s="24">
        <v>44713</v>
      </c>
      <c r="B3853" s="25" t="s">
        <v>137</v>
      </c>
      <c r="C3853" s="25" t="s">
        <v>142</v>
      </c>
      <c r="D3853" s="51">
        <v>382184</v>
      </c>
    </row>
    <row r="3854" spans="1:4" x14ac:dyDescent="0.2">
      <c r="A3854" s="24">
        <v>44713</v>
      </c>
      <c r="B3854" s="25" t="s">
        <v>118</v>
      </c>
      <c r="C3854" s="25" t="s">
        <v>142</v>
      </c>
      <c r="D3854" s="51">
        <v>87208</v>
      </c>
    </row>
    <row r="3855" spans="1:4" x14ac:dyDescent="0.2">
      <c r="A3855" s="24">
        <v>44713</v>
      </c>
      <c r="B3855" s="25" t="s">
        <v>119</v>
      </c>
      <c r="C3855" s="25" t="s">
        <v>142</v>
      </c>
      <c r="D3855" s="51">
        <v>113875</v>
      </c>
    </row>
    <row r="3856" spans="1:4" x14ac:dyDescent="0.2">
      <c r="A3856" s="24">
        <v>44713</v>
      </c>
      <c r="B3856" s="25" t="s">
        <v>139</v>
      </c>
      <c r="C3856" s="25" t="s">
        <v>142</v>
      </c>
      <c r="D3856" s="51">
        <v>5</v>
      </c>
    </row>
    <row r="3857" spans="1:4" x14ac:dyDescent="0.2">
      <c r="A3857" s="24">
        <v>44713</v>
      </c>
      <c r="B3857" s="25" t="s">
        <v>120</v>
      </c>
      <c r="C3857" s="25" t="s">
        <v>142</v>
      </c>
      <c r="D3857" s="51">
        <v>9548</v>
      </c>
    </row>
    <row r="3858" spans="1:4" x14ac:dyDescent="0.2">
      <c r="A3858" s="24">
        <v>44713</v>
      </c>
      <c r="B3858" s="25" t="s">
        <v>121</v>
      </c>
      <c r="C3858" s="25" t="s">
        <v>142</v>
      </c>
      <c r="D3858" s="51">
        <v>1147</v>
      </c>
    </row>
    <row r="3859" spans="1:4" x14ac:dyDescent="0.2">
      <c r="A3859" s="24">
        <v>44713</v>
      </c>
      <c r="B3859" s="25" t="s">
        <v>122</v>
      </c>
      <c r="C3859" s="25" t="s">
        <v>142</v>
      </c>
      <c r="D3859" s="51">
        <v>127005</v>
      </c>
    </row>
    <row r="3860" spans="1:4" x14ac:dyDescent="0.2">
      <c r="A3860" s="24">
        <v>44713</v>
      </c>
      <c r="B3860" s="25" t="s">
        <v>123</v>
      </c>
      <c r="C3860" s="25" t="s">
        <v>142</v>
      </c>
      <c r="D3860" s="51">
        <v>114975</v>
      </c>
    </row>
    <row r="3861" spans="1:4" x14ac:dyDescent="0.2">
      <c r="A3861" s="24">
        <v>44713</v>
      </c>
      <c r="B3861" s="25" t="s">
        <v>129</v>
      </c>
      <c r="C3861" s="25" t="s">
        <v>142</v>
      </c>
      <c r="D3861" s="51">
        <v>4440</v>
      </c>
    </row>
    <row r="3862" spans="1:4" x14ac:dyDescent="0.2">
      <c r="A3862" s="24">
        <v>44713</v>
      </c>
      <c r="B3862" s="25" t="s">
        <v>130</v>
      </c>
      <c r="C3862" s="25" t="s">
        <v>142</v>
      </c>
      <c r="D3862" s="51">
        <v>5245</v>
      </c>
    </row>
    <row r="3863" spans="1:4" x14ac:dyDescent="0.2">
      <c r="A3863" s="24">
        <v>44713</v>
      </c>
      <c r="B3863" s="25" t="s">
        <v>117</v>
      </c>
      <c r="C3863" s="25" t="s">
        <v>2</v>
      </c>
      <c r="D3863" s="51">
        <v>9599430</v>
      </c>
    </row>
    <row r="3864" spans="1:4" x14ac:dyDescent="0.2">
      <c r="A3864" s="24">
        <v>44713</v>
      </c>
      <c r="B3864" s="25" t="s">
        <v>137</v>
      </c>
      <c r="C3864" s="25" t="s">
        <v>2</v>
      </c>
      <c r="D3864" s="51">
        <v>5787575</v>
      </c>
    </row>
    <row r="3865" spans="1:4" x14ac:dyDescent="0.2">
      <c r="A3865" s="24">
        <v>44713</v>
      </c>
      <c r="B3865" s="25" t="s">
        <v>118</v>
      </c>
      <c r="C3865" s="25" t="s">
        <v>2</v>
      </c>
      <c r="D3865" s="51">
        <v>658677</v>
      </c>
    </row>
    <row r="3866" spans="1:4" x14ac:dyDescent="0.2">
      <c r="A3866" s="24">
        <v>44713</v>
      </c>
      <c r="B3866" s="25" t="s">
        <v>119</v>
      </c>
      <c r="C3866" s="25" t="s">
        <v>2</v>
      </c>
      <c r="D3866" s="51">
        <v>926877</v>
      </c>
    </row>
    <row r="3867" spans="1:4" x14ac:dyDescent="0.2">
      <c r="A3867" s="24">
        <v>44713</v>
      </c>
      <c r="B3867" s="25" t="s">
        <v>138</v>
      </c>
      <c r="C3867" s="25" t="s">
        <v>2</v>
      </c>
      <c r="D3867" s="51">
        <v>196</v>
      </c>
    </row>
    <row r="3868" spans="1:4" x14ac:dyDescent="0.2">
      <c r="A3868" s="24">
        <v>44713</v>
      </c>
      <c r="B3868" s="25" t="s">
        <v>139</v>
      </c>
      <c r="C3868" s="25" t="s">
        <v>2</v>
      </c>
      <c r="D3868" s="51">
        <v>752</v>
      </c>
    </row>
    <row r="3869" spans="1:4" x14ac:dyDescent="0.2">
      <c r="A3869" s="24">
        <v>44713</v>
      </c>
      <c r="B3869" s="25" t="s">
        <v>120</v>
      </c>
      <c r="C3869" s="25" t="s">
        <v>2</v>
      </c>
      <c r="D3869" s="51">
        <v>223849</v>
      </c>
    </row>
    <row r="3870" spans="1:4" x14ac:dyDescent="0.2">
      <c r="A3870" s="24">
        <v>44713</v>
      </c>
      <c r="B3870" s="25" t="s">
        <v>121</v>
      </c>
      <c r="C3870" s="25" t="s">
        <v>2</v>
      </c>
      <c r="D3870" s="51">
        <v>20476</v>
      </c>
    </row>
    <row r="3871" spans="1:4" x14ac:dyDescent="0.2">
      <c r="A3871" s="24">
        <v>44713</v>
      </c>
      <c r="B3871" s="25" t="s">
        <v>122</v>
      </c>
      <c r="C3871" s="25" t="s">
        <v>2</v>
      </c>
      <c r="D3871" s="51">
        <v>928372</v>
      </c>
    </row>
    <row r="3872" spans="1:4" x14ac:dyDescent="0.2">
      <c r="A3872" s="24">
        <v>44713</v>
      </c>
      <c r="B3872" s="25" t="s">
        <v>123</v>
      </c>
      <c r="C3872" s="25" t="s">
        <v>2</v>
      </c>
      <c r="D3872" s="51">
        <v>2065840</v>
      </c>
    </row>
    <row r="3873" spans="1:4" x14ac:dyDescent="0.2">
      <c r="A3873" s="24">
        <v>44713</v>
      </c>
      <c r="B3873" s="25" t="s">
        <v>129</v>
      </c>
      <c r="C3873" s="25" t="s">
        <v>2</v>
      </c>
      <c r="D3873" s="51">
        <v>96650</v>
      </c>
    </row>
    <row r="3874" spans="1:4" x14ac:dyDescent="0.2">
      <c r="A3874" s="24">
        <v>44713</v>
      </c>
      <c r="B3874" s="25" t="s">
        <v>130</v>
      </c>
      <c r="C3874" s="25" t="s">
        <v>2</v>
      </c>
      <c r="D3874" s="51">
        <v>53636</v>
      </c>
    </row>
    <row r="3875" spans="1:4" x14ac:dyDescent="0.2">
      <c r="A3875" s="24">
        <v>44743</v>
      </c>
      <c r="B3875" s="25" t="s">
        <v>117</v>
      </c>
      <c r="C3875" s="25" t="s">
        <v>4</v>
      </c>
      <c r="D3875" s="51">
        <v>5385400</v>
      </c>
    </row>
    <row r="3876" spans="1:4" x14ac:dyDescent="0.2">
      <c r="A3876" s="24">
        <v>44743</v>
      </c>
      <c r="B3876" s="25" t="s">
        <v>131</v>
      </c>
      <c r="C3876" s="25" t="s">
        <v>4</v>
      </c>
      <c r="D3876" s="51">
        <v>85</v>
      </c>
    </row>
    <row r="3877" spans="1:4" x14ac:dyDescent="0.2">
      <c r="A3877" s="24">
        <v>44743</v>
      </c>
      <c r="B3877" s="25" t="s">
        <v>132</v>
      </c>
      <c r="C3877" s="25" t="s">
        <v>4</v>
      </c>
      <c r="D3877" s="51">
        <v>40</v>
      </c>
    </row>
    <row r="3878" spans="1:4" x14ac:dyDescent="0.2">
      <c r="A3878" s="24">
        <v>44743</v>
      </c>
      <c r="B3878" s="25" t="s">
        <v>133</v>
      </c>
      <c r="C3878" s="25" t="s">
        <v>4</v>
      </c>
      <c r="D3878" s="51">
        <v>18</v>
      </c>
    </row>
    <row r="3879" spans="1:4" x14ac:dyDescent="0.2">
      <c r="A3879" s="24">
        <v>44743</v>
      </c>
      <c r="B3879" s="25" t="s">
        <v>137</v>
      </c>
      <c r="C3879" s="25" t="s">
        <v>4</v>
      </c>
      <c r="D3879" s="51">
        <v>3838227</v>
      </c>
    </row>
    <row r="3880" spans="1:4" x14ac:dyDescent="0.2">
      <c r="A3880" s="24">
        <v>44743</v>
      </c>
      <c r="B3880" s="25" t="s">
        <v>118</v>
      </c>
      <c r="C3880" s="25" t="s">
        <v>4</v>
      </c>
      <c r="D3880" s="51">
        <v>677145</v>
      </c>
    </row>
    <row r="3881" spans="1:4" x14ac:dyDescent="0.2">
      <c r="A3881" s="24">
        <v>44743</v>
      </c>
      <c r="B3881" s="25" t="s">
        <v>134</v>
      </c>
      <c r="C3881" s="25" t="s">
        <v>4</v>
      </c>
      <c r="D3881" s="51">
        <v>1</v>
      </c>
    </row>
    <row r="3882" spans="1:4" x14ac:dyDescent="0.2">
      <c r="A3882" s="24">
        <v>44743</v>
      </c>
      <c r="B3882" s="25" t="s">
        <v>136</v>
      </c>
      <c r="C3882" s="25" t="s">
        <v>4</v>
      </c>
      <c r="D3882" s="51">
        <v>1</v>
      </c>
    </row>
    <row r="3883" spans="1:4" x14ac:dyDescent="0.2">
      <c r="A3883" s="24">
        <v>44743</v>
      </c>
      <c r="B3883" s="25" t="s">
        <v>119</v>
      </c>
      <c r="C3883" s="25" t="s">
        <v>4</v>
      </c>
      <c r="D3883" s="51">
        <v>619503</v>
      </c>
    </row>
    <row r="3884" spans="1:4" x14ac:dyDescent="0.2">
      <c r="A3884" s="24">
        <v>44743</v>
      </c>
      <c r="B3884" s="25" t="s">
        <v>138</v>
      </c>
      <c r="C3884" s="25" t="s">
        <v>4</v>
      </c>
      <c r="D3884" s="51">
        <v>2</v>
      </c>
    </row>
    <row r="3885" spans="1:4" x14ac:dyDescent="0.2">
      <c r="A3885" s="24">
        <v>44743</v>
      </c>
      <c r="B3885" s="25" t="s">
        <v>139</v>
      </c>
      <c r="C3885" s="25" t="s">
        <v>4</v>
      </c>
      <c r="D3885" s="51">
        <v>591</v>
      </c>
    </row>
    <row r="3886" spans="1:4" x14ac:dyDescent="0.2">
      <c r="A3886" s="24">
        <v>44743</v>
      </c>
      <c r="B3886" s="25" t="s">
        <v>120</v>
      </c>
      <c r="C3886" s="25" t="s">
        <v>4</v>
      </c>
      <c r="D3886" s="51">
        <v>51073</v>
      </c>
    </row>
    <row r="3887" spans="1:4" x14ac:dyDescent="0.2">
      <c r="A3887" s="24">
        <v>44743</v>
      </c>
      <c r="B3887" s="25" t="s">
        <v>121</v>
      </c>
      <c r="C3887" s="25" t="s">
        <v>4</v>
      </c>
      <c r="D3887" s="51">
        <v>22670</v>
      </c>
    </row>
    <row r="3888" spans="1:4" x14ac:dyDescent="0.2">
      <c r="A3888" s="24">
        <v>44743</v>
      </c>
      <c r="B3888" s="25" t="s">
        <v>140</v>
      </c>
      <c r="C3888" s="25" t="s">
        <v>4</v>
      </c>
      <c r="D3888" s="51">
        <v>18983</v>
      </c>
    </row>
    <row r="3889" spans="1:4" x14ac:dyDescent="0.2">
      <c r="A3889" s="24">
        <v>44743</v>
      </c>
      <c r="B3889" s="25" t="s">
        <v>122</v>
      </c>
      <c r="C3889" s="25" t="s">
        <v>4</v>
      </c>
      <c r="D3889" s="51">
        <v>649786</v>
      </c>
    </row>
    <row r="3890" spans="1:4" x14ac:dyDescent="0.2">
      <c r="A3890" s="24">
        <v>44743</v>
      </c>
      <c r="B3890" s="25" t="s">
        <v>123</v>
      </c>
      <c r="C3890" s="25" t="s">
        <v>4</v>
      </c>
      <c r="D3890" s="51">
        <v>2590620</v>
      </c>
    </row>
    <row r="3891" spans="1:4" x14ac:dyDescent="0.2">
      <c r="A3891" s="24">
        <v>44743</v>
      </c>
      <c r="B3891" s="25" t="s">
        <v>117</v>
      </c>
      <c r="C3891" s="25" t="s">
        <v>8</v>
      </c>
      <c r="D3891" s="51">
        <v>257423</v>
      </c>
    </row>
    <row r="3892" spans="1:4" x14ac:dyDescent="0.2">
      <c r="A3892" s="24">
        <v>44743</v>
      </c>
      <c r="B3892" s="25" t="s">
        <v>137</v>
      </c>
      <c r="C3892" s="25" t="s">
        <v>8</v>
      </c>
      <c r="D3892" s="51">
        <v>289461</v>
      </c>
    </row>
    <row r="3893" spans="1:4" x14ac:dyDescent="0.2">
      <c r="A3893" s="24">
        <v>44743</v>
      </c>
      <c r="B3893" s="25" t="s">
        <v>118</v>
      </c>
      <c r="C3893" s="25" t="s">
        <v>8</v>
      </c>
      <c r="D3893" s="51">
        <v>71905</v>
      </c>
    </row>
    <row r="3894" spans="1:4" x14ac:dyDescent="0.2">
      <c r="A3894" s="24">
        <v>44743</v>
      </c>
      <c r="B3894" s="25" t="s">
        <v>119</v>
      </c>
      <c r="C3894" s="25" t="s">
        <v>8</v>
      </c>
      <c r="D3894" s="51">
        <v>12041</v>
      </c>
    </row>
    <row r="3895" spans="1:4" x14ac:dyDescent="0.2">
      <c r="A3895" s="24">
        <v>44743</v>
      </c>
      <c r="B3895" s="25" t="s">
        <v>139</v>
      </c>
      <c r="C3895" s="25" t="s">
        <v>8</v>
      </c>
      <c r="D3895" s="51">
        <v>7</v>
      </c>
    </row>
    <row r="3896" spans="1:4" x14ac:dyDescent="0.2">
      <c r="A3896" s="24">
        <v>44743</v>
      </c>
      <c r="B3896" s="25" t="s">
        <v>120</v>
      </c>
      <c r="C3896" s="25" t="s">
        <v>8</v>
      </c>
      <c r="D3896" s="51">
        <v>3361</v>
      </c>
    </row>
    <row r="3897" spans="1:4" x14ac:dyDescent="0.2">
      <c r="A3897" s="24">
        <v>44743</v>
      </c>
      <c r="B3897" s="25" t="s">
        <v>121</v>
      </c>
      <c r="C3897" s="25" t="s">
        <v>8</v>
      </c>
      <c r="D3897" s="51">
        <v>1202</v>
      </c>
    </row>
    <row r="3898" spans="1:4" x14ac:dyDescent="0.2">
      <c r="A3898" s="24">
        <v>44743</v>
      </c>
      <c r="B3898" s="25" t="s">
        <v>122</v>
      </c>
      <c r="C3898" s="25" t="s">
        <v>8</v>
      </c>
      <c r="D3898" s="51">
        <v>3722</v>
      </c>
    </row>
    <row r="3899" spans="1:4" x14ac:dyDescent="0.2">
      <c r="A3899" s="24">
        <v>44743</v>
      </c>
      <c r="B3899" s="25" t="s">
        <v>123</v>
      </c>
      <c r="C3899" s="25" t="s">
        <v>8</v>
      </c>
      <c r="D3899" s="51">
        <v>104607</v>
      </c>
    </row>
    <row r="3900" spans="1:4" x14ac:dyDescent="0.2">
      <c r="A3900" s="24">
        <v>44743</v>
      </c>
      <c r="B3900" s="25" t="s">
        <v>124</v>
      </c>
      <c r="C3900" s="25" t="s">
        <v>8</v>
      </c>
      <c r="D3900" s="51">
        <v>21046</v>
      </c>
    </row>
    <row r="3901" spans="1:4" x14ac:dyDescent="0.2">
      <c r="A3901" s="24">
        <v>44743</v>
      </c>
      <c r="B3901" s="25" t="s">
        <v>125</v>
      </c>
      <c r="C3901" s="25" t="s">
        <v>8</v>
      </c>
      <c r="D3901" s="51">
        <v>15127</v>
      </c>
    </row>
    <row r="3902" spans="1:4" x14ac:dyDescent="0.2">
      <c r="A3902" s="24">
        <v>44743</v>
      </c>
      <c r="B3902" s="25" t="s">
        <v>117</v>
      </c>
      <c r="C3902" s="25" t="s">
        <v>26</v>
      </c>
      <c r="D3902" s="51">
        <v>941788</v>
      </c>
    </row>
    <row r="3903" spans="1:4" x14ac:dyDescent="0.2">
      <c r="A3903" s="24">
        <v>44743</v>
      </c>
      <c r="B3903" s="25" t="s">
        <v>137</v>
      </c>
      <c r="C3903" s="25" t="s">
        <v>26</v>
      </c>
      <c r="D3903" s="51">
        <v>741452</v>
      </c>
    </row>
    <row r="3904" spans="1:4" x14ac:dyDescent="0.2">
      <c r="A3904" s="24">
        <v>44743</v>
      </c>
      <c r="B3904" s="25" t="s">
        <v>118</v>
      </c>
      <c r="C3904" s="25" t="s">
        <v>26</v>
      </c>
      <c r="D3904" s="51">
        <v>107183</v>
      </c>
    </row>
    <row r="3905" spans="1:4" x14ac:dyDescent="0.2">
      <c r="A3905" s="24">
        <v>44743</v>
      </c>
      <c r="B3905" s="25" t="s">
        <v>119</v>
      </c>
      <c r="C3905" s="25" t="s">
        <v>26</v>
      </c>
      <c r="D3905" s="51">
        <v>191810</v>
      </c>
    </row>
    <row r="3906" spans="1:4" x14ac:dyDescent="0.2">
      <c r="A3906" s="24">
        <v>44743</v>
      </c>
      <c r="B3906" s="25" t="s">
        <v>138</v>
      </c>
      <c r="C3906" s="25" t="s">
        <v>26</v>
      </c>
      <c r="D3906" s="51">
        <v>4</v>
      </c>
    </row>
    <row r="3907" spans="1:4" x14ac:dyDescent="0.2">
      <c r="A3907" s="24">
        <v>44743</v>
      </c>
      <c r="B3907" s="25" t="s">
        <v>139</v>
      </c>
      <c r="C3907" s="25" t="s">
        <v>26</v>
      </c>
      <c r="D3907" s="51">
        <v>29</v>
      </c>
    </row>
    <row r="3908" spans="1:4" x14ac:dyDescent="0.2">
      <c r="A3908" s="24">
        <v>44743</v>
      </c>
      <c r="B3908" s="25" t="s">
        <v>120</v>
      </c>
      <c r="C3908" s="25" t="s">
        <v>26</v>
      </c>
      <c r="D3908" s="51">
        <v>7201</v>
      </c>
    </row>
    <row r="3909" spans="1:4" x14ac:dyDescent="0.2">
      <c r="A3909" s="24">
        <v>44743</v>
      </c>
      <c r="B3909" s="25" t="s">
        <v>121</v>
      </c>
      <c r="C3909" s="25" t="s">
        <v>26</v>
      </c>
      <c r="D3909" s="51">
        <v>2344</v>
      </c>
    </row>
    <row r="3910" spans="1:4" x14ac:dyDescent="0.2">
      <c r="A3910" s="24">
        <v>44743</v>
      </c>
      <c r="B3910" s="25" t="s">
        <v>122</v>
      </c>
      <c r="C3910" s="25" t="s">
        <v>26</v>
      </c>
      <c r="D3910" s="51">
        <v>14828</v>
      </c>
    </row>
    <row r="3911" spans="1:4" x14ac:dyDescent="0.2">
      <c r="A3911" s="24">
        <v>44743</v>
      </c>
      <c r="B3911" s="25" t="s">
        <v>123</v>
      </c>
      <c r="C3911" s="25" t="s">
        <v>26</v>
      </c>
      <c r="D3911" s="51">
        <v>275890</v>
      </c>
    </row>
    <row r="3912" spans="1:4" x14ac:dyDescent="0.2">
      <c r="A3912" s="24">
        <v>44743</v>
      </c>
      <c r="B3912" s="25" t="s">
        <v>127</v>
      </c>
      <c r="C3912" s="25" t="s">
        <v>26</v>
      </c>
      <c r="D3912" s="51">
        <v>3443</v>
      </c>
    </row>
    <row r="3913" spans="1:4" x14ac:dyDescent="0.2">
      <c r="A3913" s="24">
        <v>44743</v>
      </c>
      <c r="B3913" s="25" t="s">
        <v>128</v>
      </c>
      <c r="C3913" s="25" t="s">
        <v>26</v>
      </c>
      <c r="D3913" s="51">
        <v>2392</v>
      </c>
    </row>
    <row r="3914" spans="1:4" x14ac:dyDescent="0.2">
      <c r="A3914" s="24">
        <v>44743</v>
      </c>
      <c r="B3914" s="25" t="s">
        <v>117</v>
      </c>
      <c r="C3914" s="25" t="s">
        <v>142</v>
      </c>
      <c r="D3914" s="51">
        <v>602643</v>
      </c>
    </row>
    <row r="3915" spans="1:4" x14ac:dyDescent="0.2">
      <c r="A3915" s="24">
        <v>44743</v>
      </c>
      <c r="B3915" s="25" t="s">
        <v>137</v>
      </c>
      <c r="C3915" s="25" t="s">
        <v>142</v>
      </c>
      <c r="D3915" s="51">
        <v>341982</v>
      </c>
    </row>
    <row r="3916" spans="1:4" x14ac:dyDescent="0.2">
      <c r="A3916" s="24">
        <v>44743</v>
      </c>
      <c r="B3916" s="25" t="s">
        <v>118</v>
      </c>
      <c r="C3916" s="25" t="s">
        <v>142</v>
      </c>
      <c r="D3916" s="51">
        <v>113396</v>
      </c>
    </row>
    <row r="3917" spans="1:4" x14ac:dyDescent="0.2">
      <c r="A3917" s="24">
        <v>44743</v>
      </c>
      <c r="B3917" s="25" t="s">
        <v>119</v>
      </c>
      <c r="C3917" s="25" t="s">
        <v>142</v>
      </c>
      <c r="D3917" s="51">
        <v>102727</v>
      </c>
    </row>
    <row r="3918" spans="1:4" x14ac:dyDescent="0.2">
      <c r="A3918" s="24">
        <v>44743</v>
      </c>
      <c r="B3918" s="25" t="s">
        <v>139</v>
      </c>
      <c r="C3918" s="25" t="s">
        <v>142</v>
      </c>
      <c r="D3918" s="51">
        <v>8</v>
      </c>
    </row>
    <row r="3919" spans="1:4" x14ac:dyDescent="0.2">
      <c r="A3919" s="24">
        <v>44743</v>
      </c>
      <c r="B3919" s="25" t="s">
        <v>120</v>
      </c>
      <c r="C3919" s="25" t="s">
        <v>142</v>
      </c>
      <c r="D3919" s="51">
        <v>7928</v>
      </c>
    </row>
    <row r="3920" spans="1:4" x14ac:dyDescent="0.2">
      <c r="A3920" s="24">
        <v>44743</v>
      </c>
      <c r="B3920" s="25" t="s">
        <v>121</v>
      </c>
      <c r="C3920" s="25" t="s">
        <v>142</v>
      </c>
      <c r="D3920" s="51">
        <v>990</v>
      </c>
    </row>
    <row r="3921" spans="1:4" x14ac:dyDescent="0.2">
      <c r="A3921" s="24">
        <v>44743</v>
      </c>
      <c r="B3921" s="25" t="s">
        <v>122</v>
      </c>
      <c r="C3921" s="25" t="s">
        <v>142</v>
      </c>
      <c r="D3921" s="51">
        <v>64043</v>
      </c>
    </row>
    <row r="3922" spans="1:4" x14ac:dyDescent="0.2">
      <c r="A3922" s="24">
        <v>44743</v>
      </c>
      <c r="B3922" s="25" t="s">
        <v>123</v>
      </c>
      <c r="C3922" s="25" t="s">
        <v>142</v>
      </c>
      <c r="D3922" s="51">
        <v>94024</v>
      </c>
    </row>
    <row r="3923" spans="1:4" x14ac:dyDescent="0.2">
      <c r="A3923" s="24">
        <v>44743</v>
      </c>
      <c r="B3923" s="25" t="s">
        <v>129</v>
      </c>
      <c r="C3923" s="25" t="s">
        <v>142</v>
      </c>
      <c r="D3923" s="51">
        <v>3943</v>
      </c>
    </row>
    <row r="3924" spans="1:4" x14ac:dyDescent="0.2">
      <c r="A3924" s="24">
        <v>44743</v>
      </c>
      <c r="B3924" s="25" t="s">
        <v>130</v>
      </c>
      <c r="C3924" s="25" t="s">
        <v>142</v>
      </c>
      <c r="D3924" s="51">
        <v>5458</v>
      </c>
    </row>
    <row r="3925" spans="1:4" x14ac:dyDescent="0.2">
      <c r="A3925" s="24">
        <v>44743</v>
      </c>
      <c r="B3925" s="25" t="s">
        <v>117</v>
      </c>
      <c r="C3925" s="25" t="s">
        <v>2</v>
      </c>
      <c r="D3925" s="51">
        <v>8505857</v>
      </c>
    </row>
    <row r="3926" spans="1:4" x14ac:dyDescent="0.2">
      <c r="A3926" s="24">
        <v>44743</v>
      </c>
      <c r="B3926" s="25" t="s">
        <v>137</v>
      </c>
      <c r="C3926" s="25" t="s">
        <v>2</v>
      </c>
      <c r="D3926" s="51">
        <v>5029629</v>
      </c>
    </row>
    <row r="3927" spans="1:4" x14ac:dyDescent="0.2">
      <c r="A3927" s="24">
        <v>44743</v>
      </c>
      <c r="B3927" s="25" t="s">
        <v>118</v>
      </c>
      <c r="C3927" s="25" t="s">
        <v>2</v>
      </c>
      <c r="D3927" s="51">
        <v>657340</v>
      </c>
    </row>
    <row r="3928" spans="1:4" x14ac:dyDescent="0.2">
      <c r="A3928" s="24">
        <v>44743</v>
      </c>
      <c r="B3928" s="25" t="s">
        <v>119</v>
      </c>
      <c r="C3928" s="25" t="s">
        <v>2</v>
      </c>
      <c r="D3928" s="51">
        <v>821714</v>
      </c>
    </row>
    <row r="3929" spans="1:4" x14ac:dyDescent="0.2">
      <c r="A3929" s="24">
        <v>44743</v>
      </c>
      <c r="B3929" s="25" t="s">
        <v>138</v>
      </c>
      <c r="C3929" s="25" t="s">
        <v>2</v>
      </c>
      <c r="D3929" s="51">
        <v>10</v>
      </c>
    </row>
    <row r="3930" spans="1:4" x14ac:dyDescent="0.2">
      <c r="A3930" s="24">
        <v>44743</v>
      </c>
      <c r="B3930" s="25" t="s">
        <v>139</v>
      </c>
      <c r="C3930" s="25" t="s">
        <v>2</v>
      </c>
      <c r="D3930" s="51">
        <v>558</v>
      </c>
    </row>
    <row r="3931" spans="1:4" x14ac:dyDescent="0.2">
      <c r="A3931" s="24">
        <v>44743</v>
      </c>
      <c r="B3931" s="25" t="s">
        <v>120</v>
      </c>
      <c r="C3931" s="25" t="s">
        <v>2</v>
      </c>
      <c r="D3931" s="51">
        <v>142520</v>
      </c>
    </row>
    <row r="3932" spans="1:4" x14ac:dyDescent="0.2">
      <c r="A3932" s="24">
        <v>44743</v>
      </c>
      <c r="B3932" s="25" t="s">
        <v>121</v>
      </c>
      <c r="C3932" s="25" t="s">
        <v>2</v>
      </c>
      <c r="D3932" s="51">
        <v>16303</v>
      </c>
    </row>
    <row r="3933" spans="1:4" x14ac:dyDescent="0.2">
      <c r="A3933" s="24">
        <v>44743</v>
      </c>
      <c r="B3933" s="25" t="s">
        <v>122</v>
      </c>
      <c r="C3933" s="25" t="s">
        <v>2</v>
      </c>
      <c r="D3933" s="51">
        <v>446561</v>
      </c>
    </row>
    <row r="3934" spans="1:4" x14ac:dyDescent="0.2">
      <c r="A3934" s="24">
        <v>44743</v>
      </c>
      <c r="B3934" s="25" t="s">
        <v>123</v>
      </c>
      <c r="C3934" s="25" t="s">
        <v>2</v>
      </c>
      <c r="D3934" s="51">
        <v>1673035</v>
      </c>
    </row>
    <row r="3935" spans="1:4" x14ac:dyDescent="0.2">
      <c r="A3935" s="24">
        <v>44743</v>
      </c>
      <c r="B3935" s="25" t="s">
        <v>129</v>
      </c>
      <c r="C3935" s="25" t="s">
        <v>2</v>
      </c>
      <c r="D3935" s="51">
        <v>78750</v>
      </c>
    </row>
    <row r="3936" spans="1:4" x14ac:dyDescent="0.2">
      <c r="A3936" s="24">
        <v>44743</v>
      </c>
      <c r="B3936" s="25" t="s">
        <v>130</v>
      </c>
      <c r="C3936" s="25" t="s">
        <v>2</v>
      </c>
      <c r="D3936" s="51">
        <v>46925</v>
      </c>
    </row>
    <row r="3937" spans="1:4" x14ac:dyDescent="0.2">
      <c r="A3937" s="24">
        <v>44774</v>
      </c>
      <c r="B3937" s="25" t="s">
        <v>117</v>
      </c>
      <c r="C3937" s="25" t="s">
        <v>4</v>
      </c>
      <c r="D3937" s="51">
        <v>6018740</v>
      </c>
    </row>
    <row r="3938" spans="1:4" x14ac:dyDescent="0.2">
      <c r="A3938" s="24">
        <v>44774</v>
      </c>
      <c r="B3938" s="25" t="s">
        <v>131</v>
      </c>
      <c r="C3938" s="25" t="s">
        <v>4</v>
      </c>
      <c r="D3938" s="51">
        <v>94</v>
      </c>
    </row>
    <row r="3939" spans="1:4" x14ac:dyDescent="0.2">
      <c r="A3939" s="24">
        <v>44774</v>
      </c>
      <c r="B3939" s="25" t="s">
        <v>132</v>
      </c>
      <c r="C3939" s="25" t="s">
        <v>4</v>
      </c>
      <c r="D3939" s="51">
        <v>52</v>
      </c>
    </row>
    <row r="3940" spans="1:4" x14ac:dyDescent="0.2">
      <c r="A3940" s="24">
        <v>44774</v>
      </c>
      <c r="B3940" s="25" t="s">
        <v>133</v>
      </c>
      <c r="C3940" s="25" t="s">
        <v>4</v>
      </c>
      <c r="D3940" s="51">
        <v>22</v>
      </c>
    </row>
    <row r="3941" spans="1:4" x14ac:dyDescent="0.2">
      <c r="A3941" s="24">
        <v>44774</v>
      </c>
      <c r="B3941" s="25" t="s">
        <v>137</v>
      </c>
      <c r="C3941" s="25" t="s">
        <v>4</v>
      </c>
      <c r="D3941" s="51">
        <v>4329612</v>
      </c>
    </row>
    <row r="3942" spans="1:4" x14ac:dyDescent="0.2">
      <c r="A3942" s="24">
        <v>44774</v>
      </c>
      <c r="B3942" s="25" t="s">
        <v>118</v>
      </c>
      <c r="C3942" s="25" t="s">
        <v>4</v>
      </c>
      <c r="D3942" s="51">
        <v>556563</v>
      </c>
    </row>
    <row r="3943" spans="1:4" x14ac:dyDescent="0.2">
      <c r="A3943" s="24">
        <v>44774</v>
      </c>
      <c r="B3943" s="25" t="s">
        <v>119</v>
      </c>
      <c r="C3943" s="25" t="s">
        <v>4</v>
      </c>
      <c r="D3943" s="51">
        <v>898039</v>
      </c>
    </row>
    <row r="3944" spans="1:4" x14ac:dyDescent="0.2">
      <c r="A3944" s="24">
        <v>44774</v>
      </c>
      <c r="B3944" s="25" t="s">
        <v>138</v>
      </c>
      <c r="C3944" s="25" t="s">
        <v>4</v>
      </c>
      <c r="D3944" s="51">
        <v>9</v>
      </c>
    </row>
    <row r="3945" spans="1:4" x14ac:dyDescent="0.2">
      <c r="A3945" s="24">
        <v>44774</v>
      </c>
      <c r="B3945" s="25" t="s">
        <v>139</v>
      </c>
      <c r="C3945" s="25" t="s">
        <v>4</v>
      </c>
      <c r="D3945" s="51">
        <v>787</v>
      </c>
    </row>
    <row r="3946" spans="1:4" x14ac:dyDescent="0.2">
      <c r="A3946" s="24">
        <v>44774</v>
      </c>
      <c r="B3946" s="25" t="s">
        <v>120</v>
      </c>
      <c r="C3946" s="25" t="s">
        <v>4</v>
      </c>
      <c r="D3946" s="51">
        <v>55583</v>
      </c>
    </row>
    <row r="3947" spans="1:4" x14ac:dyDescent="0.2">
      <c r="A3947" s="24">
        <v>44774</v>
      </c>
      <c r="B3947" s="25" t="s">
        <v>121</v>
      </c>
      <c r="C3947" s="25" t="s">
        <v>4</v>
      </c>
      <c r="D3947" s="51">
        <v>26661</v>
      </c>
    </row>
    <row r="3948" spans="1:4" x14ac:dyDescent="0.2">
      <c r="A3948" s="24">
        <v>44774</v>
      </c>
      <c r="B3948" s="25" t="s">
        <v>140</v>
      </c>
      <c r="C3948" s="25" t="s">
        <v>4</v>
      </c>
      <c r="D3948" s="51">
        <v>21070</v>
      </c>
    </row>
    <row r="3949" spans="1:4" x14ac:dyDescent="0.2">
      <c r="A3949" s="24">
        <v>44774</v>
      </c>
      <c r="B3949" s="25" t="s">
        <v>122</v>
      </c>
      <c r="C3949" s="25" t="s">
        <v>4</v>
      </c>
      <c r="D3949" s="51">
        <v>1558539</v>
      </c>
    </row>
    <row r="3950" spans="1:4" x14ac:dyDescent="0.2">
      <c r="A3950" s="24">
        <v>44774</v>
      </c>
      <c r="B3950" s="25" t="s">
        <v>123</v>
      </c>
      <c r="C3950" s="25" t="s">
        <v>4</v>
      </c>
      <c r="D3950" s="51">
        <v>2936059</v>
      </c>
    </row>
    <row r="3951" spans="1:4" x14ac:dyDescent="0.2">
      <c r="A3951" s="24">
        <v>44774</v>
      </c>
      <c r="B3951" s="25" t="s">
        <v>117</v>
      </c>
      <c r="C3951" s="25" t="s">
        <v>8</v>
      </c>
      <c r="D3951" s="51">
        <v>294302</v>
      </c>
    </row>
    <row r="3952" spans="1:4" x14ac:dyDescent="0.2">
      <c r="A3952" s="24">
        <v>44774</v>
      </c>
      <c r="B3952" s="25" t="s">
        <v>137</v>
      </c>
      <c r="C3952" s="25" t="s">
        <v>8</v>
      </c>
      <c r="D3952" s="51">
        <v>341515</v>
      </c>
    </row>
    <row r="3953" spans="1:4" x14ac:dyDescent="0.2">
      <c r="A3953" s="24">
        <v>44774</v>
      </c>
      <c r="B3953" s="25" t="s">
        <v>118</v>
      </c>
      <c r="C3953" s="25" t="s">
        <v>8</v>
      </c>
      <c r="D3953" s="51">
        <v>44986</v>
      </c>
    </row>
    <row r="3954" spans="1:4" x14ac:dyDescent="0.2">
      <c r="A3954" s="24">
        <v>44774</v>
      </c>
      <c r="B3954" s="25" t="s">
        <v>119</v>
      </c>
      <c r="C3954" s="25" t="s">
        <v>8</v>
      </c>
      <c r="D3954" s="51">
        <v>16600</v>
      </c>
    </row>
    <row r="3955" spans="1:4" x14ac:dyDescent="0.2">
      <c r="A3955" s="24">
        <v>44774</v>
      </c>
      <c r="B3955" s="25" t="s">
        <v>139</v>
      </c>
      <c r="C3955" s="25" t="s">
        <v>8</v>
      </c>
      <c r="D3955" s="51">
        <v>7</v>
      </c>
    </row>
    <row r="3956" spans="1:4" x14ac:dyDescent="0.2">
      <c r="A3956" s="24">
        <v>44774</v>
      </c>
      <c r="B3956" s="25" t="s">
        <v>120</v>
      </c>
      <c r="C3956" s="25" t="s">
        <v>8</v>
      </c>
      <c r="D3956" s="51">
        <v>3470</v>
      </c>
    </row>
    <row r="3957" spans="1:4" x14ac:dyDescent="0.2">
      <c r="A3957" s="24">
        <v>44774</v>
      </c>
      <c r="B3957" s="25" t="s">
        <v>121</v>
      </c>
      <c r="C3957" s="25" t="s">
        <v>8</v>
      </c>
      <c r="D3957" s="51">
        <v>1429</v>
      </c>
    </row>
    <row r="3958" spans="1:4" x14ac:dyDescent="0.2">
      <c r="A3958" s="24">
        <v>44774</v>
      </c>
      <c r="B3958" s="25" t="s">
        <v>122</v>
      </c>
      <c r="C3958" s="25" t="s">
        <v>8</v>
      </c>
      <c r="D3958" s="51">
        <v>9400</v>
      </c>
    </row>
    <row r="3959" spans="1:4" x14ac:dyDescent="0.2">
      <c r="A3959" s="24">
        <v>44774</v>
      </c>
      <c r="B3959" s="25" t="s">
        <v>123</v>
      </c>
      <c r="C3959" s="25" t="s">
        <v>8</v>
      </c>
      <c r="D3959" s="51">
        <v>137410</v>
      </c>
    </row>
    <row r="3960" spans="1:4" x14ac:dyDescent="0.2">
      <c r="A3960" s="24">
        <v>44774</v>
      </c>
      <c r="B3960" s="25" t="s">
        <v>124</v>
      </c>
      <c r="C3960" s="25" t="s">
        <v>8</v>
      </c>
      <c r="D3960" s="51">
        <v>21714</v>
      </c>
    </row>
    <row r="3961" spans="1:4" x14ac:dyDescent="0.2">
      <c r="A3961" s="24">
        <v>44774</v>
      </c>
      <c r="B3961" s="25" t="s">
        <v>125</v>
      </c>
      <c r="C3961" s="25" t="s">
        <v>8</v>
      </c>
      <c r="D3961" s="51">
        <v>9912</v>
      </c>
    </row>
    <row r="3962" spans="1:4" x14ac:dyDescent="0.2">
      <c r="A3962" s="24">
        <v>44774</v>
      </c>
      <c r="B3962" s="25" t="s">
        <v>117</v>
      </c>
      <c r="C3962" s="25" t="s">
        <v>26</v>
      </c>
      <c r="D3962" s="51">
        <v>982069</v>
      </c>
    </row>
    <row r="3963" spans="1:4" x14ac:dyDescent="0.2">
      <c r="A3963" s="24">
        <v>44774</v>
      </c>
      <c r="B3963" s="25" t="s">
        <v>137</v>
      </c>
      <c r="C3963" s="25" t="s">
        <v>26</v>
      </c>
      <c r="D3963" s="51">
        <v>778397</v>
      </c>
    </row>
    <row r="3964" spans="1:4" x14ac:dyDescent="0.2">
      <c r="A3964" s="24">
        <v>44774</v>
      </c>
      <c r="B3964" s="25" t="s">
        <v>118</v>
      </c>
      <c r="C3964" s="25" t="s">
        <v>26</v>
      </c>
      <c r="D3964" s="51">
        <v>61505</v>
      </c>
    </row>
    <row r="3965" spans="1:4" x14ac:dyDescent="0.2">
      <c r="A3965" s="24">
        <v>44774</v>
      </c>
      <c r="B3965" s="25" t="s">
        <v>119</v>
      </c>
      <c r="C3965" s="25" t="s">
        <v>26</v>
      </c>
      <c r="D3965" s="51">
        <v>172408</v>
      </c>
    </row>
    <row r="3966" spans="1:4" x14ac:dyDescent="0.2">
      <c r="A3966" s="24">
        <v>44774</v>
      </c>
      <c r="B3966" s="25" t="s">
        <v>138</v>
      </c>
      <c r="C3966" s="25" t="s">
        <v>26</v>
      </c>
      <c r="D3966" s="51">
        <v>5</v>
      </c>
    </row>
    <row r="3967" spans="1:4" x14ac:dyDescent="0.2">
      <c r="A3967" s="24">
        <v>44774</v>
      </c>
      <c r="B3967" s="25" t="s">
        <v>139</v>
      </c>
      <c r="C3967" s="25" t="s">
        <v>26</v>
      </c>
      <c r="D3967" s="51">
        <v>38</v>
      </c>
    </row>
    <row r="3968" spans="1:4" x14ac:dyDescent="0.2">
      <c r="A3968" s="24">
        <v>44774</v>
      </c>
      <c r="B3968" s="25" t="s">
        <v>120</v>
      </c>
      <c r="C3968" s="25" t="s">
        <v>26</v>
      </c>
      <c r="D3968" s="51">
        <v>7555</v>
      </c>
    </row>
    <row r="3969" spans="1:4" x14ac:dyDescent="0.2">
      <c r="A3969" s="24">
        <v>44774</v>
      </c>
      <c r="B3969" s="25" t="s">
        <v>121</v>
      </c>
      <c r="C3969" s="25" t="s">
        <v>26</v>
      </c>
      <c r="D3969" s="51">
        <v>2619</v>
      </c>
    </row>
    <row r="3970" spans="1:4" x14ac:dyDescent="0.2">
      <c r="A3970" s="24">
        <v>44774</v>
      </c>
      <c r="B3970" s="25" t="s">
        <v>122</v>
      </c>
      <c r="C3970" s="25" t="s">
        <v>26</v>
      </c>
      <c r="D3970" s="51">
        <v>33868</v>
      </c>
    </row>
    <row r="3971" spans="1:4" x14ac:dyDescent="0.2">
      <c r="A3971" s="24">
        <v>44774</v>
      </c>
      <c r="B3971" s="25" t="s">
        <v>123</v>
      </c>
      <c r="C3971" s="25" t="s">
        <v>26</v>
      </c>
      <c r="D3971" s="51">
        <v>307001</v>
      </c>
    </row>
    <row r="3972" spans="1:4" x14ac:dyDescent="0.2">
      <c r="A3972" s="24">
        <v>44774</v>
      </c>
      <c r="B3972" s="25" t="s">
        <v>127</v>
      </c>
      <c r="C3972" s="25" t="s">
        <v>26</v>
      </c>
      <c r="D3972" s="51">
        <v>3200</v>
      </c>
    </row>
    <row r="3973" spans="1:4" x14ac:dyDescent="0.2">
      <c r="A3973" s="24">
        <v>44774</v>
      </c>
      <c r="B3973" s="25" t="s">
        <v>128</v>
      </c>
      <c r="C3973" s="25" t="s">
        <v>26</v>
      </c>
      <c r="D3973" s="51">
        <v>1261</v>
      </c>
    </row>
    <row r="3974" spans="1:4" x14ac:dyDescent="0.2">
      <c r="A3974" s="24">
        <v>44774</v>
      </c>
      <c r="B3974" s="25" t="s">
        <v>117</v>
      </c>
      <c r="C3974" s="25" t="s">
        <v>142</v>
      </c>
      <c r="D3974" s="51">
        <v>680455</v>
      </c>
    </row>
    <row r="3975" spans="1:4" x14ac:dyDescent="0.2">
      <c r="A3975" s="24">
        <v>44774</v>
      </c>
      <c r="B3975" s="25" t="s">
        <v>137</v>
      </c>
      <c r="C3975" s="25" t="s">
        <v>142</v>
      </c>
      <c r="D3975" s="51">
        <v>399797</v>
      </c>
    </row>
    <row r="3976" spans="1:4" x14ac:dyDescent="0.2">
      <c r="A3976" s="24">
        <v>44774</v>
      </c>
      <c r="B3976" s="25" t="s">
        <v>118</v>
      </c>
      <c r="C3976" s="25" t="s">
        <v>142</v>
      </c>
      <c r="D3976" s="51">
        <v>68298</v>
      </c>
    </row>
    <row r="3977" spans="1:4" x14ac:dyDescent="0.2">
      <c r="A3977" s="24">
        <v>44774</v>
      </c>
      <c r="B3977" s="25" t="s">
        <v>119</v>
      </c>
      <c r="C3977" s="25" t="s">
        <v>142</v>
      </c>
      <c r="D3977" s="51">
        <v>186240</v>
      </c>
    </row>
    <row r="3978" spans="1:4" x14ac:dyDescent="0.2">
      <c r="A3978" s="24">
        <v>44774</v>
      </c>
      <c r="B3978" s="25" t="s">
        <v>139</v>
      </c>
      <c r="C3978" s="25" t="s">
        <v>142</v>
      </c>
      <c r="D3978" s="51">
        <v>3</v>
      </c>
    </row>
    <row r="3979" spans="1:4" x14ac:dyDescent="0.2">
      <c r="A3979" s="24">
        <v>44774</v>
      </c>
      <c r="B3979" s="25" t="s">
        <v>120</v>
      </c>
      <c r="C3979" s="25" t="s">
        <v>142</v>
      </c>
      <c r="D3979" s="51">
        <v>8780</v>
      </c>
    </row>
    <row r="3980" spans="1:4" x14ac:dyDescent="0.2">
      <c r="A3980" s="24">
        <v>44774</v>
      </c>
      <c r="B3980" s="25" t="s">
        <v>121</v>
      </c>
      <c r="C3980" s="25" t="s">
        <v>142</v>
      </c>
      <c r="D3980" s="51">
        <v>1041</v>
      </c>
    </row>
    <row r="3981" spans="1:4" x14ac:dyDescent="0.2">
      <c r="A3981" s="24">
        <v>44774</v>
      </c>
      <c r="B3981" s="25" t="s">
        <v>122</v>
      </c>
      <c r="C3981" s="25" t="s">
        <v>142</v>
      </c>
      <c r="D3981" s="51">
        <v>148403</v>
      </c>
    </row>
    <row r="3982" spans="1:4" x14ac:dyDescent="0.2">
      <c r="A3982" s="24">
        <v>44774</v>
      </c>
      <c r="B3982" s="25" t="s">
        <v>123</v>
      </c>
      <c r="C3982" s="25" t="s">
        <v>142</v>
      </c>
      <c r="D3982" s="51">
        <v>102663</v>
      </c>
    </row>
    <row r="3983" spans="1:4" x14ac:dyDescent="0.2">
      <c r="A3983" s="24">
        <v>44774</v>
      </c>
      <c r="B3983" s="25" t="s">
        <v>129</v>
      </c>
      <c r="C3983" s="25" t="s">
        <v>142</v>
      </c>
      <c r="D3983" s="51">
        <v>3449</v>
      </c>
    </row>
    <row r="3984" spans="1:4" x14ac:dyDescent="0.2">
      <c r="A3984" s="24">
        <v>44774</v>
      </c>
      <c r="B3984" s="25" t="s">
        <v>130</v>
      </c>
      <c r="C3984" s="25" t="s">
        <v>142</v>
      </c>
      <c r="D3984" s="51">
        <v>3428</v>
      </c>
    </row>
    <row r="3985" spans="1:4" x14ac:dyDescent="0.2">
      <c r="A3985" s="24">
        <v>44774</v>
      </c>
      <c r="B3985" s="25" t="s">
        <v>117</v>
      </c>
      <c r="C3985" s="25" t="s">
        <v>2</v>
      </c>
      <c r="D3985" s="51">
        <v>8832790</v>
      </c>
    </row>
    <row r="3986" spans="1:4" x14ac:dyDescent="0.2">
      <c r="A3986" s="24">
        <v>44774</v>
      </c>
      <c r="B3986" s="25" t="s">
        <v>137</v>
      </c>
      <c r="C3986" s="25" t="s">
        <v>2</v>
      </c>
      <c r="D3986" s="51">
        <v>5206540</v>
      </c>
    </row>
    <row r="3987" spans="1:4" x14ac:dyDescent="0.2">
      <c r="A3987" s="24">
        <v>44774</v>
      </c>
      <c r="B3987" s="25" t="s">
        <v>118</v>
      </c>
      <c r="C3987" s="25" t="s">
        <v>2</v>
      </c>
      <c r="D3987" s="51">
        <v>416534</v>
      </c>
    </row>
    <row r="3988" spans="1:4" x14ac:dyDescent="0.2">
      <c r="A3988" s="24">
        <v>44774</v>
      </c>
      <c r="B3988" s="25" t="s">
        <v>119</v>
      </c>
      <c r="C3988" s="25" t="s">
        <v>2</v>
      </c>
      <c r="D3988" s="51">
        <v>1138259</v>
      </c>
    </row>
    <row r="3989" spans="1:4" x14ac:dyDescent="0.2">
      <c r="A3989" s="24">
        <v>44774</v>
      </c>
      <c r="B3989" s="25" t="s">
        <v>138</v>
      </c>
      <c r="C3989" s="25" t="s">
        <v>2</v>
      </c>
      <c r="D3989" s="51">
        <v>7</v>
      </c>
    </row>
    <row r="3990" spans="1:4" x14ac:dyDescent="0.2">
      <c r="A3990" s="24">
        <v>44774</v>
      </c>
      <c r="B3990" s="25" t="s">
        <v>139</v>
      </c>
      <c r="C3990" s="25" t="s">
        <v>2</v>
      </c>
      <c r="D3990" s="51">
        <v>562</v>
      </c>
    </row>
    <row r="3991" spans="1:4" x14ac:dyDescent="0.2">
      <c r="A3991" s="24">
        <v>44774</v>
      </c>
      <c r="B3991" s="25" t="s">
        <v>120</v>
      </c>
      <c r="C3991" s="25" t="s">
        <v>2</v>
      </c>
      <c r="D3991" s="51">
        <v>108228</v>
      </c>
    </row>
    <row r="3992" spans="1:4" x14ac:dyDescent="0.2">
      <c r="A3992" s="24">
        <v>44774</v>
      </c>
      <c r="B3992" s="25" t="s">
        <v>121</v>
      </c>
      <c r="C3992" s="25" t="s">
        <v>2</v>
      </c>
      <c r="D3992" s="51">
        <v>15758</v>
      </c>
    </row>
    <row r="3993" spans="1:4" x14ac:dyDescent="0.2">
      <c r="A3993" s="24">
        <v>44774</v>
      </c>
      <c r="B3993" s="25" t="s">
        <v>122</v>
      </c>
      <c r="C3993" s="25" t="s">
        <v>2</v>
      </c>
      <c r="D3993" s="51">
        <v>896023</v>
      </c>
    </row>
    <row r="3994" spans="1:4" x14ac:dyDescent="0.2">
      <c r="A3994" s="24">
        <v>44774</v>
      </c>
      <c r="B3994" s="25" t="s">
        <v>123</v>
      </c>
      <c r="C3994" s="25" t="s">
        <v>2</v>
      </c>
      <c r="D3994" s="51">
        <v>1783567</v>
      </c>
    </row>
    <row r="3995" spans="1:4" x14ac:dyDescent="0.2">
      <c r="A3995" s="24">
        <v>44774</v>
      </c>
      <c r="B3995" s="25" t="s">
        <v>129</v>
      </c>
      <c r="C3995" s="25" t="s">
        <v>2</v>
      </c>
      <c r="D3995" s="51">
        <v>68780</v>
      </c>
    </row>
    <row r="3996" spans="1:4" x14ac:dyDescent="0.2">
      <c r="A3996" s="24">
        <v>44774</v>
      </c>
      <c r="B3996" s="25" t="s">
        <v>130</v>
      </c>
      <c r="C3996" s="25" t="s">
        <v>2</v>
      </c>
      <c r="D3996" s="51">
        <v>24711</v>
      </c>
    </row>
    <row r="3997" spans="1:4" x14ac:dyDescent="0.2">
      <c r="A3997" s="24">
        <v>44805</v>
      </c>
      <c r="B3997" s="25" t="s">
        <v>117</v>
      </c>
      <c r="C3997" s="25" t="s">
        <v>4</v>
      </c>
      <c r="D3997" s="51">
        <v>5809458</v>
      </c>
    </row>
    <row r="3998" spans="1:4" x14ac:dyDescent="0.2">
      <c r="A3998" s="24">
        <v>44805</v>
      </c>
      <c r="B3998" s="25" t="s">
        <v>131</v>
      </c>
      <c r="C3998" s="25" t="s">
        <v>4</v>
      </c>
      <c r="D3998" s="51">
        <v>81</v>
      </c>
    </row>
    <row r="3999" spans="1:4" x14ac:dyDescent="0.2">
      <c r="A3999" s="24">
        <v>44805</v>
      </c>
      <c r="B3999" s="25" t="s">
        <v>132</v>
      </c>
      <c r="C3999" s="25" t="s">
        <v>4</v>
      </c>
      <c r="D3999" s="51">
        <v>48</v>
      </c>
    </row>
    <row r="4000" spans="1:4" x14ac:dyDescent="0.2">
      <c r="A4000" s="24">
        <v>44805</v>
      </c>
      <c r="B4000" s="25" t="s">
        <v>133</v>
      </c>
      <c r="C4000" s="25" t="s">
        <v>4</v>
      </c>
      <c r="D4000" s="51">
        <v>24</v>
      </c>
    </row>
    <row r="4001" spans="1:4" x14ac:dyDescent="0.2">
      <c r="A4001" s="24">
        <v>44805</v>
      </c>
      <c r="B4001" s="25" t="s">
        <v>137</v>
      </c>
      <c r="C4001" s="25" t="s">
        <v>4</v>
      </c>
      <c r="D4001" s="51">
        <v>4348438</v>
      </c>
    </row>
    <row r="4002" spans="1:4" x14ac:dyDescent="0.2">
      <c r="A4002" s="24">
        <v>44805</v>
      </c>
      <c r="B4002" s="25" t="s">
        <v>118</v>
      </c>
      <c r="C4002" s="25" t="s">
        <v>4</v>
      </c>
      <c r="D4002" s="51">
        <v>623682</v>
      </c>
    </row>
    <row r="4003" spans="1:4" x14ac:dyDescent="0.2">
      <c r="A4003" s="24">
        <v>44805</v>
      </c>
      <c r="B4003" s="25" t="s">
        <v>134</v>
      </c>
      <c r="C4003" s="25" t="s">
        <v>4</v>
      </c>
      <c r="D4003" s="51">
        <v>5</v>
      </c>
    </row>
    <row r="4004" spans="1:4" x14ac:dyDescent="0.2">
      <c r="A4004" s="24">
        <v>44805</v>
      </c>
      <c r="B4004" s="25" t="s">
        <v>135</v>
      </c>
      <c r="C4004" s="25" t="s">
        <v>4</v>
      </c>
      <c r="D4004" s="51">
        <v>7</v>
      </c>
    </row>
    <row r="4005" spans="1:4" x14ac:dyDescent="0.2">
      <c r="A4005" s="24">
        <v>44805</v>
      </c>
      <c r="B4005" s="25" t="s">
        <v>119</v>
      </c>
      <c r="C4005" s="25" t="s">
        <v>4</v>
      </c>
      <c r="D4005" s="51">
        <v>747522</v>
      </c>
    </row>
    <row r="4006" spans="1:4" x14ac:dyDescent="0.2">
      <c r="A4006" s="24">
        <v>44805</v>
      </c>
      <c r="B4006" s="25" t="s">
        <v>138</v>
      </c>
      <c r="C4006" s="25" t="s">
        <v>4</v>
      </c>
      <c r="D4006" s="51">
        <v>6</v>
      </c>
    </row>
    <row r="4007" spans="1:4" x14ac:dyDescent="0.2">
      <c r="A4007" s="24">
        <v>44805</v>
      </c>
      <c r="B4007" s="25" t="s">
        <v>139</v>
      </c>
      <c r="C4007" s="25" t="s">
        <v>4</v>
      </c>
      <c r="D4007" s="51">
        <v>693</v>
      </c>
    </row>
    <row r="4008" spans="1:4" x14ac:dyDescent="0.2">
      <c r="A4008" s="24">
        <v>44805</v>
      </c>
      <c r="B4008" s="25" t="s">
        <v>120</v>
      </c>
      <c r="C4008" s="25" t="s">
        <v>4</v>
      </c>
      <c r="D4008" s="51">
        <v>53584</v>
      </c>
    </row>
    <row r="4009" spans="1:4" x14ac:dyDescent="0.2">
      <c r="A4009" s="24">
        <v>44805</v>
      </c>
      <c r="B4009" s="25" t="s">
        <v>121</v>
      </c>
      <c r="C4009" s="25" t="s">
        <v>4</v>
      </c>
      <c r="D4009" s="51">
        <v>24843</v>
      </c>
    </row>
    <row r="4010" spans="1:4" x14ac:dyDescent="0.2">
      <c r="A4010" s="24">
        <v>44805</v>
      </c>
      <c r="B4010" s="25" t="s">
        <v>140</v>
      </c>
      <c r="C4010" s="25" t="s">
        <v>4</v>
      </c>
      <c r="D4010" s="51">
        <v>21062</v>
      </c>
    </row>
    <row r="4011" spans="1:4" x14ac:dyDescent="0.2">
      <c r="A4011" s="24">
        <v>44805</v>
      </c>
      <c r="B4011" s="25" t="s">
        <v>122</v>
      </c>
      <c r="C4011" s="25" t="s">
        <v>4</v>
      </c>
      <c r="D4011" s="51">
        <v>1050246</v>
      </c>
    </row>
    <row r="4012" spans="1:4" x14ac:dyDescent="0.2">
      <c r="A4012" s="24">
        <v>44805</v>
      </c>
      <c r="B4012" s="25" t="s">
        <v>123</v>
      </c>
      <c r="C4012" s="25" t="s">
        <v>4</v>
      </c>
      <c r="D4012" s="51">
        <v>2807482</v>
      </c>
    </row>
    <row r="4013" spans="1:4" x14ac:dyDescent="0.2">
      <c r="A4013" s="24">
        <v>44805</v>
      </c>
      <c r="B4013" s="25" t="s">
        <v>117</v>
      </c>
      <c r="C4013" s="25" t="s">
        <v>8</v>
      </c>
      <c r="D4013" s="51">
        <v>302439</v>
      </c>
    </row>
    <row r="4014" spans="1:4" x14ac:dyDescent="0.2">
      <c r="A4014" s="24">
        <v>44805</v>
      </c>
      <c r="B4014" s="25" t="s">
        <v>137</v>
      </c>
      <c r="C4014" s="25" t="s">
        <v>8</v>
      </c>
      <c r="D4014" s="51">
        <v>369608</v>
      </c>
    </row>
    <row r="4015" spans="1:4" x14ac:dyDescent="0.2">
      <c r="A4015" s="24">
        <v>44805</v>
      </c>
      <c r="B4015" s="25" t="s">
        <v>118</v>
      </c>
      <c r="C4015" s="25" t="s">
        <v>8</v>
      </c>
      <c r="D4015" s="51">
        <v>69066</v>
      </c>
    </row>
    <row r="4016" spans="1:4" x14ac:dyDescent="0.2">
      <c r="A4016" s="24">
        <v>44805</v>
      </c>
      <c r="B4016" s="25" t="s">
        <v>119</v>
      </c>
      <c r="C4016" s="25" t="s">
        <v>8</v>
      </c>
      <c r="D4016" s="51">
        <v>14785</v>
      </c>
    </row>
    <row r="4017" spans="1:4" x14ac:dyDescent="0.2">
      <c r="A4017" s="24">
        <v>44805</v>
      </c>
      <c r="B4017" s="25" t="s">
        <v>138</v>
      </c>
      <c r="C4017" s="25" t="s">
        <v>8</v>
      </c>
      <c r="D4017" s="51">
        <v>6</v>
      </c>
    </row>
    <row r="4018" spans="1:4" x14ac:dyDescent="0.2">
      <c r="A4018" s="24">
        <v>44805</v>
      </c>
      <c r="B4018" s="25" t="s">
        <v>139</v>
      </c>
      <c r="C4018" s="25" t="s">
        <v>8</v>
      </c>
      <c r="D4018" s="51">
        <v>34</v>
      </c>
    </row>
    <row r="4019" spans="1:4" x14ac:dyDescent="0.2">
      <c r="A4019" s="24">
        <v>44805</v>
      </c>
      <c r="B4019" s="25" t="s">
        <v>120</v>
      </c>
      <c r="C4019" s="25" t="s">
        <v>8</v>
      </c>
      <c r="D4019" s="51">
        <v>3624</v>
      </c>
    </row>
    <row r="4020" spans="1:4" x14ac:dyDescent="0.2">
      <c r="A4020" s="24">
        <v>44805</v>
      </c>
      <c r="B4020" s="25" t="s">
        <v>121</v>
      </c>
      <c r="C4020" s="25" t="s">
        <v>8</v>
      </c>
      <c r="D4020" s="51">
        <v>1485</v>
      </c>
    </row>
    <row r="4021" spans="1:4" x14ac:dyDescent="0.2">
      <c r="A4021" s="24">
        <v>44805</v>
      </c>
      <c r="B4021" s="25" t="s">
        <v>122</v>
      </c>
      <c r="C4021" s="25" t="s">
        <v>8</v>
      </c>
      <c r="D4021" s="51">
        <v>7475</v>
      </c>
    </row>
    <row r="4022" spans="1:4" x14ac:dyDescent="0.2">
      <c r="A4022" s="24">
        <v>44805</v>
      </c>
      <c r="B4022" s="25" t="s">
        <v>123</v>
      </c>
      <c r="C4022" s="25" t="s">
        <v>8</v>
      </c>
      <c r="D4022" s="51">
        <v>135130</v>
      </c>
    </row>
    <row r="4023" spans="1:4" x14ac:dyDescent="0.2">
      <c r="A4023" s="24">
        <v>44805</v>
      </c>
      <c r="B4023" s="25" t="s">
        <v>124</v>
      </c>
      <c r="C4023" s="25" t="s">
        <v>8</v>
      </c>
      <c r="D4023" s="51">
        <v>24863</v>
      </c>
    </row>
    <row r="4024" spans="1:4" x14ac:dyDescent="0.2">
      <c r="A4024" s="24">
        <v>44805</v>
      </c>
      <c r="B4024" s="25" t="s">
        <v>125</v>
      </c>
      <c r="C4024" s="25" t="s">
        <v>8</v>
      </c>
      <c r="D4024" s="51">
        <v>15116</v>
      </c>
    </row>
    <row r="4025" spans="1:4" x14ac:dyDescent="0.2">
      <c r="A4025" s="24">
        <v>44805</v>
      </c>
      <c r="B4025" s="25" t="s">
        <v>117</v>
      </c>
      <c r="C4025" s="25" t="s">
        <v>26</v>
      </c>
      <c r="D4025" s="51">
        <v>1017785</v>
      </c>
    </row>
    <row r="4026" spans="1:4" x14ac:dyDescent="0.2">
      <c r="A4026" s="24">
        <v>44805</v>
      </c>
      <c r="B4026" s="25" t="s">
        <v>137</v>
      </c>
      <c r="C4026" s="25" t="s">
        <v>26</v>
      </c>
      <c r="D4026" s="51">
        <v>839697</v>
      </c>
    </row>
    <row r="4027" spans="1:4" x14ac:dyDescent="0.2">
      <c r="A4027" s="24">
        <v>44805</v>
      </c>
      <c r="B4027" s="25" t="s">
        <v>118</v>
      </c>
      <c r="C4027" s="25" t="s">
        <v>26</v>
      </c>
      <c r="D4027" s="51">
        <v>91882</v>
      </c>
    </row>
    <row r="4028" spans="1:4" x14ac:dyDescent="0.2">
      <c r="A4028" s="24">
        <v>44805</v>
      </c>
      <c r="B4028" s="25" t="s">
        <v>119</v>
      </c>
      <c r="C4028" s="25" t="s">
        <v>26</v>
      </c>
      <c r="D4028" s="51">
        <v>202936</v>
      </c>
    </row>
    <row r="4029" spans="1:4" x14ac:dyDescent="0.2">
      <c r="A4029" s="24">
        <v>44805</v>
      </c>
      <c r="B4029" s="25" t="s">
        <v>139</v>
      </c>
      <c r="C4029" s="25" t="s">
        <v>26</v>
      </c>
      <c r="D4029" s="51">
        <v>19</v>
      </c>
    </row>
    <row r="4030" spans="1:4" x14ac:dyDescent="0.2">
      <c r="A4030" s="24">
        <v>44805</v>
      </c>
      <c r="B4030" s="25" t="s">
        <v>120</v>
      </c>
      <c r="C4030" s="25" t="s">
        <v>26</v>
      </c>
      <c r="D4030" s="51">
        <v>7184</v>
      </c>
    </row>
    <row r="4031" spans="1:4" x14ac:dyDescent="0.2">
      <c r="A4031" s="24">
        <v>44805</v>
      </c>
      <c r="B4031" s="25" t="s">
        <v>121</v>
      </c>
      <c r="C4031" s="25" t="s">
        <v>26</v>
      </c>
      <c r="D4031" s="51">
        <v>2657</v>
      </c>
    </row>
    <row r="4032" spans="1:4" x14ac:dyDescent="0.2">
      <c r="A4032" s="24">
        <v>44805</v>
      </c>
      <c r="B4032" s="25" t="s">
        <v>122</v>
      </c>
      <c r="C4032" s="25" t="s">
        <v>26</v>
      </c>
      <c r="D4032" s="51">
        <v>26405</v>
      </c>
    </row>
    <row r="4033" spans="1:4" x14ac:dyDescent="0.2">
      <c r="A4033" s="24">
        <v>44805</v>
      </c>
      <c r="B4033" s="25" t="s">
        <v>123</v>
      </c>
      <c r="C4033" s="25" t="s">
        <v>26</v>
      </c>
      <c r="D4033" s="51">
        <v>305705</v>
      </c>
    </row>
    <row r="4034" spans="1:4" x14ac:dyDescent="0.2">
      <c r="A4034" s="24">
        <v>44805</v>
      </c>
      <c r="B4034" s="25" t="s">
        <v>127</v>
      </c>
      <c r="C4034" s="25" t="s">
        <v>26</v>
      </c>
      <c r="D4034" s="51">
        <v>3426</v>
      </c>
    </row>
    <row r="4035" spans="1:4" x14ac:dyDescent="0.2">
      <c r="A4035" s="24">
        <v>44805</v>
      </c>
      <c r="B4035" s="25" t="s">
        <v>128</v>
      </c>
      <c r="C4035" s="25" t="s">
        <v>26</v>
      </c>
      <c r="D4035" s="51">
        <v>1837</v>
      </c>
    </row>
    <row r="4036" spans="1:4" x14ac:dyDescent="0.2">
      <c r="A4036" s="24">
        <v>44805</v>
      </c>
      <c r="B4036" s="25" t="s">
        <v>117</v>
      </c>
      <c r="C4036" s="25" t="s">
        <v>142</v>
      </c>
      <c r="D4036" s="51">
        <v>660673</v>
      </c>
    </row>
    <row r="4037" spans="1:4" x14ac:dyDescent="0.2">
      <c r="A4037" s="24">
        <v>44805</v>
      </c>
      <c r="B4037" s="25" t="s">
        <v>137</v>
      </c>
      <c r="C4037" s="25" t="s">
        <v>142</v>
      </c>
      <c r="D4037" s="51">
        <v>397176</v>
      </c>
    </row>
    <row r="4038" spans="1:4" x14ac:dyDescent="0.2">
      <c r="A4038" s="24">
        <v>44805</v>
      </c>
      <c r="B4038" s="25" t="s">
        <v>118</v>
      </c>
      <c r="C4038" s="25" t="s">
        <v>142</v>
      </c>
      <c r="D4038" s="51">
        <v>88386</v>
      </c>
    </row>
    <row r="4039" spans="1:4" x14ac:dyDescent="0.2">
      <c r="A4039" s="24">
        <v>44805</v>
      </c>
      <c r="B4039" s="25" t="s">
        <v>119</v>
      </c>
      <c r="C4039" s="25" t="s">
        <v>142</v>
      </c>
      <c r="D4039" s="51">
        <v>132959</v>
      </c>
    </row>
    <row r="4040" spans="1:4" x14ac:dyDescent="0.2">
      <c r="A4040" s="24">
        <v>44805</v>
      </c>
      <c r="B4040" s="25" t="s">
        <v>139</v>
      </c>
      <c r="C4040" s="25" t="s">
        <v>142</v>
      </c>
      <c r="D4040" s="51">
        <v>4</v>
      </c>
    </row>
    <row r="4041" spans="1:4" x14ac:dyDescent="0.2">
      <c r="A4041" s="24">
        <v>44805</v>
      </c>
      <c r="B4041" s="25" t="s">
        <v>120</v>
      </c>
      <c r="C4041" s="25" t="s">
        <v>142</v>
      </c>
      <c r="D4041" s="51">
        <v>7222</v>
      </c>
    </row>
    <row r="4042" spans="1:4" x14ac:dyDescent="0.2">
      <c r="A4042" s="24">
        <v>44805</v>
      </c>
      <c r="B4042" s="25" t="s">
        <v>121</v>
      </c>
      <c r="C4042" s="25" t="s">
        <v>142</v>
      </c>
      <c r="D4042" s="51">
        <v>922</v>
      </c>
    </row>
    <row r="4043" spans="1:4" x14ac:dyDescent="0.2">
      <c r="A4043" s="24">
        <v>44805</v>
      </c>
      <c r="B4043" s="25" t="s">
        <v>122</v>
      </c>
      <c r="C4043" s="25" t="s">
        <v>142</v>
      </c>
      <c r="D4043" s="51">
        <v>103633</v>
      </c>
    </row>
    <row r="4044" spans="1:4" x14ac:dyDescent="0.2">
      <c r="A4044" s="24">
        <v>44805</v>
      </c>
      <c r="B4044" s="25" t="s">
        <v>123</v>
      </c>
      <c r="C4044" s="25" t="s">
        <v>142</v>
      </c>
      <c r="D4044" s="51">
        <v>106598</v>
      </c>
    </row>
    <row r="4045" spans="1:4" x14ac:dyDescent="0.2">
      <c r="A4045" s="24">
        <v>44805</v>
      </c>
      <c r="B4045" s="25" t="s">
        <v>129</v>
      </c>
      <c r="C4045" s="25" t="s">
        <v>142</v>
      </c>
      <c r="D4045" s="51">
        <v>3587</v>
      </c>
    </row>
    <row r="4046" spans="1:4" x14ac:dyDescent="0.2">
      <c r="A4046" s="24">
        <v>44805</v>
      </c>
      <c r="B4046" s="25" t="s">
        <v>130</v>
      </c>
      <c r="C4046" s="25" t="s">
        <v>142</v>
      </c>
      <c r="D4046" s="51">
        <v>3904</v>
      </c>
    </row>
    <row r="4047" spans="1:4" x14ac:dyDescent="0.2">
      <c r="A4047" s="24">
        <v>44805</v>
      </c>
      <c r="B4047" s="25" t="s">
        <v>117</v>
      </c>
      <c r="C4047" s="25" t="s">
        <v>2</v>
      </c>
      <c r="D4047" s="51">
        <v>8976720</v>
      </c>
    </row>
    <row r="4048" spans="1:4" x14ac:dyDescent="0.2">
      <c r="A4048" s="24">
        <v>44805</v>
      </c>
      <c r="B4048" s="25" t="s">
        <v>137</v>
      </c>
      <c r="C4048" s="25" t="s">
        <v>2</v>
      </c>
      <c r="D4048" s="51">
        <v>5584493</v>
      </c>
    </row>
    <row r="4049" spans="1:4" x14ac:dyDescent="0.2">
      <c r="A4049" s="24">
        <v>44805</v>
      </c>
      <c r="B4049" s="25" t="s">
        <v>118</v>
      </c>
      <c r="C4049" s="25" t="s">
        <v>2</v>
      </c>
      <c r="D4049" s="51">
        <v>563286</v>
      </c>
    </row>
    <row r="4050" spans="1:4" x14ac:dyDescent="0.2">
      <c r="A4050" s="24">
        <v>44805</v>
      </c>
      <c r="B4050" s="25" t="s">
        <v>119</v>
      </c>
      <c r="C4050" s="25" t="s">
        <v>2</v>
      </c>
      <c r="D4050" s="51">
        <v>1010931</v>
      </c>
    </row>
    <row r="4051" spans="1:4" x14ac:dyDescent="0.2">
      <c r="A4051" s="24">
        <v>44805</v>
      </c>
      <c r="B4051" s="25" t="s">
        <v>138</v>
      </c>
      <c r="C4051" s="25" t="s">
        <v>2</v>
      </c>
      <c r="D4051" s="51">
        <v>11</v>
      </c>
    </row>
    <row r="4052" spans="1:4" x14ac:dyDescent="0.2">
      <c r="A4052" s="24">
        <v>44805</v>
      </c>
      <c r="B4052" s="25" t="s">
        <v>139</v>
      </c>
      <c r="C4052" s="25" t="s">
        <v>2</v>
      </c>
      <c r="D4052" s="51">
        <v>661</v>
      </c>
    </row>
    <row r="4053" spans="1:4" x14ac:dyDescent="0.2">
      <c r="A4053" s="24">
        <v>44805</v>
      </c>
      <c r="B4053" s="25" t="s">
        <v>120</v>
      </c>
      <c r="C4053" s="25" t="s">
        <v>2</v>
      </c>
      <c r="D4053" s="51">
        <v>118894</v>
      </c>
    </row>
    <row r="4054" spans="1:4" x14ac:dyDescent="0.2">
      <c r="A4054" s="24">
        <v>44805</v>
      </c>
      <c r="B4054" s="25" t="s">
        <v>121</v>
      </c>
      <c r="C4054" s="25" t="s">
        <v>2</v>
      </c>
      <c r="D4054" s="51">
        <v>16554</v>
      </c>
    </row>
    <row r="4055" spans="1:4" x14ac:dyDescent="0.2">
      <c r="A4055" s="24">
        <v>44805</v>
      </c>
      <c r="B4055" s="25" t="s">
        <v>122</v>
      </c>
      <c r="C4055" s="25" t="s">
        <v>2</v>
      </c>
      <c r="D4055" s="51">
        <v>632981</v>
      </c>
    </row>
    <row r="4056" spans="1:4" x14ac:dyDescent="0.2">
      <c r="A4056" s="24">
        <v>44805</v>
      </c>
      <c r="B4056" s="25" t="s">
        <v>123</v>
      </c>
      <c r="C4056" s="25" t="s">
        <v>2</v>
      </c>
      <c r="D4056" s="51">
        <v>1849464</v>
      </c>
    </row>
    <row r="4057" spans="1:4" x14ac:dyDescent="0.2">
      <c r="A4057" s="24">
        <v>44805</v>
      </c>
      <c r="B4057" s="25" t="s">
        <v>129</v>
      </c>
      <c r="C4057" s="25" t="s">
        <v>2</v>
      </c>
      <c r="D4057" s="51">
        <v>76159</v>
      </c>
    </row>
    <row r="4058" spans="1:4" x14ac:dyDescent="0.2">
      <c r="A4058" s="24">
        <v>44805</v>
      </c>
      <c r="B4058" s="25" t="s">
        <v>130</v>
      </c>
      <c r="C4058" s="25" t="s">
        <v>2</v>
      </c>
      <c r="D4058" s="51">
        <v>34558</v>
      </c>
    </row>
    <row r="4059" spans="1:4" x14ac:dyDescent="0.2">
      <c r="A4059" s="24">
        <v>44835</v>
      </c>
      <c r="B4059" s="25" t="s">
        <v>117</v>
      </c>
      <c r="C4059" s="25" t="s">
        <v>4</v>
      </c>
      <c r="D4059" s="51">
        <v>6136773</v>
      </c>
    </row>
    <row r="4060" spans="1:4" x14ac:dyDescent="0.2">
      <c r="A4060" s="24">
        <v>44835</v>
      </c>
      <c r="B4060" s="25" t="s">
        <v>131</v>
      </c>
      <c r="C4060" s="25" t="s">
        <v>4</v>
      </c>
      <c r="D4060" s="51">
        <v>134</v>
      </c>
    </row>
    <row r="4061" spans="1:4" x14ac:dyDescent="0.2">
      <c r="A4061" s="24">
        <v>44835</v>
      </c>
      <c r="B4061" s="25" t="s">
        <v>132</v>
      </c>
      <c r="C4061" s="25" t="s">
        <v>4</v>
      </c>
      <c r="D4061" s="51">
        <v>42</v>
      </c>
    </row>
    <row r="4062" spans="1:4" x14ac:dyDescent="0.2">
      <c r="A4062" s="24">
        <v>44835</v>
      </c>
      <c r="B4062" s="25" t="s">
        <v>133</v>
      </c>
      <c r="C4062" s="25" t="s">
        <v>4</v>
      </c>
      <c r="D4062" s="51">
        <v>22</v>
      </c>
    </row>
    <row r="4063" spans="1:4" x14ac:dyDescent="0.2">
      <c r="A4063" s="24">
        <v>44835</v>
      </c>
      <c r="B4063" s="25" t="s">
        <v>137</v>
      </c>
      <c r="C4063" s="25" t="s">
        <v>4</v>
      </c>
      <c r="D4063" s="51">
        <v>4854953</v>
      </c>
    </row>
    <row r="4064" spans="1:4" x14ac:dyDescent="0.2">
      <c r="A4064" s="24">
        <v>44835</v>
      </c>
      <c r="B4064" s="25" t="s">
        <v>118</v>
      </c>
      <c r="C4064" s="25" t="s">
        <v>4</v>
      </c>
      <c r="D4064" s="51">
        <v>683823</v>
      </c>
    </row>
    <row r="4065" spans="1:4" x14ac:dyDescent="0.2">
      <c r="A4065" s="24">
        <v>44835</v>
      </c>
      <c r="B4065" s="25" t="s">
        <v>119</v>
      </c>
      <c r="C4065" s="25" t="s">
        <v>4</v>
      </c>
      <c r="D4065" s="51">
        <v>774831</v>
      </c>
    </row>
    <row r="4066" spans="1:4" x14ac:dyDescent="0.2">
      <c r="A4066" s="24">
        <v>44835</v>
      </c>
      <c r="B4066" s="25" t="s">
        <v>138</v>
      </c>
      <c r="C4066" s="25" t="s">
        <v>4</v>
      </c>
      <c r="D4066" s="51">
        <v>18</v>
      </c>
    </row>
    <row r="4067" spans="1:4" x14ac:dyDescent="0.2">
      <c r="A4067" s="24">
        <v>44835</v>
      </c>
      <c r="B4067" s="25" t="s">
        <v>139</v>
      </c>
      <c r="C4067" s="25" t="s">
        <v>4</v>
      </c>
      <c r="D4067" s="51">
        <v>788</v>
      </c>
    </row>
    <row r="4068" spans="1:4" x14ac:dyDescent="0.2">
      <c r="A4068" s="24">
        <v>44835</v>
      </c>
      <c r="B4068" s="25" t="s">
        <v>120</v>
      </c>
      <c r="C4068" s="25" t="s">
        <v>4</v>
      </c>
      <c r="D4068" s="51">
        <v>56671</v>
      </c>
    </row>
    <row r="4069" spans="1:4" x14ac:dyDescent="0.2">
      <c r="A4069" s="24">
        <v>44835</v>
      </c>
      <c r="B4069" s="25" t="s">
        <v>121</v>
      </c>
      <c r="C4069" s="25" t="s">
        <v>4</v>
      </c>
      <c r="D4069" s="51">
        <v>26586</v>
      </c>
    </row>
    <row r="4070" spans="1:4" x14ac:dyDescent="0.2">
      <c r="A4070" s="24">
        <v>44835</v>
      </c>
      <c r="B4070" s="25" t="s">
        <v>140</v>
      </c>
      <c r="C4070" s="25" t="s">
        <v>4</v>
      </c>
      <c r="D4070" s="51">
        <v>20702</v>
      </c>
    </row>
    <row r="4071" spans="1:4" x14ac:dyDescent="0.2">
      <c r="A4071" s="24">
        <v>44835</v>
      </c>
      <c r="B4071" s="25" t="s">
        <v>122</v>
      </c>
      <c r="C4071" s="25" t="s">
        <v>4</v>
      </c>
      <c r="D4071" s="51">
        <v>1066215</v>
      </c>
    </row>
    <row r="4072" spans="1:4" x14ac:dyDescent="0.2">
      <c r="A4072" s="24">
        <v>44835</v>
      </c>
      <c r="B4072" s="25" t="s">
        <v>123</v>
      </c>
      <c r="C4072" s="25" t="s">
        <v>4</v>
      </c>
      <c r="D4072" s="51">
        <v>2961033</v>
      </c>
    </row>
    <row r="4073" spans="1:4" x14ac:dyDescent="0.2">
      <c r="A4073" s="24">
        <v>44835</v>
      </c>
      <c r="B4073" s="25" t="s">
        <v>117</v>
      </c>
      <c r="C4073" s="25" t="s">
        <v>8</v>
      </c>
      <c r="D4073" s="51">
        <v>325122</v>
      </c>
    </row>
    <row r="4074" spans="1:4" x14ac:dyDescent="0.2">
      <c r="A4074" s="24">
        <v>44835</v>
      </c>
      <c r="B4074" s="25" t="s">
        <v>137</v>
      </c>
      <c r="C4074" s="25" t="s">
        <v>8</v>
      </c>
      <c r="D4074" s="51">
        <v>390884</v>
      </c>
    </row>
    <row r="4075" spans="1:4" x14ac:dyDescent="0.2">
      <c r="A4075" s="24">
        <v>44835</v>
      </c>
      <c r="B4075" s="25" t="s">
        <v>118</v>
      </c>
      <c r="C4075" s="25" t="s">
        <v>8</v>
      </c>
      <c r="D4075" s="51">
        <v>70259</v>
      </c>
    </row>
    <row r="4076" spans="1:4" x14ac:dyDescent="0.2">
      <c r="A4076" s="24">
        <v>44835</v>
      </c>
      <c r="B4076" s="25" t="s">
        <v>119</v>
      </c>
      <c r="C4076" s="25" t="s">
        <v>8</v>
      </c>
      <c r="D4076" s="51">
        <v>13911</v>
      </c>
    </row>
    <row r="4077" spans="1:4" x14ac:dyDescent="0.2">
      <c r="A4077" s="24">
        <v>44835</v>
      </c>
      <c r="B4077" s="25" t="s">
        <v>138</v>
      </c>
      <c r="C4077" s="25" t="s">
        <v>8</v>
      </c>
      <c r="D4077" s="51">
        <v>45</v>
      </c>
    </row>
    <row r="4078" spans="1:4" x14ac:dyDescent="0.2">
      <c r="A4078" s="24">
        <v>44835</v>
      </c>
      <c r="B4078" s="25" t="s">
        <v>139</v>
      </c>
      <c r="C4078" s="25" t="s">
        <v>8</v>
      </c>
      <c r="D4078" s="51">
        <v>11</v>
      </c>
    </row>
    <row r="4079" spans="1:4" x14ac:dyDescent="0.2">
      <c r="A4079" s="24">
        <v>44835</v>
      </c>
      <c r="B4079" s="25" t="s">
        <v>120</v>
      </c>
      <c r="C4079" s="25" t="s">
        <v>8</v>
      </c>
      <c r="D4079" s="51">
        <v>3867</v>
      </c>
    </row>
    <row r="4080" spans="1:4" x14ac:dyDescent="0.2">
      <c r="A4080" s="24">
        <v>44835</v>
      </c>
      <c r="B4080" s="25" t="s">
        <v>121</v>
      </c>
      <c r="C4080" s="25" t="s">
        <v>8</v>
      </c>
      <c r="D4080" s="51">
        <v>1684</v>
      </c>
    </row>
    <row r="4081" spans="1:4" x14ac:dyDescent="0.2">
      <c r="A4081" s="24">
        <v>44835</v>
      </c>
      <c r="B4081" s="25" t="s">
        <v>122</v>
      </c>
      <c r="C4081" s="25" t="s">
        <v>8</v>
      </c>
      <c r="D4081" s="51">
        <v>6787</v>
      </c>
    </row>
    <row r="4082" spans="1:4" x14ac:dyDescent="0.2">
      <c r="A4082" s="24">
        <v>44835</v>
      </c>
      <c r="B4082" s="25" t="s">
        <v>123</v>
      </c>
      <c r="C4082" s="25" t="s">
        <v>8</v>
      </c>
      <c r="D4082" s="51">
        <v>149758</v>
      </c>
    </row>
    <row r="4083" spans="1:4" x14ac:dyDescent="0.2">
      <c r="A4083" s="24">
        <v>44835</v>
      </c>
      <c r="B4083" s="25" t="s">
        <v>124</v>
      </c>
      <c r="C4083" s="25" t="s">
        <v>8</v>
      </c>
      <c r="D4083" s="51">
        <v>27587</v>
      </c>
    </row>
    <row r="4084" spans="1:4" x14ac:dyDescent="0.2">
      <c r="A4084" s="24">
        <v>44835</v>
      </c>
      <c r="B4084" s="25" t="s">
        <v>125</v>
      </c>
      <c r="C4084" s="25" t="s">
        <v>8</v>
      </c>
      <c r="D4084" s="51">
        <v>12306</v>
      </c>
    </row>
    <row r="4085" spans="1:4" x14ac:dyDescent="0.2">
      <c r="A4085" s="24">
        <v>44835</v>
      </c>
      <c r="B4085" s="25" t="s">
        <v>117</v>
      </c>
      <c r="C4085" s="25" t="s">
        <v>26</v>
      </c>
      <c r="D4085" s="51">
        <v>1019352</v>
      </c>
    </row>
    <row r="4086" spans="1:4" x14ac:dyDescent="0.2">
      <c r="A4086" s="24">
        <v>44835</v>
      </c>
      <c r="B4086" s="25" t="s">
        <v>137</v>
      </c>
      <c r="C4086" s="25" t="s">
        <v>26</v>
      </c>
      <c r="D4086" s="51">
        <v>920500</v>
      </c>
    </row>
    <row r="4087" spans="1:4" x14ac:dyDescent="0.2">
      <c r="A4087" s="24">
        <v>44835</v>
      </c>
      <c r="B4087" s="25" t="s">
        <v>118</v>
      </c>
      <c r="C4087" s="25" t="s">
        <v>26</v>
      </c>
      <c r="D4087" s="51">
        <v>85426</v>
      </c>
    </row>
    <row r="4088" spans="1:4" x14ac:dyDescent="0.2">
      <c r="A4088" s="24">
        <v>44835</v>
      </c>
      <c r="B4088" s="25" t="s">
        <v>119</v>
      </c>
      <c r="C4088" s="25" t="s">
        <v>26</v>
      </c>
      <c r="D4088" s="51">
        <v>190739</v>
      </c>
    </row>
    <row r="4089" spans="1:4" x14ac:dyDescent="0.2">
      <c r="A4089" s="24">
        <v>44835</v>
      </c>
      <c r="B4089" s="25" t="s">
        <v>138</v>
      </c>
      <c r="C4089" s="25" t="s">
        <v>26</v>
      </c>
      <c r="D4089" s="51">
        <v>45</v>
      </c>
    </row>
    <row r="4090" spans="1:4" x14ac:dyDescent="0.2">
      <c r="A4090" s="24">
        <v>44835</v>
      </c>
      <c r="B4090" s="25" t="s">
        <v>139</v>
      </c>
      <c r="C4090" s="25" t="s">
        <v>26</v>
      </c>
      <c r="D4090" s="51">
        <v>40</v>
      </c>
    </row>
    <row r="4091" spans="1:4" x14ac:dyDescent="0.2">
      <c r="A4091" s="24">
        <v>44835</v>
      </c>
      <c r="B4091" s="25" t="s">
        <v>120</v>
      </c>
      <c r="C4091" s="25" t="s">
        <v>26</v>
      </c>
      <c r="D4091" s="51">
        <v>7197</v>
      </c>
    </row>
    <row r="4092" spans="1:4" x14ac:dyDescent="0.2">
      <c r="A4092" s="24">
        <v>44835</v>
      </c>
      <c r="B4092" s="25" t="s">
        <v>121</v>
      </c>
      <c r="C4092" s="25" t="s">
        <v>26</v>
      </c>
      <c r="D4092" s="51">
        <v>2675</v>
      </c>
    </row>
    <row r="4093" spans="1:4" x14ac:dyDescent="0.2">
      <c r="A4093" s="24">
        <v>44835</v>
      </c>
      <c r="B4093" s="25" t="s">
        <v>122</v>
      </c>
      <c r="C4093" s="25" t="s">
        <v>26</v>
      </c>
      <c r="D4093" s="51">
        <v>20003</v>
      </c>
    </row>
    <row r="4094" spans="1:4" x14ac:dyDescent="0.2">
      <c r="A4094" s="24">
        <v>44835</v>
      </c>
      <c r="B4094" s="25" t="s">
        <v>123</v>
      </c>
      <c r="C4094" s="25" t="s">
        <v>26</v>
      </c>
      <c r="D4094" s="51">
        <v>320637</v>
      </c>
    </row>
    <row r="4095" spans="1:4" x14ac:dyDescent="0.2">
      <c r="A4095" s="24">
        <v>44835</v>
      </c>
      <c r="B4095" s="25" t="s">
        <v>127</v>
      </c>
      <c r="C4095" s="25" t="s">
        <v>26</v>
      </c>
      <c r="D4095" s="51">
        <v>4414</v>
      </c>
    </row>
    <row r="4096" spans="1:4" x14ac:dyDescent="0.2">
      <c r="A4096" s="24">
        <v>44835</v>
      </c>
      <c r="B4096" s="25" t="s">
        <v>128</v>
      </c>
      <c r="C4096" s="25" t="s">
        <v>26</v>
      </c>
      <c r="D4096" s="51">
        <v>1665</v>
      </c>
    </row>
    <row r="4097" spans="1:4" x14ac:dyDescent="0.2">
      <c r="A4097" s="24">
        <v>44835</v>
      </c>
      <c r="B4097" s="25" t="s">
        <v>117</v>
      </c>
      <c r="C4097" s="25" t="s">
        <v>142</v>
      </c>
      <c r="D4097" s="51">
        <v>642145</v>
      </c>
    </row>
    <row r="4098" spans="1:4" x14ac:dyDescent="0.2">
      <c r="A4098" s="24">
        <v>44835</v>
      </c>
      <c r="B4098" s="25" t="s">
        <v>137</v>
      </c>
      <c r="C4098" s="25" t="s">
        <v>142</v>
      </c>
      <c r="D4098" s="51">
        <v>408491</v>
      </c>
    </row>
    <row r="4099" spans="1:4" x14ac:dyDescent="0.2">
      <c r="A4099" s="24">
        <v>44835</v>
      </c>
      <c r="B4099" s="25" t="s">
        <v>118</v>
      </c>
      <c r="C4099" s="25" t="s">
        <v>142</v>
      </c>
      <c r="D4099" s="51">
        <v>90128</v>
      </c>
    </row>
    <row r="4100" spans="1:4" x14ac:dyDescent="0.2">
      <c r="A4100" s="24">
        <v>44835</v>
      </c>
      <c r="B4100" s="25" t="s">
        <v>119</v>
      </c>
      <c r="C4100" s="25" t="s">
        <v>142</v>
      </c>
      <c r="D4100" s="51">
        <v>144844</v>
      </c>
    </row>
    <row r="4101" spans="1:4" x14ac:dyDescent="0.2">
      <c r="A4101" s="24">
        <v>44835</v>
      </c>
      <c r="B4101" s="25" t="s">
        <v>139</v>
      </c>
      <c r="C4101" s="25" t="s">
        <v>142</v>
      </c>
      <c r="D4101" s="51">
        <v>12</v>
      </c>
    </row>
    <row r="4102" spans="1:4" x14ac:dyDescent="0.2">
      <c r="A4102" s="24">
        <v>44835</v>
      </c>
      <c r="B4102" s="25" t="s">
        <v>120</v>
      </c>
      <c r="C4102" s="25" t="s">
        <v>142</v>
      </c>
      <c r="D4102" s="51">
        <v>8227</v>
      </c>
    </row>
    <row r="4103" spans="1:4" x14ac:dyDescent="0.2">
      <c r="A4103" s="24">
        <v>44835</v>
      </c>
      <c r="B4103" s="25" t="s">
        <v>121</v>
      </c>
      <c r="C4103" s="25" t="s">
        <v>142</v>
      </c>
      <c r="D4103" s="51">
        <v>1069</v>
      </c>
    </row>
    <row r="4104" spans="1:4" x14ac:dyDescent="0.2">
      <c r="A4104" s="24">
        <v>44835</v>
      </c>
      <c r="B4104" s="25" t="s">
        <v>122</v>
      </c>
      <c r="C4104" s="25" t="s">
        <v>142</v>
      </c>
      <c r="D4104" s="51">
        <v>104338</v>
      </c>
    </row>
    <row r="4105" spans="1:4" x14ac:dyDescent="0.2">
      <c r="A4105" s="24">
        <v>44835</v>
      </c>
      <c r="B4105" s="25" t="s">
        <v>123</v>
      </c>
      <c r="C4105" s="25" t="s">
        <v>142</v>
      </c>
      <c r="D4105" s="51">
        <v>109339</v>
      </c>
    </row>
    <row r="4106" spans="1:4" x14ac:dyDescent="0.2">
      <c r="A4106" s="24">
        <v>44835</v>
      </c>
      <c r="B4106" s="25" t="s">
        <v>129</v>
      </c>
      <c r="C4106" s="25" t="s">
        <v>142</v>
      </c>
      <c r="D4106" s="51">
        <v>3953</v>
      </c>
    </row>
    <row r="4107" spans="1:4" x14ac:dyDescent="0.2">
      <c r="A4107" s="24">
        <v>44835</v>
      </c>
      <c r="B4107" s="25" t="s">
        <v>130</v>
      </c>
      <c r="C4107" s="25" t="s">
        <v>142</v>
      </c>
      <c r="D4107" s="51">
        <v>4472</v>
      </c>
    </row>
    <row r="4108" spans="1:4" x14ac:dyDescent="0.2">
      <c r="A4108" s="24">
        <v>44835</v>
      </c>
      <c r="B4108" s="25" t="s">
        <v>117</v>
      </c>
      <c r="C4108" s="25" t="s">
        <v>2</v>
      </c>
      <c r="D4108" s="51">
        <v>9482179</v>
      </c>
    </row>
    <row r="4109" spans="1:4" x14ac:dyDescent="0.2">
      <c r="A4109" s="24">
        <v>44835</v>
      </c>
      <c r="B4109" s="25" t="s">
        <v>137</v>
      </c>
      <c r="C4109" s="25" t="s">
        <v>2</v>
      </c>
      <c r="D4109" s="51">
        <v>6285173</v>
      </c>
    </row>
    <row r="4110" spans="1:4" x14ac:dyDescent="0.2">
      <c r="A4110" s="24">
        <v>44835</v>
      </c>
      <c r="B4110" s="25" t="s">
        <v>118</v>
      </c>
      <c r="C4110" s="25" t="s">
        <v>2</v>
      </c>
      <c r="D4110" s="51">
        <v>605550</v>
      </c>
    </row>
    <row r="4111" spans="1:4" x14ac:dyDescent="0.2">
      <c r="A4111" s="24">
        <v>44835</v>
      </c>
      <c r="B4111" s="25" t="s">
        <v>119</v>
      </c>
      <c r="C4111" s="25" t="s">
        <v>2</v>
      </c>
      <c r="D4111" s="51">
        <v>1046116</v>
      </c>
    </row>
    <row r="4112" spans="1:4" x14ac:dyDescent="0.2">
      <c r="A4112" s="24">
        <v>44835</v>
      </c>
      <c r="B4112" s="25" t="s">
        <v>138</v>
      </c>
      <c r="C4112" s="25" t="s">
        <v>2</v>
      </c>
      <c r="D4112" s="51">
        <v>72</v>
      </c>
    </row>
    <row r="4113" spans="1:4" x14ac:dyDescent="0.2">
      <c r="A4113" s="24">
        <v>44835</v>
      </c>
      <c r="B4113" s="25" t="s">
        <v>139</v>
      </c>
      <c r="C4113" s="25" t="s">
        <v>2</v>
      </c>
      <c r="D4113" s="51">
        <v>713</v>
      </c>
    </row>
    <row r="4114" spans="1:4" x14ac:dyDescent="0.2">
      <c r="A4114" s="24">
        <v>44835</v>
      </c>
      <c r="B4114" s="25" t="s">
        <v>120</v>
      </c>
      <c r="C4114" s="25" t="s">
        <v>2</v>
      </c>
      <c r="D4114" s="51">
        <v>132850</v>
      </c>
    </row>
    <row r="4115" spans="1:4" x14ac:dyDescent="0.2">
      <c r="A4115" s="24">
        <v>44835</v>
      </c>
      <c r="B4115" s="25" t="s">
        <v>121</v>
      </c>
      <c r="C4115" s="25" t="s">
        <v>2</v>
      </c>
      <c r="D4115" s="51">
        <v>17974</v>
      </c>
    </row>
    <row r="4116" spans="1:4" x14ac:dyDescent="0.2">
      <c r="A4116" s="24">
        <v>44835</v>
      </c>
      <c r="B4116" s="25" t="s">
        <v>122</v>
      </c>
      <c r="C4116" s="25" t="s">
        <v>2</v>
      </c>
      <c r="D4116" s="51">
        <v>661274</v>
      </c>
    </row>
    <row r="4117" spans="1:4" x14ac:dyDescent="0.2">
      <c r="A4117" s="24">
        <v>44835</v>
      </c>
      <c r="B4117" s="25" t="s">
        <v>123</v>
      </c>
      <c r="C4117" s="25" t="s">
        <v>2</v>
      </c>
      <c r="D4117" s="51">
        <v>2046978</v>
      </c>
    </row>
    <row r="4118" spans="1:4" x14ac:dyDescent="0.2">
      <c r="A4118" s="24">
        <v>44835</v>
      </c>
      <c r="B4118" s="25" t="s">
        <v>129</v>
      </c>
      <c r="C4118" s="25" t="s">
        <v>2</v>
      </c>
      <c r="D4118" s="51">
        <v>92735</v>
      </c>
    </row>
    <row r="4119" spans="1:4" x14ac:dyDescent="0.2">
      <c r="A4119" s="24">
        <v>44835</v>
      </c>
      <c r="B4119" s="25" t="s">
        <v>130</v>
      </c>
      <c r="C4119" s="25" t="s">
        <v>2</v>
      </c>
      <c r="D4119" s="51">
        <v>38905</v>
      </c>
    </row>
    <row r="4120" spans="1:4" x14ac:dyDescent="0.2">
      <c r="A4120" s="24">
        <v>44866</v>
      </c>
      <c r="B4120" s="25" t="s">
        <v>117</v>
      </c>
      <c r="C4120" s="25" t="s">
        <v>4</v>
      </c>
      <c r="D4120" s="51">
        <v>6474148</v>
      </c>
    </row>
    <row r="4121" spans="1:4" x14ac:dyDescent="0.2">
      <c r="A4121" s="24">
        <v>44866</v>
      </c>
      <c r="B4121" s="25" t="s">
        <v>131</v>
      </c>
      <c r="C4121" s="25" t="s">
        <v>4</v>
      </c>
      <c r="D4121" s="51">
        <v>91</v>
      </c>
    </row>
    <row r="4122" spans="1:4" x14ac:dyDescent="0.2">
      <c r="A4122" s="24">
        <v>44866</v>
      </c>
      <c r="B4122" s="25" t="s">
        <v>132</v>
      </c>
      <c r="C4122" s="25" t="s">
        <v>4</v>
      </c>
      <c r="D4122" s="51">
        <v>36</v>
      </c>
    </row>
    <row r="4123" spans="1:4" x14ac:dyDescent="0.2">
      <c r="A4123" s="24">
        <v>44866</v>
      </c>
      <c r="B4123" s="25" t="s">
        <v>133</v>
      </c>
      <c r="C4123" s="25" t="s">
        <v>4</v>
      </c>
      <c r="D4123" s="51">
        <v>22</v>
      </c>
    </row>
    <row r="4124" spans="1:4" x14ac:dyDescent="0.2">
      <c r="A4124" s="24">
        <v>44866</v>
      </c>
      <c r="B4124" s="25" t="s">
        <v>137</v>
      </c>
      <c r="C4124" s="25" t="s">
        <v>4</v>
      </c>
      <c r="D4124" s="51">
        <v>5249541</v>
      </c>
    </row>
    <row r="4125" spans="1:4" x14ac:dyDescent="0.2">
      <c r="A4125" s="24">
        <v>44866</v>
      </c>
      <c r="B4125" s="25" t="s">
        <v>118</v>
      </c>
      <c r="C4125" s="25" t="s">
        <v>4</v>
      </c>
      <c r="D4125" s="51">
        <v>627975</v>
      </c>
    </row>
    <row r="4126" spans="1:4" x14ac:dyDescent="0.2">
      <c r="A4126" s="24">
        <v>44866</v>
      </c>
      <c r="B4126" s="25" t="s">
        <v>134</v>
      </c>
      <c r="C4126" s="25" t="s">
        <v>4</v>
      </c>
      <c r="D4126" s="51">
        <v>1</v>
      </c>
    </row>
    <row r="4127" spans="1:4" x14ac:dyDescent="0.2">
      <c r="A4127" s="24">
        <v>44866</v>
      </c>
      <c r="B4127" s="25" t="s">
        <v>135</v>
      </c>
      <c r="C4127" s="25" t="s">
        <v>4</v>
      </c>
      <c r="D4127" s="51">
        <v>3</v>
      </c>
    </row>
    <row r="4128" spans="1:4" x14ac:dyDescent="0.2">
      <c r="A4128" s="24">
        <v>44866</v>
      </c>
      <c r="B4128" s="25" t="s">
        <v>136</v>
      </c>
      <c r="C4128" s="25" t="s">
        <v>4</v>
      </c>
      <c r="D4128" s="51">
        <v>1</v>
      </c>
    </row>
    <row r="4129" spans="1:4" x14ac:dyDescent="0.2">
      <c r="A4129" s="24">
        <v>44866</v>
      </c>
      <c r="B4129" s="25" t="s">
        <v>119</v>
      </c>
      <c r="C4129" s="25" t="s">
        <v>4</v>
      </c>
      <c r="D4129" s="51">
        <v>683684</v>
      </c>
    </row>
    <row r="4130" spans="1:4" x14ac:dyDescent="0.2">
      <c r="A4130" s="24">
        <v>44866</v>
      </c>
      <c r="B4130" s="25" t="s">
        <v>138</v>
      </c>
      <c r="C4130" s="25" t="s">
        <v>4</v>
      </c>
      <c r="D4130" s="51">
        <v>11</v>
      </c>
    </row>
    <row r="4131" spans="1:4" x14ac:dyDescent="0.2">
      <c r="A4131" s="24">
        <v>44866</v>
      </c>
      <c r="B4131" s="25" t="s">
        <v>139</v>
      </c>
      <c r="C4131" s="25" t="s">
        <v>4</v>
      </c>
      <c r="D4131" s="51">
        <v>846</v>
      </c>
    </row>
    <row r="4132" spans="1:4" x14ac:dyDescent="0.2">
      <c r="A4132" s="24">
        <v>44866</v>
      </c>
      <c r="B4132" s="25" t="s">
        <v>120</v>
      </c>
      <c r="C4132" s="25" t="s">
        <v>4</v>
      </c>
      <c r="D4132" s="51">
        <v>60203</v>
      </c>
    </row>
    <row r="4133" spans="1:4" x14ac:dyDescent="0.2">
      <c r="A4133" s="24">
        <v>44866</v>
      </c>
      <c r="B4133" s="25" t="s">
        <v>121</v>
      </c>
      <c r="C4133" s="25" t="s">
        <v>4</v>
      </c>
      <c r="D4133" s="51">
        <v>29299</v>
      </c>
    </row>
    <row r="4134" spans="1:4" x14ac:dyDescent="0.2">
      <c r="A4134" s="24">
        <v>44866</v>
      </c>
      <c r="B4134" s="25" t="s">
        <v>140</v>
      </c>
      <c r="C4134" s="25" t="s">
        <v>4</v>
      </c>
      <c r="D4134" s="51">
        <v>21311</v>
      </c>
    </row>
    <row r="4135" spans="1:4" x14ac:dyDescent="0.2">
      <c r="A4135" s="24">
        <v>44866</v>
      </c>
      <c r="B4135" s="25" t="s">
        <v>122</v>
      </c>
      <c r="C4135" s="25" t="s">
        <v>4</v>
      </c>
      <c r="D4135" s="51">
        <v>1430322</v>
      </c>
    </row>
    <row r="4136" spans="1:4" x14ac:dyDescent="0.2">
      <c r="A4136" s="24">
        <v>44866</v>
      </c>
      <c r="B4136" s="25" t="s">
        <v>123</v>
      </c>
      <c r="C4136" s="25" t="s">
        <v>4</v>
      </c>
      <c r="D4136" s="51">
        <v>3198927</v>
      </c>
    </row>
    <row r="4137" spans="1:4" x14ac:dyDescent="0.2">
      <c r="A4137" s="24">
        <v>44866</v>
      </c>
      <c r="B4137" s="25" t="s">
        <v>117</v>
      </c>
      <c r="C4137" s="25" t="s">
        <v>8</v>
      </c>
      <c r="D4137" s="51">
        <v>371568</v>
      </c>
    </row>
    <row r="4138" spans="1:4" x14ac:dyDescent="0.2">
      <c r="A4138" s="24">
        <v>44866</v>
      </c>
      <c r="B4138" s="25" t="s">
        <v>137</v>
      </c>
      <c r="C4138" s="25" t="s">
        <v>8</v>
      </c>
      <c r="D4138" s="51">
        <v>488778</v>
      </c>
    </row>
    <row r="4139" spans="1:4" x14ac:dyDescent="0.2">
      <c r="A4139" s="24">
        <v>44866</v>
      </c>
      <c r="B4139" s="25" t="s">
        <v>118</v>
      </c>
      <c r="C4139" s="25" t="s">
        <v>8</v>
      </c>
      <c r="D4139" s="51">
        <v>54727</v>
      </c>
    </row>
    <row r="4140" spans="1:4" x14ac:dyDescent="0.2">
      <c r="A4140" s="24">
        <v>44866</v>
      </c>
      <c r="B4140" s="25" t="s">
        <v>119</v>
      </c>
      <c r="C4140" s="25" t="s">
        <v>8</v>
      </c>
      <c r="D4140" s="51">
        <v>16325</v>
      </c>
    </row>
    <row r="4141" spans="1:4" x14ac:dyDescent="0.2">
      <c r="A4141" s="24">
        <v>44866</v>
      </c>
      <c r="B4141" s="25" t="s">
        <v>138</v>
      </c>
      <c r="C4141" s="25" t="s">
        <v>8</v>
      </c>
      <c r="D4141" s="51">
        <v>69</v>
      </c>
    </row>
    <row r="4142" spans="1:4" x14ac:dyDescent="0.2">
      <c r="A4142" s="24">
        <v>44866</v>
      </c>
      <c r="B4142" s="25" t="s">
        <v>139</v>
      </c>
      <c r="C4142" s="25" t="s">
        <v>8</v>
      </c>
      <c r="D4142" s="51">
        <v>21</v>
      </c>
    </row>
    <row r="4143" spans="1:4" x14ac:dyDescent="0.2">
      <c r="A4143" s="24">
        <v>44866</v>
      </c>
      <c r="B4143" s="25" t="s">
        <v>120</v>
      </c>
      <c r="C4143" s="25" t="s">
        <v>8</v>
      </c>
      <c r="D4143" s="51">
        <v>4163</v>
      </c>
    </row>
    <row r="4144" spans="1:4" x14ac:dyDescent="0.2">
      <c r="A4144" s="24">
        <v>44866</v>
      </c>
      <c r="B4144" s="25" t="s">
        <v>121</v>
      </c>
      <c r="C4144" s="25" t="s">
        <v>8</v>
      </c>
      <c r="D4144" s="51">
        <v>1842</v>
      </c>
    </row>
    <row r="4145" spans="1:4" x14ac:dyDescent="0.2">
      <c r="A4145" s="24">
        <v>44866</v>
      </c>
      <c r="B4145" s="25" t="s">
        <v>122</v>
      </c>
      <c r="C4145" s="25" t="s">
        <v>8</v>
      </c>
      <c r="D4145" s="51">
        <v>10021</v>
      </c>
    </row>
    <row r="4146" spans="1:4" x14ac:dyDescent="0.2">
      <c r="A4146" s="24">
        <v>44866</v>
      </c>
      <c r="B4146" s="25" t="s">
        <v>123</v>
      </c>
      <c r="C4146" s="25" t="s">
        <v>8</v>
      </c>
      <c r="D4146" s="51">
        <v>172226</v>
      </c>
    </row>
    <row r="4147" spans="1:4" x14ac:dyDescent="0.2">
      <c r="A4147" s="24">
        <v>44866</v>
      </c>
      <c r="B4147" s="25" t="s">
        <v>124</v>
      </c>
      <c r="C4147" s="25" t="s">
        <v>8</v>
      </c>
      <c r="D4147" s="51">
        <v>31619</v>
      </c>
    </row>
    <row r="4148" spans="1:4" x14ac:dyDescent="0.2">
      <c r="A4148" s="24">
        <v>44866</v>
      </c>
      <c r="B4148" s="25" t="s">
        <v>125</v>
      </c>
      <c r="C4148" s="25" t="s">
        <v>8</v>
      </c>
      <c r="D4148" s="51">
        <v>8872</v>
      </c>
    </row>
    <row r="4149" spans="1:4" x14ac:dyDescent="0.2">
      <c r="A4149" s="24">
        <v>44866</v>
      </c>
      <c r="B4149" s="25" t="s">
        <v>117</v>
      </c>
      <c r="C4149" s="25" t="s">
        <v>26</v>
      </c>
      <c r="D4149" s="51">
        <v>1063223</v>
      </c>
    </row>
    <row r="4150" spans="1:4" x14ac:dyDescent="0.2">
      <c r="A4150" s="24">
        <v>44866</v>
      </c>
      <c r="B4150" s="25" t="s">
        <v>137</v>
      </c>
      <c r="C4150" s="25" t="s">
        <v>26</v>
      </c>
      <c r="D4150" s="51">
        <v>956717</v>
      </c>
    </row>
    <row r="4151" spans="1:4" x14ac:dyDescent="0.2">
      <c r="A4151" s="24">
        <v>44866</v>
      </c>
      <c r="B4151" s="25" t="s">
        <v>118</v>
      </c>
      <c r="C4151" s="25" t="s">
        <v>26</v>
      </c>
      <c r="D4151" s="51">
        <v>66409</v>
      </c>
    </row>
    <row r="4152" spans="1:4" x14ac:dyDescent="0.2">
      <c r="A4152" s="24">
        <v>44866</v>
      </c>
      <c r="B4152" s="25" t="s">
        <v>119</v>
      </c>
      <c r="C4152" s="25" t="s">
        <v>26</v>
      </c>
      <c r="D4152" s="51">
        <v>183694</v>
      </c>
    </row>
    <row r="4153" spans="1:4" x14ac:dyDescent="0.2">
      <c r="A4153" s="24">
        <v>44866</v>
      </c>
      <c r="B4153" s="25" t="s">
        <v>138</v>
      </c>
      <c r="C4153" s="25" t="s">
        <v>26</v>
      </c>
      <c r="D4153" s="51">
        <v>2</v>
      </c>
    </row>
    <row r="4154" spans="1:4" x14ac:dyDescent="0.2">
      <c r="A4154" s="24">
        <v>44866</v>
      </c>
      <c r="B4154" s="25" t="s">
        <v>139</v>
      </c>
      <c r="C4154" s="25" t="s">
        <v>26</v>
      </c>
      <c r="D4154" s="51">
        <v>44</v>
      </c>
    </row>
    <row r="4155" spans="1:4" x14ac:dyDescent="0.2">
      <c r="A4155" s="24">
        <v>44866</v>
      </c>
      <c r="B4155" s="25" t="s">
        <v>120</v>
      </c>
      <c r="C4155" s="25" t="s">
        <v>26</v>
      </c>
      <c r="D4155" s="51">
        <v>7874</v>
      </c>
    </row>
    <row r="4156" spans="1:4" x14ac:dyDescent="0.2">
      <c r="A4156" s="24">
        <v>44866</v>
      </c>
      <c r="B4156" s="25" t="s">
        <v>121</v>
      </c>
      <c r="C4156" s="25" t="s">
        <v>26</v>
      </c>
      <c r="D4156" s="51">
        <v>2913</v>
      </c>
    </row>
    <row r="4157" spans="1:4" x14ac:dyDescent="0.2">
      <c r="A4157" s="24">
        <v>44866</v>
      </c>
      <c r="B4157" s="25" t="s">
        <v>122</v>
      </c>
      <c r="C4157" s="25" t="s">
        <v>26</v>
      </c>
      <c r="D4157" s="51">
        <v>28666</v>
      </c>
    </row>
    <row r="4158" spans="1:4" x14ac:dyDescent="0.2">
      <c r="A4158" s="24">
        <v>44866</v>
      </c>
      <c r="B4158" s="25" t="s">
        <v>123</v>
      </c>
      <c r="C4158" s="25" t="s">
        <v>26</v>
      </c>
      <c r="D4158" s="51">
        <v>331749</v>
      </c>
    </row>
    <row r="4159" spans="1:4" x14ac:dyDescent="0.2">
      <c r="A4159" s="24">
        <v>44866</v>
      </c>
      <c r="B4159" s="25" t="s">
        <v>127</v>
      </c>
      <c r="C4159" s="25" t="s">
        <v>26</v>
      </c>
      <c r="D4159" s="51">
        <v>3875</v>
      </c>
    </row>
    <row r="4160" spans="1:4" x14ac:dyDescent="0.2">
      <c r="A4160" s="24">
        <v>44866</v>
      </c>
      <c r="B4160" s="25" t="s">
        <v>128</v>
      </c>
      <c r="C4160" s="25" t="s">
        <v>26</v>
      </c>
      <c r="D4160" s="51">
        <v>967</v>
      </c>
    </row>
    <row r="4161" spans="1:4" x14ac:dyDescent="0.2">
      <c r="A4161" s="24">
        <v>44866</v>
      </c>
      <c r="B4161" s="25" t="s">
        <v>117</v>
      </c>
      <c r="C4161" s="25" t="s">
        <v>142</v>
      </c>
      <c r="D4161" s="51">
        <v>604879</v>
      </c>
    </row>
    <row r="4162" spans="1:4" x14ac:dyDescent="0.2">
      <c r="A4162" s="24">
        <v>44866</v>
      </c>
      <c r="B4162" s="25" t="s">
        <v>137</v>
      </c>
      <c r="C4162" s="25" t="s">
        <v>142</v>
      </c>
      <c r="D4162" s="51">
        <v>386998</v>
      </c>
    </row>
    <row r="4163" spans="1:4" x14ac:dyDescent="0.2">
      <c r="A4163" s="24">
        <v>44866</v>
      </c>
      <c r="B4163" s="25" t="s">
        <v>118</v>
      </c>
      <c r="C4163" s="25" t="s">
        <v>142</v>
      </c>
      <c r="D4163" s="51">
        <v>74878</v>
      </c>
    </row>
    <row r="4164" spans="1:4" x14ac:dyDescent="0.2">
      <c r="A4164" s="24">
        <v>44866</v>
      </c>
      <c r="B4164" s="25" t="s">
        <v>119</v>
      </c>
      <c r="C4164" s="25" t="s">
        <v>142</v>
      </c>
      <c r="D4164" s="51">
        <v>96744</v>
      </c>
    </row>
    <row r="4165" spans="1:4" x14ac:dyDescent="0.2">
      <c r="A4165" s="24">
        <v>44866</v>
      </c>
      <c r="B4165" s="25" t="s">
        <v>139</v>
      </c>
      <c r="C4165" s="25" t="s">
        <v>142</v>
      </c>
      <c r="D4165" s="51">
        <v>11</v>
      </c>
    </row>
    <row r="4166" spans="1:4" x14ac:dyDescent="0.2">
      <c r="A4166" s="24">
        <v>44866</v>
      </c>
      <c r="B4166" s="25" t="s">
        <v>120</v>
      </c>
      <c r="C4166" s="25" t="s">
        <v>142</v>
      </c>
      <c r="D4166" s="51">
        <v>7755</v>
      </c>
    </row>
    <row r="4167" spans="1:4" x14ac:dyDescent="0.2">
      <c r="A4167" s="24">
        <v>44866</v>
      </c>
      <c r="B4167" s="25" t="s">
        <v>121</v>
      </c>
      <c r="C4167" s="25" t="s">
        <v>142</v>
      </c>
      <c r="D4167" s="51">
        <v>930</v>
      </c>
    </row>
    <row r="4168" spans="1:4" x14ac:dyDescent="0.2">
      <c r="A4168" s="24">
        <v>44866</v>
      </c>
      <c r="B4168" s="25" t="s">
        <v>122</v>
      </c>
      <c r="C4168" s="25" t="s">
        <v>142</v>
      </c>
      <c r="D4168" s="51">
        <v>112233</v>
      </c>
    </row>
    <row r="4169" spans="1:4" x14ac:dyDescent="0.2">
      <c r="A4169" s="24">
        <v>44866</v>
      </c>
      <c r="B4169" s="25" t="s">
        <v>123</v>
      </c>
      <c r="C4169" s="25" t="s">
        <v>142</v>
      </c>
      <c r="D4169" s="51">
        <v>104597</v>
      </c>
    </row>
    <row r="4170" spans="1:4" x14ac:dyDescent="0.2">
      <c r="A4170" s="24">
        <v>44866</v>
      </c>
      <c r="B4170" s="25" t="s">
        <v>129</v>
      </c>
      <c r="C4170" s="25" t="s">
        <v>142</v>
      </c>
      <c r="D4170" s="51">
        <v>4073</v>
      </c>
    </row>
    <row r="4171" spans="1:4" x14ac:dyDescent="0.2">
      <c r="A4171" s="24">
        <v>44866</v>
      </c>
      <c r="B4171" s="25" t="s">
        <v>130</v>
      </c>
      <c r="C4171" s="25" t="s">
        <v>142</v>
      </c>
      <c r="D4171" s="51">
        <v>3742</v>
      </c>
    </row>
    <row r="4172" spans="1:4" x14ac:dyDescent="0.2">
      <c r="A4172" s="24">
        <v>44866</v>
      </c>
      <c r="B4172" s="25" t="s">
        <v>117</v>
      </c>
      <c r="C4172" s="25" t="s">
        <v>2</v>
      </c>
      <c r="D4172" s="51">
        <v>8160819</v>
      </c>
    </row>
    <row r="4173" spans="1:4" x14ac:dyDescent="0.2">
      <c r="A4173" s="24">
        <v>44866</v>
      </c>
      <c r="B4173" s="25" t="s">
        <v>137</v>
      </c>
      <c r="C4173" s="25" t="s">
        <v>2</v>
      </c>
      <c r="D4173" s="51">
        <v>5503863</v>
      </c>
    </row>
    <row r="4174" spans="1:4" x14ac:dyDescent="0.2">
      <c r="A4174" s="24">
        <v>44866</v>
      </c>
      <c r="B4174" s="25" t="s">
        <v>118</v>
      </c>
      <c r="C4174" s="25" t="s">
        <v>2</v>
      </c>
      <c r="D4174" s="51">
        <v>443403</v>
      </c>
    </row>
    <row r="4175" spans="1:4" x14ac:dyDescent="0.2">
      <c r="A4175" s="24">
        <v>44866</v>
      </c>
      <c r="B4175" s="25" t="s">
        <v>119</v>
      </c>
      <c r="C4175" s="25" t="s">
        <v>2</v>
      </c>
      <c r="D4175" s="51">
        <v>706517</v>
      </c>
    </row>
    <row r="4176" spans="1:4" x14ac:dyDescent="0.2">
      <c r="A4176" s="24">
        <v>44866</v>
      </c>
      <c r="B4176" s="25" t="s">
        <v>138</v>
      </c>
      <c r="C4176" s="25" t="s">
        <v>2</v>
      </c>
      <c r="D4176" s="51">
        <v>137</v>
      </c>
    </row>
    <row r="4177" spans="1:4" x14ac:dyDescent="0.2">
      <c r="A4177" s="24">
        <v>44866</v>
      </c>
      <c r="B4177" s="25" t="s">
        <v>139</v>
      </c>
      <c r="C4177" s="25" t="s">
        <v>2</v>
      </c>
      <c r="D4177" s="51">
        <v>629</v>
      </c>
    </row>
    <row r="4178" spans="1:4" x14ac:dyDescent="0.2">
      <c r="A4178" s="24">
        <v>44866</v>
      </c>
      <c r="B4178" s="25" t="s">
        <v>120</v>
      </c>
      <c r="C4178" s="25" t="s">
        <v>2</v>
      </c>
      <c r="D4178" s="51">
        <v>120096</v>
      </c>
    </row>
    <row r="4179" spans="1:4" x14ac:dyDescent="0.2">
      <c r="A4179" s="24">
        <v>44866</v>
      </c>
      <c r="B4179" s="25" t="s">
        <v>121</v>
      </c>
      <c r="C4179" s="25" t="s">
        <v>2</v>
      </c>
      <c r="D4179" s="51">
        <v>16005</v>
      </c>
    </row>
    <row r="4180" spans="1:4" x14ac:dyDescent="0.2">
      <c r="A4180" s="24">
        <v>44866</v>
      </c>
      <c r="B4180" s="25" t="s">
        <v>122</v>
      </c>
      <c r="C4180" s="25" t="s">
        <v>2</v>
      </c>
      <c r="D4180" s="51">
        <v>684882</v>
      </c>
    </row>
    <row r="4181" spans="1:4" x14ac:dyDescent="0.2">
      <c r="A4181" s="24">
        <v>44866</v>
      </c>
      <c r="B4181" s="25" t="s">
        <v>123</v>
      </c>
      <c r="C4181" s="25" t="s">
        <v>2</v>
      </c>
      <c r="D4181" s="51">
        <v>1762103</v>
      </c>
    </row>
    <row r="4182" spans="1:4" x14ac:dyDescent="0.2">
      <c r="A4182" s="24">
        <v>44866</v>
      </c>
      <c r="B4182" s="25" t="s">
        <v>129</v>
      </c>
      <c r="C4182" s="25" t="s">
        <v>2</v>
      </c>
      <c r="D4182" s="51">
        <v>81731</v>
      </c>
    </row>
    <row r="4183" spans="1:4" x14ac:dyDescent="0.2">
      <c r="A4183" s="24">
        <v>44866</v>
      </c>
      <c r="B4183" s="25" t="s">
        <v>130</v>
      </c>
      <c r="C4183" s="25" t="s">
        <v>2</v>
      </c>
      <c r="D4183" s="51">
        <v>25125</v>
      </c>
    </row>
    <row r="4184" spans="1:4" x14ac:dyDescent="0.2">
      <c r="A4184" s="24">
        <v>44896</v>
      </c>
      <c r="B4184" s="25" t="s">
        <v>117</v>
      </c>
      <c r="C4184" s="25" t="s">
        <v>4</v>
      </c>
      <c r="D4184" s="51">
        <v>6005060</v>
      </c>
    </row>
    <row r="4185" spans="1:4" x14ac:dyDescent="0.2">
      <c r="A4185" s="24">
        <v>44896</v>
      </c>
      <c r="B4185" s="25" t="s">
        <v>131</v>
      </c>
      <c r="C4185" s="25" t="s">
        <v>4</v>
      </c>
      <c r="D4185" s="51">
        <v>89</v>
      </c>
    </row>
    <row r="4186" spans="1:4" x14ac:dyDescent="0.2">
      <c r="A4186" s="24">
        <v>44896</v>
      </c>
      <c r="B4186" s="25" t="s">
        <v>132</v>
      </c>
      <c r="C4186" s="25" t="s">
        <v>4</v>
      </c>
      <c r="D4186" s="51">
        <v>26</v>
      </c>
    </row>
    <row r="4187" spans="1:4" x14ac:dyDescent="0.2">
      <c r="A4187" s="24">
        <v>44896</v>
      </c>
      <c r="B4187" s="25" t="s">
        <v>133</v>
      </c>
      <c r="C4187" s="25" t="s">
        <v>4</v>
      </c>
      <c r="D4187" s="51">
        <v>23</v>
      </c>
    </row>
    <row r="4188" spans="1:4" x14ac:dyDescent="0.2">
      <c r="A4188" s="24">
        <v>44896</v>
      </c>
      <c r="B4188" s="25" t="s">
        <v>137</v>
      </c>
      <c r="C4188" s="25" t="s">
        <v>4</v>
      </c>
      <c r="D4188" s="51">
        <v>5154068</v>
      </c>
    </row>
    <row r="4189" spans="1:4" x14ac:dyDescent="0.2">
      <c r="A4189" s="24">
        <v>44896</v>
      </c>
      <c r="B4189" s="25" t="s">
        <v>118</v>
      </c>
      <c r="C4189" s="25" t="s">
        <v>4</v>
      </c>
      <c r="D4189" s="51">
        <v>779633</v>
      </c>
    </row>
    <row r="4190" spans="1:4" x14ac:dyDescent="0.2">
      <c r="A4190" s="24">
        <v>44896</v>
      </c>
      <c r="B4190" s="25" t="s">
        <v>134</v>
      </c>
      <c r="C4190" s="25" t="s">
        <v>4</v>
      </c>
      <c r="D4190" s="51">
        <v>2</v>
      </c>
    </row>
    <row r="4191" spans="1:4" x14ac:dyDescent="0.2">
      <c r="A4191" s="24">
        <v>44896</v>
      </c>
      <c r="B4191" s="25" t="s">
        <v>135</v>
      </c>
      <c r="C4191" s="25" t="s">
        <v>4</v>
      </c>
      <c r="D4191" s="51">
        <v>1</v>
      </c>
    </row>
    <row r="4192" spans="1:4" x14ac:dyDescent="0.2">
      <c r="A4192" s="24">
        <v>44896</v>
      </c>
      <c r="B4192" s="25" t="s">
        <v>119</v>
      </c>
      <c r="C4192" s="25" t="s">
        <v>4</v>
      </c>
      <c r="D4192" s="51">
        <v>540844</v>
      </c>
    </row>
    <row r="4193" spans="1:4" x14ac:dyDescent="0.2">
      <c r="A4193" s="24">
        <v>44896</v>
      </c>
      <c r="B4193" s="25" t="s">
        <v>138</v>
      </c>
      <c r="C4193" s="25" t="s">
        <v>4</v>
      </c>
      <c r="D4193" s="51">
        <v>76</v>
      </c>
    </row>
    <row r="4194" spans="1:4" x14ac:dyDescent="0.2">
      <c r="A4194" s="24">
        <v>44896</v>
      </c>
      <c r="B4194" s="25" t="s">
        <v>139</v>
      </c>
      <c r="C4194" s="25" t="s">
        <v>4</v>
      </c>
      <c r="D4194" s="51">
        <v>875</v>
      </c>
    </row>
    <row r="4195" spans="1:4" x14ac:dyDescent="0.2">
      <c r="A4195" s="24">
        <v>44896</v>
      </c>
      <c r="B4195" s="25" t="s">
        <v>120</v>
      </c>
      <c r="C4195" s="25" t="s">
        <v>4</v>
      </c>
      <c r="D4195" s="51">
        <v>57600</v>
      </c>
    </row>
    <row r="4196" spans="1:4" x14ac:dyDescent="0.2">
      <c r="A4196" s="24">
        <v>44896</v>
      </c>
      <c r="B4196" s="25" t="s">
        <v>121</v>
      </c>
      <c r="C4196" s="25" t="s">
        <v>4</v>
      </c>
      <c r="D4196" s="51">
        <v>27112</v>
      </c>
    </row>
    <row r="4197" spans="1:4" x14ac:dyDescent="0.2">
      <c r="A4197" s="24">
        <v>44896</v>
      </c>
      <c r="B4197" s="25" t="s">
        <v>140</v>
      </c>
      <c r="C4197" s="25" t="s">
        <v>4</v>
      </c>
      <c r="D4197" s="51">
        <v>19991</v>
      </c>
    </row>
    <row r="4198" spans="1:4" x14ac:dyDescent="0.2">
      <c r="A4198" s="24">
        <v>44896</v>
      </c>
      <c r="B4198" s="25" t="s">
        <v>122</v>
      </c>
      <c r="C4198" s="25" t="s">
        <v>4</v>
      </c>
      <c r="D4198" s="51">
        <v>609216</v>
      </c>
    </row>
    <row r="4199" spans="1:4" x14ac:dyDescent="0.2">
      <c r="A4199" s="24">
        <v>44896</v>
      </c>
      <c r="B4199" s="25" t="s">
        <v>123</v>
      </c>
      <c r="C4199" s="25" t="s">
        <v>4</v>
      </c>
      <c r="D4199" s="51">
        <v>3033997</v>
      </c>
    </row>
    <row r="4200" spans="1:4" x14ac:dyDescent="0.2">
      <c r="A4200" s="24">
        <v>44896</v>
      </c>
      <c r="B4200" s="25" t="s">
        <v>117</v>
      </c>
      <c r="C4200" s="25" t="s">
        <v>8</v>
      </c>
      <c r="D4200" s="51">
        <v>429176</v>
      </c>
    </row>
    <row r="4201" spans="1:4" x14ac:dyDescent="0.2">
      <c r="A4201" s="24">
        <v>44896</v>
      </c>
      <c r="B4201" s="25" t="s">
        <v>137</v>
      </c>
      <c r="C4201" s="25" t="s">
        <v>8</v>
      </c>
      <c r="D4201" s="51">
        <v>566889</v>
      </c>
    </row>
    <row r="4202" spans="1:4" x14ac:dyDescent="0.2">
      <c r="A4202" s="24">
        <v>44896</v>
      </c>
      <c r="B4202" s="25" t="s">
        <v>118</v>
      </c>
      <c r="C4202" s="25" t="s">
        <v>8</v>
      </c>
      <c r="D4202" s="51">
        <v>103735</v>
      </c>
    </row>
    <row r="4203" spans="1:4" x14ac:dyDescent="0.2">
      <c r="A4203" s="24">
        <v>44896</v>
      </c>
      <c r="B4203" s="25" t="s">
        <v>119</v>
      </c>
      <c r="C4203" s="25" t="s">
        <v>8</v>
      </c>
      <c r="D4203" s="51">
        <v>17670</v>
      </c>
    </row>
    <row r="4204" spans="1:4" x14ac:dyDescent="0.2">
      <c r="A4204" s="24">
        <v>44896</v>
      </c>
      <c r="B4204" s="25" t="s">
        <v>138</v>
      </c>
      <c r="C4204" s="25" t="s">
        <v>8</v>
      </c>
      <c r="D4204" s="51">
        <v>99</v>
      </c>
    </row>
    <row r="4205" spans="1:4" x14ac:dyDescent="0.2">
      <c r="A4205" s="24">
        <v>44896</v>
      </c>
      <c r="B4205" s="25" t="s">
        <v>139</v>
      </c>
      <c r="C4205" s="25" t="s">
        <v>8</v>
      </c>
      <c r="D4205" s="51">
        <v>27</v>
      </c>
    </row>
    <row r="4206" spans="1:4" x14ac:dyDescent="0.2">
      <c r="A4206" s="24">
        <v>44896</v>
      </c>
      <c r="B4206" s="25" t="s">
        <v>120</v>
      </c>
      <c r="C4206" s="25" t="s">
        <v>8</v>
      </c>
      <c r="D4206" s="51">
        <v>4430</v>
      </c>
    </row>
    <row r="4207" spans="1:4" x14ac:dyDescent="0.2">
      <c r="A4207" s="24">
        <v>44896</v>
      </c>
      <c r="B4207" s="25" t="s">
        <v>121</v>
      </c>
      <c r="C4207" s="25" t="s">
        <v>8</v>
      </c>
      <c r="D4207" s="51">
        <v>1886</v>
      </c>
    </row>
    <row r="4208" spans="1:4" x14ac:dyDescent="0.2">
      <c r="A4208" s="24">
        <v>44896</v>
      </c>
      <c r="B4208" s="25" t="s">
        <v>122</v>
      </c>
      <c r="C4208" s="25" t="s">
        <v>8</v>
      </c>
      <c r="D4208" s="51">
        <v>5633</v>
      </c>
    </row>
    <row r="4209" spans="1:4" x14ac:dyDescent="0.2">
      <c r="A4209" s="24">
        <v>44896</v>
      </c>
      <c r="B4209" s="25" t="s">
        <v>123</v>
      </c>
      <c r="C4209" s="25" t="s">
        <v>8</v>
      </c>
      <c r="D4209" s="51">
        <v>168663</v>
      </c>
    </row>
    <row r="4210" spans="1:4" x14ac:dyDescent="0.2">
      <c r="A4210" s="24">
        <v>44896</v>
      </c>
      <c r="B4210" s="25" t="s">
        <v>124</v>
      </c>
      <c r="C4210" s="25" t="s">
        <v>8</v>
      </c>
      <c r="D4210" s="51">
        <v>40557</v>
      </c>
    </row>
    <row r="4211" spans="1:4" x14ac:dyDescent="0.2">
      <c r="A4211" s="24">
        <v>44896</v>
      </c>
      <c r="B4211" s="25" t="s">
        <v>125</v>
      </c>
      <c r="C4211" s="25" t="s">
        <v>8</v>
      </c>
      <c r="D4211" s="51">
        <v>22256</v>
      </c>
    </row>
    <row r="4212" spans="1:4" x14ac:dyDescent="0.2">
      <c r="A4212" s="24">
        <v>44896</v>
      </c>
      <c r="B4212" s="25" t="s">
        <v>117</v>
      </c>
      <c r="C4212" s="25" t="s">
        <v>26</v>
      </c>
      <c r="D4212" s="51">
        <v>1158784</v>
      </c>
    </row>
    <row r="4213" spans="1:4" x14ac:dyDescent="0.2">
      <c r="A4213" s="24">
        <v>44896</v>
      </c>
      <c r="B4213" s="25" t="s">
        <v>137</v>
      </c>
      <c r="C4213" s="25" t="s">
        <v>26</v>
      </c>
      <c r="D4213" s="51">
        <v>1053040</v>
      </c>
    </row>
    <row r="4214" spans="1:4" x14ac:dyDescent="0.2">
      <c r="A4214" s="24">
        <v>44896</v>
      </c>
      <c r="B4214" s="25" t="s">
        <v>118</v>
      </c>
      <c r="C4214" s="25" t="s">
        <v>26</v>
      </c>
      <c r="D4214" s="51">
        <v>129748</v>
      </c>
    </row>
    <row r="4215" spans="1:4" x14ac:dyDescent="0.2">
      <c r="A4215" s="24">
        <v>44896</v>
      </c>
      <c r="B4215" s="25" t="s">
        <v>119</v>
      </c>
      <c r="C4215" s="25" t="s">
        <v>26</v>
      </c>
      <c r="D4215" s="51">
        <v>102961</v>
      </c>
    </row>
    <row r="4216" spans="1:4" x14ac:dyDescent="0.2">
      <c r="A4216" s="24">
        <v>44896</v>
      </c>
      <c r="B4216" s="25" t="s">
        <v>138</v>
      </c>
      <c r="C4216" s="25" t="s">
        <v>26</v>
      </c>
      <c r="D4216" s="51">
        <v>195</v>
      </c>
    </row>
    <row r="4217" spans="1:4" x14ac:dyDescent="0.2">
      <c r="A4217" s="24">
        <v>44896</v>
      </c>
      <c r="B4217" s="25" t="s">
        <v>139</v>
      </c>
      <c r="C4217" s="25" t="s">
        <v>26</v>
      </c>
      <c r="D4217" s="51">
        <v>73</v>
      </c>
    </row>
    <row r="4218" spans="1:4" x14ac:dyDescent="0.2">
      <c r="A4218" s="24">
        <v>44896</v>
      </c>
      <c r="B4218" s="25" t="s">
        <v>120</v>
      </c>
      <c r="C4218" s="25" t="s">
        <v>26</v>
      </c>
      <c r="D4218" s="51">
        <v>8923</v>
      </c>
    </row>
    <row r="4219" spans="1:4" x14ac:dyDescent="0.2">
      <c r="A4219" s="24">
        <v>44896</v>
      </c>
      <c r="B4219" s="25" t="s">
        <v>121</v>
      </c>
      <c r="C4219" s="25" t="s">
        <v>26</v>
      </c>
      <c r="D4219" s="51">
        <v>2934</v>
      </c>
    </row>
    <row r="4220" spans="1:4" x14ac:dyDescent="0.2">
      <c r="A4220" s="24">
        <v>44896</v>
      </c>
      <c r="B4220" s="25" t="s">
        <v>122</v>
      </c>
      <c r="C4220" s="25" t="s">
        <v>26</v>
      </c>
      <c r="D4220" s="51">
        <v>14245</v>
      </c>
    </row>
    <row r="4221" spans="1:4" x14ac:dyDescent="0.2">
      <c r="A4221" s="24">
        <v>44896</v>
      </c>
      <c r="B4221" s="25" t="s">
        <v>123</v>
      </c>
      <c r="C4221" s="25" t="s">
        <v>26</v>
      </c>
      <c r="D4221" s="51">
        <v>354456</v>
      </c>
    </row>
    <row r="4222" spans="1:4" x14ac:dyDescent="0.2">
      <c r="A4222" s="24">
        <v>44896</v>
      </c>
      <c r="B4222" s="25" t="s">
        <v>127</v>
      </c>
      <c r="C4222" s="25" t="s">
        <v>26</v>
      </c>
      <c r="D4222" s="51">
        <v>5591</v>
      </c>
    </row>
    <row r="4223" spans="1:4" x14ac:dyDescent="0.2">
      <c r="A4223" s="24">
        <v>44896</v>
      </c>
      <c r="B4223" s="25" t="s">
        <v>128</v>
      </c>
      <c r="C4223" s="25" t="s">
        <v>26</v>
      </c>
      <c r="D4223" s="51">
        <v>3115</v>
      </c>
    </row>
    <row r="4224" spans="1:4" x14ac:dyDescent="0.2">
      <c r="A4224" s="24">
        <v>44896</v>
      </c>
      <c r="B4224" s="25" t="s">
        <v>117</v>
      </c>
      <c r="C4224" s="25" t="s">
        <v>142</v>
      </c>
      <c r="D4224" s="51">
        <v>674886</v>
      </c>
    </row>
    <row r="4225" spans="1:4" x14ac:dyDescent="0.2">
      <c r="A4225" s="24">
        <v>44896</v>
      </c>
      <c r="B4225" s="25" t="s">
        <v>137</v>
      </c>
      <c r="C4225" s="25" t="s">
        <v>142</v>
      </c>
      <c r="D4225" s="51">
        <v>467954</v>
      </c>
    </row>
    <row r="4226" spans="1:4" x14ac:dyDescent="0.2">
      <c r="A4226" s="24">
        <v>44896</v>
      </c>
      <c r="B4226" s="25" t="s">
        <v>118</v>
      </c>
      <c r="C4226" s="25" t="s">
        <v>142</v>
      </c>
      <c r="D4226" s="51">
        <v>126355</v>
      </c>
    </row>
    <row r="4227" spans="1:4" x14ac:dyDescent="0.2">
      <c r="A4227" s="24">
        <v>44896</v>
      </c>
      <c r="B4227" s="25" t="s">
        <v>119</v>
      </c>
      <c r="C4227" s="25" t="s">
        <v>142</v>
      </c>
      <c r="D4227" s="51">
        <v>90333</v>
      </c>
    </row>
    <row r="4228" spans="1:4" x14ac:dyDescent="0.2">
      <c r="A4228" s="24">
        <v>44896</v>
      </c>
      <c r="B4228" s="25" t="s">
        <v>139</v>
      </c>
      <c r="C4228" s="25" t="s">
        <v>142</v>
      </c>
      <c r="D4228" s="51">
        <v>13</v>
      </c>
    </row>
    <row r="4229" spans="1:4" x14ac:dyDescent="0.2">
      <c r="A4229" s="24">
        <v>44896</v>
      </c>
      <c r="B4229" s="25" t="s">
        <v>120</v>
      </c>
      <c r="C4229" s="25" t="s">
        <v>142</v>
      </c>
      <c r="D4229" s="51">
        <v>9087</v>
      </c>
    </row>
    <row r="4230" spans="1:4" x14ac:dyDescent="0.2">
      <c r="A4230" s="24">
        <v>44896</v>
      </c>
      <c r="B4230" s="25" t="s">
        <v>121</v>
      </c>
      <c r="C4230" s="25" t="s">
        <v>142</v>
      </c>
      <c r="D4230" s="51">
        <v>1212</v>
      </c>
    </row>
    <row r="4231" spans="1:4" x14ac:dyDescent="0.2">
      <c r="A4231" s="24">
        <v>44896</v>
      </c>
      <c r="B4231" s="25" t="s">
        <v>122</v>
      </c>
      <c r="C4231" s="25" t="s">
        <v>142</v>
      </c>
      <c r="D4231" s="51">
        <v>65619</v>
      </c>
    </row>
    <row r="4232" spans="1:4" x14ac:dyDescent="0.2">
      <c r="A4232" s="24">
        <v>44896</v>
      </c>
      <c r="B4232" s="25" t="s">
        <v>123</v>
      </c>
      <c r="C4232" s="25" t="s">
        <v>142</v>
      </c>
      <c r="D4232" s="51">
        <v>127601</v>
      </c>
    </row>
    <row r="4233" spans="1:4" x14ac:dyDescent="0.2">
      <c r="A4233" s="24">
        <v>44896</v>
      </c>
      <c r="B4233" s="25" t="s">
        <v>129</v>
      </c>
      <c r="C4233" s="25" t="s">
        <v>142</v>
      </c>
      <c r="D4233" s="51">
        <v>6339</v>
      </c>
    </row>
    <row r="4234" spans="1:4" x14ac:dyDescent="0.2">
      <c r="A4234" s="24">
        <v>44896</v>
      </c>
      <c r="B4234" s="25" t="s">
        <v>130</v>
      </c>
      <c r="C4234" s="25" t="s">
        <v>142</v>
      </c>
      <c r="D4234" s="51">
        <v>7821</v>
      </c>
    </row>
    <row r="4235" spans="1:4" x14ac:dyDescent="0.2">
      <c r="A4235" s="24">
        <v>44896</v>
      </c>
      <c r="B4235" s="25" t="s">
        <v>117</v>
      </c>
      <c r="C4235" s="25" t="s">
        <v>2</v>
      </c>
      <c r="D4235" s="51">
        <v>9440309</v>
      </c>
    </row>
    <row r="4236" spans="1:4" x14ac:dyDescent="0.2">
      <c r="A4236" s="24">
        <v>44896</v>
      </c>
      <c r="B4236" s="25" t="s">
        <v>137</v>
      </c>
      <c r="C4236" s="25" t="s">
        <v>2</v>
      </c>
      <c r="D4236" s="51">
        <v>6825016</v>
      </c>
    </row>
    <row r="4237" spans="1:4" x14ac:dyDescent="0.2">
      <c r="A4237" s="24">
        <v>44896</v>
      </c>
      <c r="B4237" s="25" t="s">
        <v>118</v>
      </c>
      <c r="C4237" s="25" t="s">
        <v>2</v>
      </c>
      <c r="D4237" s="51">
        <v>801421</v>
      </c>
    </row>
    <row r="4238" spans="1:4" x14ac:dyDescent="0.2">
      <c r="A4238" s="24">
        <v>44896</v>
      </c>
      <c r="B4238" s="25" t="s">
        <v>119</v>
      </c>
      <c r="C4238" s="25" t="s">
        <v>2</v>
      </c>
      <c r="D4238" s="51">
        <v>729352</v>
      </c>
    </row>
    <row r="4239" spans="1:4" x14ac:dyDescent="0.2">
      <c r="A4239" s="24">
        <v>44896</v>
      </c>
      <c r="B4239" s="25" t="s">
        <v>138</v>
      </c>
      <c r="C4239" s="25" t="s">
        <v>2</v>
      </c>
      <c r="D4239" s="51">
        <v>90</v>
      </c>
    </row>
    <row r="4240" spans="1:4" x14ac:dyDescent="0.2">
      <c r="A4240" s="24">
        <v>44896</v>
      </c>
      <c r="B4240" s="25" t="s">
        <v>139</v>
      </c>
      <c r="C4240" s="25" t="s">
        <v>2</v>
      </c>
      <c r="D4240" s="51">
        <v>958</v>
      </c>
    </row>
    <row r="4241" spans="1:4" x14ac:dyDescent="0.2">
      <c r="A4241" s="24">
        <v>44896</v>
      </c>
      <c r="B4241" s="25" t="s">
        <v>120</v>
      </c>
      <c r="C4241" s="25" t="s">
        <v>2</v>
      </c>
      <c r="D4241" s="51">
        <v>205108</v>
      </c>
    </row>
    <row r="4242" spans="1:4" x14ac:dyDescent="0.2">
      <c r="A4242" s="24">
        <v>44896</v>
      </c>
      <c r="B4242" s="25" t="s">
        <v>121</v>
      </c>
      <c r="C4242" s="25" t="s">
        <v>2</v>
      </c>
      <c r="D4242" s="51">
        <v>20288</v>
      </c>
    </row>
    <row r="4243" spans="1:4" x14ac:dyDescent="0.2">
      <c r="A4243" s="24">
        <v>44896</v>
      </c>
      <c r="B4243" s="25" t="s">
        <v>122</v>
      </c>
      <c r="C4243" s="25" t="s">
        <v>2</v>
      </c>
      <c r="D4243" s="51">
        <v>401437</v>
      </c>
    </row>
    <row r="4244" spans="1:4" x14ac:dyDescent="0.2">
      <c r="A4244" s="24">
        <v>44896</v>
      </c>
      <c r="B4244" s="25" t="s">
        <v>123</v>
      </c>
      <c r="C4244" s="25" t="s">
        <v>2</v>
      </c>
      <c r="D4244" s="51">
        <v>2128260</v>
      </c>
    </row>
    <row r="4245" spans="1:4" x14ac:dyDescent="0.2">
      <c r="A4245" s="24">
        <v>44896</v>
      </c>
      <c r="B4245" s="25" t="s">
        <v>129</v>
      </c>
      <c r="C4245" s="25" t="s">
        <v>2</v>
      </c>
      <c r="D4245" s="51">
        <v>117625</v>
      </c>
    </row>
    <row r="4246" spans="1:4" x14ac:dyDescent="0.2">
      <c r="A4246" s="24">
        <v>44896</v>
      </c>
      <c r="B4246" s="25" t="s">
        <v>130</v>
      </c>
      <c r="C4246" s="25" t="s">
        <v>2</v>
      </c>
      <c r="D4246" s="51">
        <v>63508</v>
      </c>
    </row>
    <row r="4247" spans="1:4" x14ac:dyDescent="0.2">
      <c r="A4247" s="24">
        <v>44927</v>
      </c>
      <c r="B4247" s="25" t="s">
        <v>117</v>
      </c>
      <c r="C4247" s="25" t="s">
        <v>4</v>
      </c>
      <c r="D4247" s="51">
        <v>5837688</v>
      </c>
    </row>
    <row r="4248" spans="1:4" x14ac:dyDescent="0.2">
      <c r="A4248" s="24">
        <v>44927</v>
      </c>
      <c r="B4248" s="25" t="s">
        <v>131</v>
      </c>
      <c r="C4248" s="25" t="s">
        <v>4</v>
      </c>
      <c r="D4248" s="51">
        <v>118</v>
      </c>
    </row>
    <row r="4249" spans="1:4" x14ac:dyDescent="0.2">
      <c r="A4249" s="24">
        <v>44927</v>
      </c>
      <c r="B4249" s="25" t="s">
        <v>132</v>
      </c>
      <c r="C4249" s="25" t="s">
        <v>4</v>
      </c>
      <c r="D4249" s="51">
        <v>39</v>
      </c>
    </row>
    <row r="4250" spans="1:4" x14ac:dyDescent="0.2">
      <c r="A4250" s="24">
        <v>44927</v>
      </c>
      <c r="B4250" s="25" t="s">
        <v>133</v>
      </c>
      <c r="C4250" s="25" t="s">
        <v>4</v>
      </c>
      <c r="D4250" s="51">
        <v>16</v>
      </c>
    </row>
    <row r="4251" spans="1:4" x14ac:dyDescent="0.2">
      <c r="A4251" s="24">
        <v>44927</v>
      </c>
      <c r="B4251" s="25" t="s">
        <v>137</v>
      </c>
      <c r="C4251" s="25" t="s">
        <v>4</v>
      </c>
      <c r="D4251" s="51">
        <v>5225867</v>
      </c>
    </row>
    <row r="4252" spans="1:4" x14ac:dyDescent="0.2">
      <c r="A4252" s="24">
        <v>44927</v>
      </c>
      <c r="B4252" s="25" t="s">
        <v>118</v>
      </c>
      <c r="C4252" s="25" t="s">
        <v>4</v>
      </c>
      <c r="D4252" s="51">
        <v>937575</v>
      </c>
    </row>
    <row r="4253" spans="1:4" x14ac:dyDescent="0.2">
      <c r="A4253" s="24">
        <v>44927</v>
      </c>
      <c r="B4253" s="25" t="s">
        <v>134</v>
      </c>
      <c r="C4253" s="25" t="s">
        <v>4</v>
      </c>
      <c r="D4253" s="51">
        <v>4</v>
      </c>
    </row>
    <row r="4254" spans="1:4" x14ac:dyDescent="0.2">
      <c r="A4254" s="24">
        <v>44927</v>
      </c>
      <c r="B4254" s="25" t="s">
        <v>136</v>
      </c>
      <c r="C4254" s="25" t="s">
        <v>4</v>
      </c>
      <c r="D4254" s="51">
        <v>2</v>
      </c>
    </row>
    <row r="4255" spans="1:4" x14ac:dyDescent="0.2">
      <c r="A4255" s="24">
        <v>44927</v>
      </c>
      <c r="B4255" s="25" t="s">
        <v>119</v>
      </c>
      <c r="C4255" s="25" t="s">
        <v>4</v>
      </c>
      <c r="D4255" s="51">
        <v>497056</v>
      </c>
    </row>
    <row r="4256" spans="1:4" x14ac:dyDescent="0.2">
      <c r="A4256" s="24">
        <v>44927</v>
      </c>
      <c r="B4256" s="25" t="s">
        <v>138</v>
      </c>
      <c r="C4256" s="25" t="s">
        <v>4</v>
      </c>
      <c r="D4256" s="51">
        <v>27</v>
      </c>
    </row>
    <row r="4257" spans="1:4" x14ac:dyDescent="0.2">
      <c r="A4257" s="24">
        <v>44927</v>
      </c>
      <c r="B4257" s="25" t="s">
        <v>139</v>
      </c>
      <c r="C4257" s="25" t="s">
        <v>4</v>
      </c>
      <c r="D4257" s="51">
        <v>843</v>
      </c>
    </row>
    <row r="4258" spans="1:4" x14ac:dyDescent="0.2">
      <c r="A4258" s="24">
        <v>44927</v>
      </c>
      <c r="B4258" s="25" t="s">
        <v>120</v>
      </c>
      <c r="C4258" s="25" t="s">
        <v>4</v>
      </c>
      <c r="D4258" s="51">
        <v>53044</v>
      </c>
    </row>
    <row r="4259" spans="1:4" x14ac:dyDescent="0.2">
      <c r="A4259" s="24">
        <v>44927</v>
      </c>
      <c r="B4259" s="25" t="s">
        <v>121</v>
      </c>
      <c r="C4259" s="25" t="s">
        <v>4</v>
      </c>
      <c r="D4259" s="51">
        <v>24933</v>
      </c>
    </row>
    <row r="4260" spans="1:4" x14ac:dyDescent="0.2">
      <c r="A4260" s="24">
        <v>44927</v>
      </c>
      <c r="B4260" s="25" t="s">
        <v>140</v>
      </c>
      <c r="C4260" s="25" t="s">
        <v>4</v>
      </c>
      <c r="D4260" s="51">
        <v>20233</v>
      </c>
    </row>
    <row r="4261" spans="1:4" x14ac:dyDescent="0.2">
      <c r="A4261" s="24">
        <v>44927</v>
      </c>
      <c r="B4261" s="25" t="s">
        <v>122</v>
      </c>
      <c r="C4261" s="25" t="s">
        <v>4</v>
      </c>
      <c r="D4261" s="51">
        <v>68263</v>
      </c>
    </row>
    <row r="4262" spans="1:4" x14ac:dyDescent="0.2">
      <c r="A4262" s="24">
        <v>44927</v>
      </c>
      <c r="B4262" s="25" t="s">
        <v>123</v>
      </c>
      <c r="C4262" s="25" t="s">
        <v>4</v>
      </c>
      <c r="D4262" s="51">
        <v>2864913</v>
      </c>
    </row>
    <row r="4263" spans="1:4" x14ac:dyDescent="0.2">
      <c r="A4263" s="24">
        <v>44927</v>
      </c>
      <c r="B4263" s="25" t="s">
        <v>117</v>
      </c>
      <c r="C4263" s="25" t="s">
        <v>8</v>
      </c>
      <c r="D4263" s="51">
        <v>458697</v>
      </c>
    </row>
    <row r="4264" spans="1:4" x14ac:dyDescent="0.2">
      <c r="A4264" s="24">
        <v>44927</v>
      </c>
      <c r="B4264" s="25" t="s">
        <v>137</v>
      </c>
      <c r="C4264" s="25" t="s">
        <v>8</v>
      </c>
      <c r="D4264" s="51">
        <v>602638</v>
      </c>
    </row>
    <row r="4265" spans="1:4" x14ac:dyDescent="0.2">
      <c r="A4265" s="24">
        <v>44927</v>
      </c>
      <c r="B4265" s="25" t="s">
        <v>118</v>
      </c>
      <c r="C4265" s="25" t="s">
        <v>8</v>
      </c>
      <c r="D4265" s="51">
        <v>156183</v>
      </c>
    </row>
    <row r="4266" spans="1:4" x14ac:dyDescent="0.2">
      <c r="A4266" s="24">
        <v>44927</v>
      </c>
      <c r="B4266" s="25" t="s">
        <v>119</v>
      </c>
      <c r="C4266" s="25" t="s">
        <v>8</v>
      </c>
      <c r="D4266" s="51">
        <v>16483</v>
      </c>
    </row>
    <row r="4267" spans="1:4" x14ac:dyDescent="0.2">
      <c r="A4267" s="24">
        <v>44927</v>
      </c>
      <c r="B4267" s="25" t="s">
        <v>139</v>
      </c>
      <c r="C4267" s="25" t="s">
        <v>8</v>
      </c>
      <c r="D4267" s="51">
        <v>3</v>
      </c>
    </row>
    <row r="4268" spans="1:4" x14ac:dyDescent="0.2">
      <c r="A4268" s="24">
        <v>44927</v>
      </c>
      <c r="B4268" s="25" t="s">
        <v>120</v>
      </c>
      <c r="C4268" s="25" t="s">
        <v>8</v>
      </c>
      <c r="D4268" s="51">
        <v>5006</v>
      </c>
    </row>
    <row r="4269" spans="1:4" x14ac:dyDescent="0.2">
      <c r="A4269" s="24">
        <v>44927</v>
      </c>
      <c r="B4269" s="25" t="s">
        <v>121</v>
      </c>
      <c r="C4269" s="25" t="s">
        <v>8</v>
      </c>
      <c r="D4269" s="51">
        <v>2108</v>
      </c>
    </row>
    <row r="4270" spans="1:4" x14ac:dyDescent="0.2">
      <c r="A4270" s="24">
        <v>44927</v>
      </c>
      <c r="B4270" s="25" t="s">
        <v>122</v>
      </c>
      <c r="C4270" s="25" t="s">
        <v>8</v>
      </c>
      <c r="D4270" s="51">
        <v>592</v>
      </c>
    </row>
    <row r="4271" spans="1:4" x14ac:dyDescent="0.2">
      <c r="A4271" s="24">
        <v>44927</v>
      </c>
      <c r="B4271" s="25" t="s">
        <v>123</v>
      </c>
      <c r="C4271" s="25" t="s">
        <v>8</v>
      </c>
      <c r="D4271" s="51">
        <v>198602</v>
      </c>
    </row>
    <row r="4272" spans="1:4" x14ac:dyDescent="0.2">
      <c r="A4272" s="24">
        <v>44927</v>
      </c>
      <c r="B4272" s="25" t="s">
        <v>124</v>
      </c>
      <c r="C4272" s="25" t="s">
        <v>8</v>
      </c>
      <c r="D4272" s="51">
        <v>42441</v>
      </c>
    </row>
    <row r="4273" spans="1:4" x14ac:dyDescent="0.2">
      <c r="A4273" s="24">
        <v>44927</v>
      </c>
      <c r="B4273" s="25" t="s">
        <v>125</v>
      </c>
      <c r="C4273" s="25" t="s">
        <v>8</v>
      </c>
      <c r="D4273" s="51">
        <v>27107</v>
      </c>
    </row>
    <row r="4274" spans="1:4" x14ac:dyDescent="0.2">
      <c r="A4274" s="24">
        <v>44927</v>
      </c>
      <c r="B4274" s="25" t="s">
        <v>117</v>
      </c>
      <c r="C4274" s="25" t="s">
        <v>26</v>
      </c>
      <c r="D4274" s="51">
        <v>1110981</v>
      </c>
    </row>
    <row r="4275" spans="1:4" x14ac:dyDescent="0.2">
      <c r="A4275" s="24">
        <v>44927</v>
      </c>
      <c r="B4275" s="25" t="s">
        <v>137</v>
      </c>
      <c r="C4275" s="25" t="s">
        <v>26</v>
      </c>
      <c r="D4275" s="51">
        <v>1031438</v>
      </c>
    </row>
    <row r="4276" spans="1:4" x14ac:dyDescent="0.2">
      <c r="A4276" s="24">
        <v>44927</v>
      </c>
      <c r="B4276" s="25" t="s">
        <v>118</v>
      </c>
      <c r="C4276" s="25" t="s">
        <v>26</v>
      </c>
      <c r="D4276" s="51">
        <v>170987</v>
      </c>
    </row>
    <row r="4277" spans="1:4" x14ac:dyDescent="0.2">
      <c r="A4277" s="24">
        <v>44927</v>
      </c>
      <c r="B4277" s="25" t="s">
        <v>119</v>
      </c>
      <c r="C4277" s="25" t="s">
        <v>26</v>
      </c>
      <c r="D4277" s="51">
        <v>93351</v>
      </c>
    </row>
    <row r="4278" spans="1:4" x14ac:dyDescent="0.2">
      <c r="A4278" s="24">
        <v>44927</v>
      </c>
      <c r="B4278" s="25" t="s">
        <v>138</v>
      </c>
      <c r="C4278" s="25" t="s">
        <v>26</v>
      </c>
      <c r="D4278" s="51">
        <v>2</v>
      </c>
    </row>
    <row r="4279" spans="1:4" x14ac:dyDescent="0.2">
      <c r="A4279" s="24">
        <v>44927</v>
      </c>
      <c r="B4279" s="25" t="s">
        <v>139</v>
      </c>
      <c r="C4279" s="25" t="s">
        <v>26</v>
      </c>
      <c r="D4279" s="51">
        <v>40</v>
      </c>
    </row>
    <row r="4280" spans="1:4" x14ac:dyDescent="0.2">
      <c r="A4280" s="24">
        <v>44927</v>
      </c>
      <c r="B4280" s="25" t="s">
        <v>120</v>
      </c>
      <c r="C4280" s="25" t="s">
        <v>26</v>
      </c>
      <c r="D4280" s="51">
        <v>8167</v>
      </c>
    </row>
    <row r="4281" spans="1:4" x14ac:dyDescent="0.2">
      <c r="A4281" s="24">
        <v>44927</v>
      </c>
      <c r="B4281" s="25" t="s">
        <v>121</v>
      </c>
      <c r="C4281" s="25" t="s">
        <v>26</v>
      </c>
      <c r="D4281" s="51">
        <v>3026</v>
      </c>
    </row>
    <row r="4282" spans="1:4" x14ac:dyDescent="0.2">
      <c r="A4282" s="24">
        <v>44927</v>
      </c>
      <c r="B4282" s="25" t="s">
        <v>122</v>
      </c>
      <c r="C4282" s="25" t="s">
        <v>26</v>
      </c>
      <c r="D4282" s="51">
        <v>2246</v>
      </c>
    </row>
    <row r="4283" spans="1:4" x14ac:dyDescent="0.2">
      <c r="A4283" s="24">
        <v>44927</v>
      </c>
      <c r="B4283" s="25" t="s">
        <v>123</v>
      </c>
      <c r="C4283" s="25" t="s">
        <v>26</v>
      </c>
      <c r="D4283" s="51">
        <v>358571</v>
      </c>
    </row>
    <row r="4284" spans="1:4" x14ac:dyDescent="0.2">
      <c r="A4284" s="24">
        <v>44927</v>
      </c>
      <c r="B4284" s="25" t="s">
        <v>127</v>
      </c>
      <c r="C4284" s="25" t="s">
        <v>26</v>
      </c>
      <c r="D4284" s="51">
        <v>5136</v>
      </c>
    </row>
    <row r="4285" spans="1:4" x14ac:dyDescent="0.2">
      <c r="A4285" s="24">
        <v>44927</v>
      </c>
      <c r="B4285" s="25" t="s">
        <v>128</v>
      </c>
      <c r="C4285" s="25" t="s">
        <v>26</v>
      </c>
      <c r="D4285" s="51">
        <v>3370</v>
      </c>
    </row>
    <row r="4286" spans="1:4" x14ac:dyDescent="0.2">
      <c r="A4286" s="24">
        <v>44927</v>
      </c>
      <c r="B4286" s="25" t="s">
        <v>117</v>
      </c>
      <c r="C4286" s="25" t="s">
        <v>142</v>
      </c>
      <c r="D4286" s="51">
        <v>616617</v>
      </c>
    </row>
    <row r="4287" spans="1:4" x14ac:dyDescent="0.2">
      <c r="A4287" s="24">
        <v>44927</v>
      </c>
      <c r="B4287" s="25" t="s">
        <v>137</v>
      </c>
      <c r="C4287" s="25" t="s">
        <v>142</v>
      </c>
      <c r="D4287" s="51">
        <v>415504</v>
      </c>
    </row>
    <row r="4288" spans="1:4" x14ac:dyDescent="0.2">
      <c r="A4288" s="24">
        <v>44927</v>
      </c>
      <c r="B4288" s="25" t="s">
        <v>118</v>
      </c>
      <c r="C4288" s="25" t="s">
        <v>142</v>
      </c>
      <c r="D4288" s="51">
        <v>150281</v>
      </c>
    </row>
    <row r="4289" spans="1:4" x14ac:dyDescent="0.2">
      <c r="A4289" s="24">
        <v>44927</v>
      </c>
      <c r="B4289" s="25" t="s">
        <v>119</v>
      </c>
      <c r="C4289" s="25" t="s">
        <v>142</v>
      </c>
      <c r="D4289" s="51">
        <v>79385</v>
      </c>
    </row>
    <row r="4290" spans="1:4" x14ac:dyDescent="0.2">
      <c r="A4290" s="24">
        <v>44927</v>
      </c>
      <c r="B4290" s="25" t="s">
        <v>139</v>
      </c>
      <c r="C4290" s="25" t="s">
        <v>142</v>
      </c>
      <c r="D4290" s="51">
        <v>10</v>
      </c>
    </row>
    <row r="4291" spans="1:4" x14ac:dyDescent="0.2">
      <c r="A4291" s="24">
        <v>44927</v>
      </c>
      <c r="B4291" s="25" t="s">
        <v>120</v>
      </c>
      <c r="C4291" s="25" t="s">
        <v>142</v>
      </c>
      <c r="D4291" s="51">
        <v>7705</v>
      </c>
    </row>
    <row r="4292" spans="1:4" x14ac:dyDescent="0.2">
      <c r="A4292" s="24">
        <v>44927</v>
      </c>
      <c r="B4292" s="25" t="s">
        <v>121</v>
      </c>
      <c r="C4292" s="25" t="s">
        <v>142</v>
      </c>
      <c r="D4292" s="51">
        <v>1034</v>
      </c>
    </row>
    <row r="4293" spans="1:4" x14ac:dyDescent="0.2">
      <c r="A4293" s="24">
        <v>44927</v>
      </c>
      <c r="B4293" s="25" t="s">
        <v>122</v>
      </c>
      <c r="C4293" s="25" t="s">
        <v>142</v>
      </c>
      <c r="D4293" s="51">
        <v>7161</v>
      </c>
    </row>
    <row r="4294" spans="1:4" x14ac:dyDescent="0.2">
      <c r="A4294" s="24">
        <v>44927</v>
      </c>
      <c r="B4294" s="25" t="s">
        <v>123</v>
      </c>
      <c r="C4294" s="25" t="s">
        <v>142</v>
      </c>
      <c r="D4294" s="51">
        <v>117304</v>
      </c>
    </row>
    <row r="4295" spans="1:4" x14ac:dyDescent="0.2">
      <c r="A4295" s="24">
        <v>44927</v>
      </c>
      <c r="B4295" s="25" t="s">
        <v>129</v>
      </c>
      <c r="C4295" s="25" t="s">
        <v>142</v>
      </c>
      <c r="D4295" s="51">
        <v>5058</v>
      </c>
    </row>
    <row r="4296" spans="1:4" x14ac:dyDescent="0.2">
      <c r="A4296" s="24">
        <v>44927</v>
      </c>
      <c r="B4296" s="25" t="s">
        <v>130</v>
      </c>
      <c r="C4296" s="25" t="s">
        <v>142</v>
      </c>
      <c r="D4296" s="51">
        <v>7938</v>
      </c>
    </row>
    <row r="4297" spans="1:4" x14ac:dyDescent="0.2">
      <c r="A4297" s="24">
        <v>44927</v>
      </c>
      <c r="B4297" s="25" t="s">
        <v>117</v>
      </c>
      <c r="C4297" s="25" t="s">
        <v>2</v>
      </c>
      <c r="D4297" s="51">
        <v>9018713</v>
      </c>
    </row>
    <row r="4298" spans="1:4" x14ac:dyDescent="0.2">
      <c r="A4298" s="24">
        <v>44927</v>
      </c>
      <c r="B4298" s="25" t="s">
        <v>137</v>
      </c>
      <c r="C4298" s="25" t="s">
        <v>2</v>
      </c>
      <c r="D4298" s="51">
        <v>6630220</v>
      </c>
    </row>
    <row r="4299" spans="1:4" x14ac:dyDescent="0.2">
      <c r="A4299" s="24">
        <v>44927</v>
      </c>
      <c r="B4299" s="25" t="s">
        <v>118</v>
      </c>
      <c r="C4299" s="25" t="s">
        <v>2</v>
      </c>
      <c r="D4299" s="51">
        <v>967399</v>
      </c>
    </row>
    <row r="4300" spans="1:4" x14ac:dyDescent="0.2">
      <c r="A4300" s="24">
        <v>44927</v>
      </c>
      <c r="B4300" s="25" t="s">
        <v>119</v>
      </c>
      <c r="C4300" s="25" t="s">
        <v>2</v>
      </c>
      <c r="D4300" s="51">
        <v>663041</v>
      </c>
    </row>
    <row r="4301" spans="1:4" x14ac:dyDescent="0.2">
      <c r="A4301" s="24">
        <v>44927</v>
      </c>
      <c r="B4301" s="25" t="s">
        <v>138</v>
      </c>
      <c r="C4301" s="25" t="s">
        <v>2</v>
      </c>
      <c r="D4301" s="51">
        <v>17</v>
      </c>
    </row>
    <row r="4302" spans="1:4" x14ac:dyDescent="0.2">
      <c r="A4302" s="24">
        <v>44927</v>
      </c>
      <c r="B4302" s="25" t="s">
        <v>139</v>
      </c>
      <c r="C4302" s="25" t="s">
        <v>2</v>
      </c>
      <c r="D4302" s="51">
        <v>892</v>
      </c>
    </row>
    <row r="4303" spans="1:4" x14ac:dyDescent="0.2">
      <c r="A4303" s="24">
        <v>44927</v>
      </c>
      <c r="B4303" s="25" t="s">
        <v>120</v>
      </c>
      <c r="C4303" s="25" t="s">
        <v>2</v>
      </c>
      <c r="D4303" s="51">
        <v>193986</v>
      </c>
    </row>
    <row r="4304" spans="1:4" x14ac:dyDescent="0.2">
      <c r="A4304" s="24">
        <v>44927</v>
      </c>
      <c r="B4304" s="25" t="s">
        <v>121</v>
      </c>
      <c r="C4304" s="25" t="s">
        <v>2</v>
      </c>
      <c r="D4304" s="51">
        <v>18695</v>
      </c>
    </row>
    <row r="4305" spans="1:4" x14ac:dyDescent="0.2">
      <c r="A4305" s="24">
        <v>44927</v>
      </c>
      <c r="B4305" s="25" t="s">
        <v>122</v>
      </c>
      <c r="C4305" s="25" t="s">
        <v>2</v>
      </c>
      <c r="D4305" s="51">
        <v>46014</v>
      </c>
    </row>
    <row r="4306" spans="1:4" x14ac:dyDescent="0.2">
      <c r="A4306" s="24">
        <v>44927</v>
      </c>
      <c r="B4306" s="25" t="s">
        <v>123</v>
      </c>
      <c r="C4306" s="25" t="s">
        <v>2</v>
      </c>
      <c r="D4306" s="51">
        <v>2013174</v>
      </c>
    </row>
    <row r="4307" spans="1:4" x14ac:dyDescent="0.2">
      <c r="A4307" s="24">
        <v>44927</v>
      </c>
      <c r="B4307" s="25" t="s">
        <v>129</v>
      </c>
      <c r="C4307" s="25" t="s">
        <v>2</v>
      </c>
      <c r="D4307" s="51">
        <v>103423</v>
      </c>
    </row>
    <row r="4308" spans="1:4" x14ac:dyDescent="0.2">
      <c r="A4308" s="24">
        <v>44927</v>
      </c>
      <c r="B4308" s="25" t="s">
        <v>130</v>
      </c>
      <c r="C4308" s="25" t="s">
        <v>2</v>
      </c>
      <c r="D4308" s="51">
        <v>72852</v>
      </c>
    </row>
    <row r="4309" spans="1:4" x14ac:dyDescent="0.2">
      <c r="A4309" s="24">
        <v>44958</v>
      </c>
      <c r="B4309" s="25" t="s">
        <v>117</v>
      </c>
      <c r="C4309" s="25" t="s">
        <v>4</v>
      </c>
      <c r="D4309" s="51">
        <v>6556480</v>
      </c>
    </row>
    <row r="4310" spans="1:4" x14ac:dyDescent="0.2">
      <c r="A4310" s="24">
        <v>44958</v>
      </c>
      <c r="B4310" s="25" t="s">
        <v>131</v>
      </c>
      <c r="C4310" s="25" t="s">
        <v>4</v>
      </c>
      <c r="D4310" s="51">
        <v>123</v>
      </c>
    </row>
    <row r="4311" spans="1:4" x14ac:dyDescent="0.2">
      <c r="A4311" s="24">
        <v>44958</v>
      </c>
      <c r="B4311" s="25" t="s">
        <v>132</v>
      </c>
      <c r="C4311" s="25" t="s">
        <v>4</v>
      </c>
      <c r="D4311" s="51">
        <v>45</v>
      </c>
    </row>
    <row r="4312" spans="1:4" x14ac:dyDescent="0.2">
      <c r="A4312" s="24">
        <v>44958</v>
      </c>
      <c r="B4312" s="25" t="s">
        <v>133</v>
      </c>
      <c r="C4312" s="25" t="s">
        <v>4</v>
      </c>
      <c r="D4312" s="51">
        <v>18</v>
      </c>
    </row>
    <row r="4313" spans="1:4" x14ac:dyDescent="0.2">
      <c r="A4313" s="24">
        <v>44958</v>
      </c>
      <c r="B4313" s="25" t="s">
        <v>137</v>
      </c>
      <c r="C4313" s="25" t="s">
        <v>4</v>
      </c>
      <c r="D4313" s="51">
        <v>5722372</v>
      </c>
    </row>
    <row r="4314" spans="1:4" x14ac:dyDescent="0.2">
      <c r="A4314" s="24">
        <v>44958</v>
      </c>
      <c r="B4314" s="25" t="s">
        <v>118</v>
      </c>
      <c r="C4314" s="25" t="s">
        <v>4</v>
      </c>
      <c r="D4314" s="51">
        <v>711553</v>
      </c>
    </row>
    <row r="4315" spans="1:4" x14ac:dyDescent="0.2">
      <c r="A4315" s="24">
        <v>44958</v>
      </c>
      <c r="B4315" s="25" t="s">
        <v>134</v>
      </c>
      <c r="C4315" s="25" t="s">
        <v>4</v>
      </c>
      <c r="D4315" s="51">
        <v>3</v>
      </c>
    </row>
    <row r="4316" spans="1:4" x14ac:dyDescent="0.2">
      <c r="A4316" s="24">
        <v>44958</v>
      </c>
      <c r="B4316" s="25" t="s">
        <v>119</v>
      </c>
      <c r="C4316" s="25" t="s">
        <v>4</v>
      </c>
      <c r="D4316" s="51">
        <v>744808</v>
      </c>
    </row>
    <row r="4317" spans="1:4" x14ac:dyDescent="0.2">
      <c r="A4317" s="24">
        <v>44958</v>
      </c>
      <c r="B4317" s="25" t="s">
        <v>138</v>
      </c>
      <c r="C4317" s="25" t="s">
        <v>4</v>
      </c>
      <c r="D4317" s="51">
        <v>17</v>
      </c>
    </row>
    <row r="4318" spans="1:4" x14ac:dyDescent="0.2">
      <c r="A4318" s="24">
        <v>44958</v>
      </c>
      <c r="B4318" s="25" t="s">
        <v>139</v>
      </c>
      <c r="C4318" s="25" t="s">
        <v>4</v>
      </c>
      <c r="D4318" s="51">
        <v>797</v>
      </c>
    </row>
    <row r="4319" spans="1:4" x14ac:dyDescent="0.2">
      <c r="A4319" s="24">
        <v>44958</v>
      </c>
      <c r="B4319" s="25" t="s">
        <v>120</v>
      </c>
      <c r="C4319" s="25" t="s">
        <v>4</v>
      </c>
      <c r="D4319" s="51">
        <v>56198</v>
      </c>
    </row>
    <row r="4320" spans="1:4" x14ac:dyDescent="0.2">
      <c r="A4320" s="24">
        <v>44958</v>
      </c>
      <c r="B4320" s="25" t="s">
        <v>121</v>
      </c>
      <c r="C4320" s="25" t="s">
        <v>4</v>
      </c>
      <c r="D4320" s="51">
        <v>27684</v>
      </c>
    </row>
    <row r="4321" spans="1:4" x14ac:dyDescent="0.2">
      <c r="A4321" s="24">
        <v>44958</v>
      </c>
      <c r="B4321" s="25" t="s">
        <v>140</v>
      </c>
      <c r="C4321" s="25" t="s">
        <v>4</v>
      </c>
      <c r="D4321" s="51">
        <v>20943</v>
      </c>
    </row>
    <row r="4322" spans="1:4" x14ac:dyDescent="0.2">
      <c r="A4322" s="24">
        <v>44958</v>
      </c>
      <c r="B4322" s="25" t="s">
        <v>122</v>
      </c>
      <c r="C4322" s="25" t="s">
        <v>4</v>
      </c>
      <c r="D4322" s="51">
        <v>1649956</v>
      </c>
    </row>
    <row r="4323" spans="1:4" x14ac:dyDescent="0.2">
      <c r="A4323" s="24">
        <v>44958</v>
      </c>
      <c r="B4323" s="25" t="s">
        <v>123</v>
      </c>
      <c r="C4323" s="25" t="s">
        <v>4</v>
      </c>
      <c r="D4323" s="51">
        <v>3008755</v>
      </c>
    </row>
    <row r="4324" spans="1:4" x14ac:dyDescent="0.2">
      <c r="A4324" s="24">
        <v>44958</v>
      </c>
      <c r="B4324" s="25" t="s">
        <v>117</v>
      </c>
      <c r="C4324" s="25" t="s">
        <v>8</v>
      </c>
      <c r="D4324" s="51">
        <v>372101</v>
      </c>
    </row>
    <row r="4325" spans="1:4" x14ac:dyDescent="0.2">
      <c r="A4325" s="24">
        <v>44958</v>
      </c>
      <c r="B4325" s="25" t="s">
        <v>137</v>
      </c>
      <c r="C4325" s="25" t="s">
        <v>8</v>
      </c>
      <c r="D4325" s="51">
        <v>522601</v>
      </c>
    </row>
    <row r="4326" spans="1:4" x14ac:dyDescent="0.2">
      <c r="A4326" s="24">
        <v>44958</v>
      </c>
      <c r="B4326" s="25" t="s">
        <v>118</v>
      </c>
      <c r="C4326" s="25" t="s">
        <v>8</v>
      </c>
      <c r="D4326" s="51">
        <v>44689</v>
      </c>
    </row>
    <row r="4327" spans="1:4" x14ac:dyDescent="0.2">
      <c r="A4327" s="24">
        <v>44958</v>
      </c>
      <c r="B4327" s="25" t="s">
        <v>119</v>
      </c>
      <c r="C4327" s="25" t="s">
        <v>8</v>
      </c>
      <c r="D4327" s="51">
        <v>16731</v>
      </c>
    </row>
    <row r="4328" spans="1:4" x14ac:dyDescent="0.2">
      <c r="A4328" s="24">
        <v>44958</v>
      </c>
      <c r="B4328" s="25" t="s">
        <v>139</v>
      </c>
      <c r="C4328" s="25" t="s">
        <v>8</v>
      </c>
      <c r="D4328" s="51">
        <v>11</v>
      </c>
    </row>
    <row r="4329" spans="1:4" x14ac:dyDescent="0.2">
      <c r="A4329" s="24">
        <v>44958</v>
      </c>
      <c r="B4329" s="25" t="s">
        <v>120</v>
      </c>
      <c r="C4329" s="25" t="s">
        <v>8</v>
      </c>
      <c r="D4329" s="51">
        <v>4377</v>
      </c>
    </row>
    <row r="4330" spans="1:4" x14ac:dyDescent="0.2">
      <c r="A4330" s="24">
        <v>44958</v>
      </c>
      <c r="B4330" s="25" t="s">
        <v>121</v>
      </c>
      <c r="C4330" s="25" t="s">
        <v>8</v>
      </c>
      <c r="D4330" s="51">
        <v>1734</v>
      </c>
    </row>
    <row r="4331" spans="1:4" x14ac:dyDescent="0.2">
      <c r="A4331" s="24">
        <v>44958</v>
      </c>
      <c r="B4331" s="25" t="s">
        <v>122</v>
      </c>
      <c r="C4331" s="25" t="s">
        <v>8</v>
      </c>
      <c r="D4331" s="51">
        <v>9663</v>
      </c>
    </row>
    <row r="4332" spans="1:4" x14ac:dyDescent="0.2">
      <c r="A4332" s="24">
        <v>44958</v>
      </c>
      <c r="B4332" s="25" t="s">
        <v>123</v>
      </c>
      <c r="C4332" s="25" t="s">
        <v>8</v>
      </c>
      <c r="D4332" s="51">
        <v>177824</v>
      </c>
    </row>
    <row r="4333" spans="1:4" x14ac:dyDescent="0.2">
      <c r="A4333" s="24">
        <v>44958</v>
      </c>
      <c r="B4333" s="25" t="s">
        <v>124</v>
      </c>
      <c r="C4333" s="25" t="s">
        <v>8</v>
      </c>
      <c r="D4333" s="51">
        <v>29743</v>
      </c>
    </row>
    <row r="4334" spans="1:4" x14ac:dyDescent="0.2">
      <c r="A4334" s="24">
        <v>44958</v>
      </c>
      <c r="B4334" s="25" t="s">
        <v>125</v>
      </c>
      <c r="C4334" s="25" t="s">
        <v>8</v>
      </c>
      <c r="D4334" s="51">
        <v>6722</v>
      </c>
    </row>
    <row r="4335" spans="1:4" x14ac:dyDescent="0.2">
      <c r="A4335" s="24">
        <v>44958</v>
      </c>
      <c r="B4335" s="25" t="s">
        <v>117</v>
      </c>
      <c r="C4335" s="25" t="s">
        <v>26</v>
      </c>
      <c r="D4335" s="51">
        <v>1156528</v>
      </c>
    </row>
    <row r="4336" spans="1:4" x14ac:dyDescent="0.2">
      <c r="A4336" s="24">
        <v>44958</v>
      </c>
      <c r="B4336" s="25" t="s">
        <v>137</v>
      </c>
      <c r="C4336" s="25" t="s">
        <v>26</v>
      </c>
      <c r="D4336" s="51">
        <v>1117377</v>
      </c>
    </row>
    <row r="4337" spans="1:4" x14ac:dyDescent="0.2">
      <c r="A4337" s="24">
        <v>44958</v>
      </c>
      <c r="B4337" s="25" t="s">
        <v>118</v>
      </c>
      <c r="C4337" s="25" t="s">
        <v>26</v>
      </c>
      <c r="D4337" s="51">
        <v>86549</v>
      </c>
    </row>
    <row r="4338" spans="1:4" x14ac:dyDescent="0.2">
      <c r="A4338" s="24">
        <v>44958</v>
      </c>
      <c r="B4338" s="25" t="s">
        <v>119</v>
      </c>
      <c r="C4338" s="25" t="s">
        <v>26</v>
      </c>
      <c r="D4338" s="51">
        <v>227531</v>
      </c>
    </row>
    <row r="4339" spans="1:4" x14ac:dyDescent="0.2">
      <c r="A4339" s="24">
        <v>44958</v>
      </c>
      <c r="B4339" s="25" t="s">
        <v>139</v>
      </c>
      <c r="C4339" s="25" t="s">
        <v>26</v>
      </c>
      <c r="D4339" s="51">
        <v>49</v>
      </c>
    </row>
    <row r="4340" spans="1:4" x14ac:dyDescent="0.2">
      <c r="A4340" s="24">
        <v>44958</v>
      </c>
      <c r="B4340" s="25" t="s">
        <v>120</v>
      </c>
      <c r="C4340" s="25" t="s">
        <v>26</v>
      </c>
      <c r="D4340" s="51">
        <v>7841</v>
      </c>
    </row>
    <row r="4341" spans="1:4" x14ac:dyDescent="0.2">
      <c r="A4341" s="24">
        <v>44958</v>
      </c>
      <c r="B4341" s="25" t="s">
        <v>121</v>
      </c>
      <c r="C4341" s="25" t="s">
        <v>26</v>
      </c>
      <c r="D4341" s="51">
        <v>2880</v>
      </c>
    </row>
    <row r="4342" spans="1:4" x14ac:dyDescent="0.2">
      <c r="A4342" s="24">
        <v>44958</v>
      </c>
      <c r="B4342" s="25" t="s">
        <v>122</v>
      </c>
      <c r="C4342" s="25" t="s">
        <v>26</v>
      </c>
      <c r="D4342" s="51">
        <v>39837</v>
      </c>
    </row>
    <row r="4343" spans="1:4" x14ac:dyDescent="0.2">
      <c r="A4343" s="24">
        <v>44958</v>
      </c>
      <c r="B4343" s="25" t="s">
        <v>123</v>
      </c>
      <c r="C4343" s="25" t="s">
        <v>26</v>
      </c>
      <c r="D4343" s="51">
        <v>355797</v>
      </c>
    </row>
    <row r="4344" spans="1:4" x14ac:dyDescent="0.2">
      <c r="A4344" s="24">
        <v>44958</v>
      </c>
      <c r="B4344" s="25" t="s">
        <v>127</v>
      </c>
      <c r="C4344" s="25" t="s">
        <v>26</v>
      </c>
      <c r="D4344" s="51">
        <v>3896</v>
      </c>
    </row>
    <row r="4345" spans="1:4" x14ac:dyDescent="0.2">
      <c r="A4345" s="24">
        <v>44958</v>
      </c>
      <c r="B4345" s="25" t="s">
        <v>128</v>
      </c>
      <c r="C4345" s="25" t="s">
        <v>26</v>
      </c>
      <c r="D4345" s="51">
        <v>919</v>
      </c>
    </row>
    <row r="4346" spans="1:4" x14ac:dyDescent="0.2">
      <c r="A4346" s="24">
        <v>44958</v>
      </c>
      <c r="B4346" s="25" t="s">
        <v>117</v>
      </c>
      <c r="C4346" s="25" t="s">
        <v>142</v>
      </c>
      <c r="D4346" s="51">
        <v>719458</v>
      </c>
    </row>
    <row r="4347" spans="1:4" x14ac:dyDescent="0.2">
      <c r="A4347" s="24">
        <v>44958</v>
      </c>
      <c r="B4347" s="25" t="s">
        <v>137</v>
      </c>
      <c r="C4347" s="25" t="s">
        <v>142</v>
      </c>
      <c r="D4347" s="51">
        <v>480110</v>
      </c>
    </row>
    <row r="4348" spans="1:4" x14ac:dyDescent="0.2">
      <c r="A4348" s="24">
        <v>44958</v>
      </c>
      <c r="B4348" s="25" t="s">
        <v>118</v>
      </c>
      <c r="C4348" s="25" t="s">
        <v>142</v>
      </c>
      <c r="D4348" s="51">
        <v>92516</v>
      </c>
    </row>
    <row r="4349" spans="1:4" x14ac:dyDescent="0.2">
      <c r="A4349" s="24">
        <v>44958</v>
      </c>
      <c r="B4349" s="25" t="s">
        <v>119</v>
      </c>
      <c r="C4349" s="25" t="s">
        <v>142</v>
      </c>
      <c r="D4349" s="51">
        <v>126243</v>
      </c>
    </row>
    <row r="4350" spans="1:4" x14ac:dyDescent="0.2">
      <c r="A4350" s="24">
        <v>44958</v>
      </c>
      <c r="B4350" s="25" t="s">
        <v>139</v>
      </c>
      <c r="C4350" s="25" t="s">
        <v>142</v>
      </c>
      <c r="D4350" s="51">
        <v>15</v>
      </c>
    </row>
    <row r="4351" spans="1:4" x14ac:dyDescent="0.2">
      <c r="A4351" s="24">
        <v>44958</v>
      </c>
      <c r="B4351" s="25" t="s">
        <v>120</v>
      </c>
      <c r="C4351" s="25" t="s">
        <v>142</v>
      </c>
      <c r="D4351" s="51">
        <v>8932</v>
      </c>
    </row>
    <row r="4352" spans="1:4" x14ac:dyDescent="0.2">
      <c r="A4352" s="24">
        <v>44958</v>
      </c>
      <c r="B4352" s="25" t="s">
        <v>121</v>
      </c>
      <c r="C4352" s="25" t="s">
        <v>142</v>
      </c>
      <c r="D4352" s="51">
        <v>1186</v>
      </c>
    </row>
    <row r="4353" spans="1:4" x14ac:dyDescent="0.2">
      <c r="A4353" s="24">
        <v>44958</v>
      </c>
      <c r="B4353" s="25" t="s">
        <v>122</v>
      </c>
      <c r="C4353" s="25" t="s">
        <v>142</v>
      </c>
      <c r="D4353" s="51">
        <v>148817</v>
      </c>
    </row>
    <row r="4354" spans="1:4" x14ac:dyDescent="0.2">
      <c r="A4354" s="24">
        <v>44958</v>
      </c>
      <c r="B4354" s="25" t="s">
        <v>123</v>
      </c>
      <c r="C4354" s="25" t="s">
        <v>142</v>
      </c>
      <c r="D4354" s="51">
        <v>119054</v>
      </c>
    </row>
    <row r="4355" spans="1:4" x14ac:dyDescent="0.2">
      <c r="A4355" s="24">
        <v>44958</v>
      </c>
      <c r="B4355" s="25" t="s">
        <v>129</v>
      </c>
      <c r="C4355" s="25" t="s">
        <v>142</v>
      </c>
      <c r="D4355" s="51">
        <v>4560</v>
      </c>
    </row>
    <row r="4356" spans="1:4" x14ac:dyDescent="0.2">
      <c r="A4356" s="24">
        <v>44958</v>
      </c>
      <c r="B4356" s="25" t="s">
        <v>130</v>
      </c>
      <c r="C4356" s="25" t="s">
        <v>142</v>
      </c>
      <c r="D4356" s="51">
        <v>4013</v>
      </c>
    </row>
    <row r="4357" spans="1:4" x14ac:dyDescent="0.2">
      <c r="A4357" s="24">
        <v>44958</v>
      </c>
      <c r="B4357" s="25" t="s">
        <v>117</v>
      </c>
      <c r="C4357" s="25" t="s">
        <v>2</v>
      </c>
      <c r="D4357" s="51">
        <v>9966221</v>
      </c>
    </row>
    <row r="4358" spans="1:4" x14ac:dyDescent="0.2">
      <c r="A4358" s="24">
        <v>44958</v>
      </c>
      <c r="B4358" s="25" t="s">
        <v>137</v>
      </c>
      <c r="C4358" s="25" t="s">
        <v>2</v>
      </c>
      <c r="D4358" s="51">
        <v>7363351</v>
      </c>
    </row>
    <row r="4359" spans="1:4" x14ac:dyDescent="0.2">
      <c r="A4359" s="24">
        <v>44958</v>
      </c>
      <c r="B4359" s="25" t="s">
        <v>118</v>
      </c>
      <c r="C4359" s="25" t="s">
        <v>2</v>
      </c>
      <c r="D4359" s="51">
        <v>588340</v>
      </c>
    </row>
    <row r="4360" spans="1:4" x14ac:dyDescent="0.2">
      <c r="A4360" s="24">
        <v>44958</v>
      </c>
      <c r="B4360" s="25" t="s">
        <v>119</v>
      </c>
      <c r="C4360" s="25" t="s">
        <v>2</v>
      </c>
      <c r="D4360" s="51">
        <v>1028752</v>
      </c>
    </row>
    <row r="4361" spans="1:4" x14ac:dyDescent="0.2">
      <c r="A4361" s="24">
        <v>44958</v>
      </c>
      <c r="B4361" s="25" t="s">
        <v>138</v>
      </c>
      <c r="C4361" s="25" t="s">
        <v>2</v>
      </c>
      <c r="D4361" s="51">
        <v>43</v>
      </c>
    </row>
    <row r="4362" spans="1:4" x14ac:dyDescent="0.2">
      <c r="A4362" s="24">
        <v>44958</v>
      </c>
      <c r="B4362" s="25" t="s">
        <v>139</v>
      </c>
      <c r="C4362" s="25" t="s">
        <v>2</v>
      </c>
      <c r="D4362" s="51">
        <v>744</v>
      </c>
    </row>
    <row r="4363" spans="1:4" x14ac:dyDescent="0.2">
      <c r="A4363" s="24">
        <v>44958</v>
      </c>
      <c r="B4363" s="25" t="s">
        <v>120</v>
      </c>
      <c r="C4363" s="25" t="s">
        <v>2</v>
      </c>
      <c r="D4363" s="51">
        <v>203824</v>
      </c>
    </row>
    <row r="4364" spans="1:4" x14ac:dyDescent="0.2">
      <c r="A4364" s="24">
        <v>44958</v>
      </c>
      <c r="B4364" s="25" t="s">
        <v>121</v>
      </c>
      <c r="C4364" s="25" t="s">
        <v>2</v>
      </c>
      <c r="D4364" s="51">
        <v>21275</v>
      </c>
    </row>
    <row r="4365" spans="1:4" x14ac:dyDescent="0.2">
      <c r="A4365" s="24">
        <v>44958</v>
      </c>
      <c r="B4365" s="25" t="s">
        <v>122</v>
      </c>
      <c r="C4365" s="25" t="s">
        <v>2</v>
      </c>
      <c r="D4365" s="51">
        <v>1020671</v>
      </c>
    </row>
    <row r="4366" spans="1:4" x14ac:dyDescent="0.2">
      <c r="A4366" s="24">
        <v>44958</v>
      </c>
      <c r="B4366" s="25" t="s">
        <v>123</v>
      </c>
      <c r="C4366" s="25" t="s">
        <v>2</v>
      </c>
      <c r="D4366" s="51">
        <v>2096692</v>
      </c>
    </row>
    <row r="4367" spans="1:4" x14ac:dyDescent="0.2">
      <c r="A4367" s="24">
        <v>44958</v>
      </c>
      <c r="B4367" s="25" t="s">
        <v>129</v>
      </c>
      <c r="C4367" s="25" t="s">
        <v>2</v>
      </c>
      <c r="D4367" s="51">
        <v>99920</v>
      </c>
    </row>
    <row r="4368" spans="1:4" x14ac:dyDescent="0.2">
      <c r="A4368" s="24">
        <v>44958</v>
      </c>
      <c r="B4368" s="25" t="s">
        <v>130</v>
      </c>
      <c r="C4368" s="25" t="s">
        <v>2</v>
      </c>
      <c r="D4368" s="51">
        <v>34769</v>
      </c>
    </row>
    <row r="4369" spans="1:4" x14ac:dyDescent="0.2">
      <c r="A4369" s="24">
        <v>44986</v>
      </c>
      <c r="B4369" s="25" t="s">
        <v>117</v>
      </c>
      <c r="C4369" s="25" t="s">
        <v>4</v>
      </c>
      <c r="D4369" s="51">
        <v>7519038</v>
      </c>
    </row>
    <row r="4370" spans="1:4" x14ac:dyDescent="0.2">
      <c r="A4370" s="24">
        <v>44986</v>
      </c>
      <c r="B4370" s="25" t="s">
        <v>131</v>
      </c>
      <c r="C4370" s="25" t="s">
        <v>4</v>
      </c>
      <c r="D4370" s="51">
        <v>166</v>
      </c>
    </row>
    <row r="4371" spans="1:4" x14ac:dyDescent="0.2">
      <c r="A4371" s="24">
        <v>44986</v>
      </c>
      <c r="B4371" s="25" t="s">
        <v>132</v>
      </c>
      <c r="C4371" s="25" t="s">
        <v>4</v>
      </c>
      <c r="D4371" s="51">
        <v>43</v>
      </c>
    </row>
    <row r="4372" spans="1:4" x14ac:dyDescent="0.2">
      <c r="A4372" s="24">
        <v>44986</v>
      </c>
      <c r="B4372" s="25" t="s">
        <v>133</v>
      </c>
      <c r="C4372" s="25" t="s">
        <v>4</v>
      </c>
      <c r="D4372" s="51">
        <v>35</v>
      </c>
    </row>
    <row r="4373" spans="1:4" x14ac:dyDescent="0.2">
      <c r="A4373" s="24">
        <v>44986</v>
      </c>
      <c r="B4373" s="25" t="s">
        <v>137</v>
      </c>
      <c r="C4373" s="25" t="s">
        <v>4</v>
      </c>
      <c r="D4373" s="51">
        <v>6535087</v>
      </c>
    </row>
    <row r="4374" spans="1:4" x14ac:dyDescent="0.2">
      <c r="A4374" s="24">
        <v>44986</v>
      </c>
      <c r="B4374" s="25" t="s">
        <v>118</v>
      </c>
      <c r="C4374" s="25" t="s">
        <v>4</v>
      </c>
      <c r="D4374" s="51">
        <v>700890</v>
      </c>
    </row>
    <row r="4375" spans="1:4" x14ac:dyDescent="0.2">
      <c r="A4375" s="24">
        <v>44986</v>
      </c>
      <c r="B4375" s="25" t="s">
        <v>134</v>
      </c>
      <c r="C4375" s="25" t="s">
        <v>4</v>
      </c>
      <c r="D4375" s="51">
        <v>2</v>
      </c>
    </row>
    <row r="4376" spans="1:4" x14ac:dyDescent="0.2">
      <c r="A4376" s="24">
        <v>44986</v>
      </c>
      <c r="B4376" s="25" t="s">
        <v>135</v>
      </c>
      <c r="C4376" s="25" t="s">
        <v>4</v>
      </c>
      <c r="D4376" s="51">
        <v>1</v>
      </c>
    </row>
    <row r="4377" spans="1:4" x14ac:dyDescent="0.2">
      <c r="A4377" s="24">
        <v>44986</v>
      </c>
      <c r="B4377" s="25" t="s">
        <v>136</v>
      </c>
      <c r="C4377" s="25" t="s">
        <v>4</v>
      </c>
      <c r="D4377" s="51">
        <v>4</v>
      </c>
    </row>
    <row r="4378" spans="1:4" x14ac:dyDescent="0.2">
      <c r="A4378" s="24">
        <v>44986</v>
      </c>
      <c r="B4378" s="25" t="s">
        <v>119</v>
      </c>
      <c r="C4378" s="25" t="s">
        <v>4</v>
      </c>
      <c r="D4378" s="51">
        <v>1124148</v>
      </c>
    </row>
    <row r="4379" spans="1:4" x14ac:dyDescent="0.2">
      <c r="A4379" s="24">
        <v>44986</v>
      </c>
      <c r="B4379" s="25" t="s">
        <v>138</v>
      </c>
      <c r="C4379" s="25" t="s">
        <v>4</v>
      </c>
      <c r="D4379" s="51">
        <v>5</v>
      </c>
    </row>
    <row r="4380" spans="1:4" x14ac:dyDescent="0.2">
      <c r="A4380" s="24">
        <v>44986</v>
      </c>
      <c r="B4380" s="25" t="s">
        <v>139</v>
      </c>
      <c r="C4380" s="25" t="s">
        <v>4</v>
      </c>
      <c r="D4380" s="51">
        <v>828</v>
      </c>
    </row>
    <row r="4381" spans="1:4" x14ac:dyDescent="0.2">
      <c r="A4381" s="24">
        <v>44986</v>
      </c>
      <c r="B4381" s="25" t="s">
        <v>120</v>
      </c>
      <c r="C4381" s="25" t="s">
        <v>4</v>
      </c>
      <c r="D4381" s="51">
        <v>63019</v>
      </c>
    </row>
    <row r="4382" spans="1:4" x14ac:dyDescent="0.2">
      <c r="A4382" s="24">
        <v>44986</v>
      </c>
      <c r="B4382" s="25" t="s">
        <v>121</v>
      </c>
      <c r="C4382" s="25" t="s">
        <v>4</v>
      </c>
      <c r="D4382" s="51">
        <v>31190</v>
      </c>
    </row>
    <row r="4383" spans="1:4" x14ac:dyDescent="0.2">
      <c r="A4383" s="24">
        <v>44986</v>
      </c>
      <c r="B4383" s="25" t="s">
        <v>140</v>
      </c>
      <c r="C4383" s="25" t="s">
        <v>4</v>
      </c>
      <c r="D4383" s="51">
        <v>23727</v>
      </c>
    </row>
    <row r="4384" spans="1:4" x14ac:dyDescent="0.2">
      <c r="A4384" s="24">
        <v>44986</v>
      </c>
      <c r="B4384" s="25" t="s">
        <v>122</v>
      </c>
      <c r="C4384" s="25" t="s">
        <v>4</v>
      </c>
      <c r="D4384" s="51">
        <v>1838842</v>
      </c>
    </row>
    <row r="4385" spans="1:4" x14ac:dyDescent="0.2">
      <c r="A4385" s="24">
        <v>44986</v>
      </c>
      <c r="B4385" s="25" t="s">
        <v>123</v>
      </c>
      <c r="C4385" s="25" t="s">
        <v>4</v>
      </c>
      <c r="D4385" s="51">
        <v>3379990</v>
      </c>
    </row>
    <row r="4386" spans="1:4" x14ac:dyDescent="0.2">
      <c r="A4386" s="24">
        <v>44986</v>
      </c>
      <c r="B4386" s="25" t="s">
        <v>117</v>
      </c>
      <c r="C4386" s="25" t="s">
        <v>8</v>
      </c>
      <c r="D4386" s="51">
        <v>392791</v>
      </c>
    </row>
    <row r="4387" spans="1:4" x14ac:dyDescent="0.2">
      <c r="A4387" s="24">
        <v>44986</v>
      </c>
      <c r="B4387" s="25" t="s">
        <v>137</v>
      </c>
      <c r="C4387" s="25" t="s">
        <v>8</v>
      </c>
      <c r="D4387" s="51">
        <v>560673</v>
      </c>
    </row>
    <row r="4388" spans="1:4" x14ac:dyDescent="0.2">
      <c r="A4388" s="24">
        <v>44986</v>
      </c>
      <c r="B4388" s="25" t="s">
        <v>118</v>
      </c>
      <c r="C4388" s="25" t="s">
        <v>8</v>
      </c>
      <c r="D4388" s="51">
        <v>47928</v>
      </c>
    </row>
    <row r="4389" spans="1:4" x14ac:dyDescent="0.2">
      <c r="A4389" s="24">
        <v>44986</v>
      </c>
      <c r="B4389" s="25" t="s">
        <v>119</v>
      </c>
      <c r="C4389" s="25" t="s">
        <v>8</v>
      </c>
      <c r="D4389" s="51">
        <v>20678</v>
      </c>
    </row>
    <row r="4390" spans="1:4" x14ac:dyDescent="0.2">
      <c r="A4390" s="24">
        <v>44986</v>
      </c>
      <c r="B4390" s="25" t="s">
        <v>139</v>
      </c>
      <c r="C4390" s="25" t="s">
        <v>8</v>
      </c>
      <c r="D4390" s="51">
        <v>14</v>
      </c>
    </row>
    <row r="4391" spans="1:4" x14ac:dyDescent="0.2">
      <c r="A4391" s="24">
        <v>44986</v>
      </c>
      <c r="B4391" s="25" t="s">
        <v>120</v>
      </c>
      <c r="C4391" s="25" t="s">
        <v>8</v>
      </c>
      <c r="D4391" s="51">
        <v>4107</v>
      </c>
    </row>
    <row r="4392" spans="1:4" x14ac:dyDescent="0.2">
      <c r="A4392" s="24">
        <v>44986</v>
      </c>
      <c r="B4392" s="25" t="s">
        <v>121</v>
      </c>
      <c r="C4392" s="25" t="s">
        <v>8</v>
      </c>
      <c r="D4392" s="51">
        <v>1835</v>
      </c>
    </row>
    <row r="4393" spans="1:4" x14ac:dyDescent="0.2">
      <c r="A4393" s="24">
        <v>44986</v>
      </c>
      <c r="B4393" s="25" t="s">
        <v>122</v>
      </c>
      <c r="C4393" s="25" t="s">
        <v>8</v>
      </c>
      <c r="D4393" s="51">
        <v>11554</v>
      </c>
    </row>
    <row r="4394" spans="1:4" x14ac:dyDescent="0.2">
      <c r="A4394" s="24">
        <v>44986</v>
      </c>
      <c r="B4394" s="25" t="s">
        <v>123</v>
      </c>
      <c r="C4394" s="25" t="s">
        <v>8</v>
      </c>
      <c r="D4394" s="51">
        <v>179375</v>
      </c>
    </row>
    <row r="4395" spans="1:4" x14ac:dyDescent="0.2">
      <c r="A4395" s="24">
        <v>44986</v>
      </c>
      <c r="B4395" s="25" t="s">
        <v>124</v>
      </c>
      <c r="C4395" s="25" t="s">
        <v>8</v>
      </c>
      <c r="D4395" s="51">
        <v>30795</v>
      </c>
    </row>
    <row r="4396" spans="1:4" x14ac:dyDescent="0.2">
      <c r="A4396" s="24">
        <v>44986</v>
      </c>
      <c r="B4396" s="25" t="s">
        <v>125</v>
      </c>
      <c r="C4396" s="25" t="s">
        <v>8</v>
      </c>
      <c r="D4396" s="51">
        <v>9368</v>
      </c>
    </row>
    <row r="4397" spans="1:4" x14ac:dyDescent="0.2">
      <c r="A4397" s="24">
        <v>44986</v>
      </c>
      <c r="B4397" s="25" t="s">
        <v>117</v>
      </c>
      <c r="C4397" s="25" t="s">
        <v>26</v>
      </c>
      <c r="D4397" s="51">
        <v>1263515</v>
      </c>
    </row>
    <row r="4398" spans="1:4" x14ac:dyDescent="0.2">
      <c r="A4398" s="24">
        <v>44986</v>
      </c>
      <c r="B4398" s="25" t="s">
        <v>137</v>
      </c>
      <c r="C4398" s="25" t="s">
        <v>26</v>
      </c>
      <c r="D4398" s="51">
        <v>1240900</v>
      </c>
    </row>
    <row r="4399" spans="1:4" x14ac:dyDescent="0.2">
      <c r="A4399" s="24">
        <v>44986</v>
      </c>
      <c r="B4399" s="25" t="s">
        <v>118</v>
      </c>
      <c r="C4399" s="25" t="s">
        <v>26</v>
      </c>
      <c r="D4399" s="51">
        <v>79402</v>
      </c>
    </row>
    <row r="4400" spans="1:4" x14ac:dyDescent="0.2">
      <c r="A4400" s="24">
        <v>44986</v>
      </c>
      <c r="B4400" s="25" t="s">
        <v>119</v>
      </c>
      <c r="C4400" s="25" t="s">
        <v>26</v>
      </c>
      <c r="D4400" s="51">
        <v>328904</v>
      </c>
    </row>
    <row r="4401" spans="1:4" x14ac:dyDescent="0.2">
      <c r="A4401" s="24">
        <v>44986</v>
      </c>
      <c r="B4401" s="25" t="s">
        <v>139</v>
      </c>
      <c r="C4401" s="25" t="s">
        <v>26</v>
      </c>
      <c r="D4401" s="51">
        <v>32</v>
      </c>
    </row>
    <row r="4402" spans="1:4" x14ac:dyDescent="0.2">
      <c r="A4402" s="24">
        <v>44986</v>
      </c>
      <c r="B4402" s="25" t="s">
        <v>120</v>
      </c>
      <c r="C4402" s="25" t="s">
        <v>26</v>
      </c>
      <c r="D4402" s="51">
        <v>8668</v>
      </c>
    </row>
    <row r="4403" spans="1:4" x14ac:dyDescent="0.2">
      <c r="A4403" s="24">
        <v>44986</v>
      </c>
      <c r="B4403" s="25" t="s">
        <v>121</v>
      </c>
      <c r="C4403" s="25" t="s">
        <v>26</v>
      </c>
      <c r="D4403" s="51">
        <v>3118</v>
      </c>
    </row>
    <row r="4404" spans="1:4" x14ac:dyDescent="0.2">
      <c r="A4404" s="24">
        <v>44986</v>
      </c>
      <c r="B4404" s="25" t="s">
        <v>122</v>
      </c>
      <c r="C4404" s="25" t="s">
        <v>26</v>
      </c>
      <c r="D4404" s="51">
        <v>46106</v>
      </c>
    </row>
    <row r="4405" spans="1:4" x14ac:dyDescent="0.2">
      <c r="A4405" s="24">
        <v>44986</v>
      </c>
      <c r="B4405" s="25" t="s">
        <v>123</v>
      </c>
      <c r="C4405" s="25" t="s">
        <v>26</v>
      </c>
      <c r="D4405" s="51">
        <v>372739</v>
      </c>
    </row>
    <row r="4406" spans="1:4" x14ac:dyDescent="0.2">
      <c r="A4406" s="24">
        <v>44986</v>
      </c>
      <c r="B4406" s="25" t="s">
        <v>127</v>
      </c>
      <c r="C4406" s="25" t="s">
        <v>26</v>
      </c>
      <c r="D4406" s="51">
        <v>3803</v>
      </c>
    </row>
    <row r="4407" spans="1:4" x14ac:dyDescent="0.2">
      <c r="A4407" s="24">
        <v>44986</v>
      </c>
      <c r="B4407" s="25" t="s">
        <v>128</v>
      </c>
      <c r="C4407" s="25" t="s">
        <v>26</v>
      </c>
      <c r="D4407" s="51">
        <v>1069</v>
      </c>
    </row>
    <row r="4408" spans="1:4" x14ac:dyDescent="0.2">
      <c r="A4408" s="24">
        <v>44986</v>
      </c>
      <c r="B4408" s="25" t="s">
        <v>117</v>
      </c>
      <c r="C4408" s="25" t="s">
        <v>142</v>
      </c>
      <c r="D4408" s="51">
        <v>859491</v>
      </c>
    </row>
    <row r="4409" spans="1:4" x14ac:dyDescent="0.2">
      <c r="A4409" s="24">
        <v>44986</v>
      </c>
      <c r="B4409" s="25" t="s">
        <v>137</v>
      </c>
      <c r="C4409" s="25" t="s">
        <v>142</v>
      </c>
      <c r="D4409" s="51">
        <v>593827</v>
      </c>
    </row>
    <row r="4410" spans="1:4" x14ac:dyDescent="0.2">
      <c r="A4410" s="24">
        <v>44986</v>
      </c>
      <c r="B4410" s="25" t="s">
        <v>118</v>
      </c>
      <c r="C4410" s="25" t="s">
        <v>142</v>
      </c>
      <c r="D4410" s="51">
        <v>94967</v>
      </c>
    </row>
    <row r="4411" spans="1:4" x14ac:dyDescent="0.2">
      <c r="A4411" s="24">
        <v>44986</v>
      </c>
      <c r="B4411" s="25" t="s">
        <v>119</v>
      </c>
      <c r="C4411" s="25" t="s">
        <v>142</v>
      </c>
      <c r="D4411" s="51">
        <v>236763</v>
      </c>
    </row>
    <row r="4412" spans="1:4" x14ac:dyDescent="0.2">
      <c r="A4412" s="24">
        <v>44986</v>
      </c>
      <c r="B4412" s="25" t="s">
        <v>139</v>
      </c>
      <c r="C4412" s="25" t="s">
        <v>142</v>
      </c>
      <c r="D4412" s="51">
        <v>16</v>
      </c>
    </row>
    <row r="4413" spans="1:4" x14ac:dyDescent="0.2">
      <c r="A4413" s="24">
        <v>44986</v>
      </c>
      <c r="B4413" s="25" t="s">
        <v>120</v>
      </c>
      <c r="C4413" s="25" t="s">
        <v>142</v>
      </c>
      <c r="D4413" s="51">
        <v>10210</v>
      </c>
    </row>
    <row r="4414" spans="1:4" x14ac:dyDescent="0.2">
      <c r="A4414" s="24">
        <v>44986</v>
      </c>
      <c r="B4414" s="25" t="s">
        <v>121</v>
      </c>
      <c r="C4414" s="25" t="s">
        <v>142</v>
      </c>
      <c r="D4414" s="51">
        <v>1577</v>
      </c>
    </row>
    <row r="4415" spans="1:4" x14ac:dyDescent="0.2">
      <c r="A4415" s="24">
        <v>44986</v>
      </c>
      <c r="B4415" s="25" t="s">
        <v>122</v>
      </c>
      <c r="C4415" s="25" t="s">
        <v>142</v>
      </c>
      <c r="D4415" s="51">
        <v>173163</v>
      </c>
    </row>
    <row r="4416" spans="1:4" x14ac:dyDescent="0.2">
      <c r="A4416" s="24">
        <v>44986</v>
      </c>
      <c r="B4416" s="25" t="s">
        <v>123</v>
      </c>
      <c r="C4416" s="25" t="s">
        <v>142</v>
      </c>
      <c r="D4416" s="51">
        <v>135604</v>
      </c>
    </row>
    <row r="4417" spans="1:4" x14ac:dyDescent="0.2">
      <c r="A4417" s="24">
        <v>44986</v>
      </c>
      <c r="B4417" s="25" t="s">
        <v>129</v>
      </c>
      <c r="C4417" s="25" t="s">
        <v>142</v>
      </c>
      <c r="D4417" s="51">
        <v>4970</v>
      </c>
    </row>
    <row r="4418" spans="1:4" x14ac:dyDescent="0.2">
      <c r="A4418" s="24">
        <v>44986</v>
      </c>
      <c r="B4418" s="25" t="s">
        <v>130</v>
      </c>
      <c r="C4418" s="25" t="s">
        <v>142</v>
      </c>
      <c r="D4418" s="51">
        <v>4484</v>
      </c>
    </row>
    <row r="4419" spans="1:4" x14ac:dyDescent="0.2">
      <c r="A4419" s="24">
        <v>44986</v>
      </c>
      <c r="B4419" s="25" t="s">
        <v>117</v>
      </c>
      <c r="C4419" s="25" t="s">
        <v>2</v>
      </c>
      <c r="D4419" s="51">
        <v>11361473</v>
      </c>
    </row>
    <row r="4420" spans="1:4" x14ac:dyDescent="0.2">
      <c r="A4420" s="24">
        <v>44986</v>
      </c>
      <c r="B4420" s="25" t="s">
        <v>137</v>
      </c>
      <c r="C4420" s="25" t="s">
        <v>2</v>
      </c>
      <c r="D4420" s="51">
        <v>8328869</v>
      </c>
    </row>
    <row r="4421" spans="1:4" x14ac:dyDescent="0.2">
      <c r="A4421" s="24">
        <v>44986</v>
      </c>
      <c r="B4421" s="25" t="s">
        <v>118</v>
      </c>
      <c r="C4421" s="25" t="s">
        <v>2</v>
      </c>
      <c r="D4421" s="51">
        <v>581902</v>
      </c>
    </row>
    <row r="4422" spans="1:4" x14ac:dyDescent="0.2">
      <c r="A4422" s="24">
        <v>44986</v>
      </c>
      <c r="B4422" s="25" t="s">
        <v>119</v>
      </c>
      <c r="C4422" s="25" t="s">
        <v>2</v>
      </c>
      <c r="D4422" s="51">
        <v>1610377</v>
      </c>
    </row>
    <row r="4423" spans="1:4" x14ac:dyDescent="0.2">
      <c r="A4423" s="24">
        <v>44986</v>
      </c>
      <c r="B4423" s="25" t="s">
        <v>138</v>
      </c>
      <c r="C4423" s="25" t="s">
        <v>2</v>
      </c>
      <c r="D4423" s="51">
        <v>35</v>
      </c>
    </row>
    <row r="4424" spans="1:4" x14ac:dyDescent="0.2">
      <c r="A4424" s="24">
        <v>44986</v>
      </c>
      <c r="B4424" s="25" t="s">
        <v>139</v>
      </c>
      <c r="C4424" s="25" t="s">
        <v>2</v>
      </c>
      <c r="D4424" s="51">
        <v>753</v>
      </c>
    </row>
    <row r="4425" spans="1:4" x14ac:dyDescent="0.2">
      <c r="A4425" s="24">
        <v>44986</v>
      </c>
      <c r="B4425" s="25" t="s">
        <v>120</v>
      </c>
      <c r="C4425" s="25" t="s">
        <v>2</v>
      </c>
      <c r="D4425" s="51">
        <v>226388</v>
      </c>
    </row>
    <row r="4426" spans="1:4" x14ac:dyDescent="0.2">
      <c r="A4426" s="24">
        <v>44986</v>
      </c>
      <c r="B4426" s="25" t="s">
        <v>121</v>
      </c>
      <c r="C4426" s="25" t="s">
        <v>2</v>
      </c>
      <c r="D4426" s="51">
        <v>23917</v>
      </c>
    </row>
    <row r="4427" spans="1:4" x14ac:dyDescent="0.2">
      <c r="A4427" s="24">
        <v>44986</v>
      </c>
      <c r="B4427" s="25" t="s">
        <v>122</v>
      </c>
      <c r="C4427" s="25" t="s">
        <v>2</v>
      </c>
      <c r="D4427" s="51">
        <v>1167751</v>
      </c>
    </row>
    <row r="4428" spans="1:4" x14ac:dyDescent="0.2">
      <c r="A4428" s="24">
        <v>44986</v>
      </c>
      <c r="B4428" s="25" t="s">
        <v>123</v>
      </c>
      <c r="C4428" s="25" t="s">
        <v>2</v>
      </c>
      <c r="D4428" s="51">
        <v>2317254</v>
      </c>
    </row>
    <row r="4429" spans="1:4" x14ac:dyDescent="0.2">
      <c r="A4429" s="24">
        <v>44986</v>
      </c>
      <c r="B4429" s="25" t="s">
        <v>129</v>
      </c>
      <c r="C4429" s="25" t="s">
        <v>2</v>
      </c>
      <c r="D4429" s="51">
        <v>110408</v>
      </c>
    </row>
    <row r="4430" spans="1:4" x14ac:dyDescent="0.2">
      <c r="A4430" s="24">
        <v>44986</v>
      </c>
      <c r="B4430" s="25" t="s">
        <v>130</v>
      </c>
      <c r="C4430" s="25" t="s">
        <v>2</v>
      </c>
      <c r="D4430" s="51">
        <v>40080</v>
      </c>
    </row>
    <row r="4431" spans="1:4" x14ac:dyDescent="0.2">
      <c r="A4431" s="24">
        <v>45017</v>
      </c>
      <c r="B4431" s="25" t="s">
        <v>117</v>
      </c>
      <c r="C4431" s="25" t="s">
        <v>4</v>
      </c>
      <c r="D4431" s="51">
        <v>6160543</v>
      </c>
    </row>
    <row r="4432" spans="1:4" x14ac:dyDescent="0.2">
      <c r="A4432" s="24">
        <v>45017</v>
      </c>
      <c r="B4432" s="25" t="s">
        <v>131</v>
      </c>
      <c r="C4432" s="25" t="s">
        <v>4</v>
      </c>
      <c r="D4432" s="51">
        <v>136</v>
      </c>
    </row>
    <row r="4433" spans="1:4" x14ac:dyDescent="0.2">
      <c r="A4433" s="24">
        <v>45017</v>
      </c>
      <c r="B4433" s="25" t="s">
        <v>132</v>
      </c>
      <c r="C4433" s="25" t="s">
        <v>4</v>
      </c>
      <c r="D4433" s="51">
        <v>38</v>
      </c>
    </row>
    <row r="4434" spans="1:4" x14ac:dyDescent="0.2">
      <c r="A4434" s="24">
        <v>45017</v>
      </c>
      <c r="B4434" s="25" t="s">
        <v>133</v>
      </c>
      <c r="C4434" s="25" t="s">
        <v>4</v>
      </c>
      <c r="D4434" s="51">
        <v>19</v>
      </c>
    </row>
    <row r="4435" spans="1:4" x14ac:dyDescent="0.2">
      <c r="A4435" s="24">
        <v>45017</v>
      </c>
      <c r="B4435" s="25" t="s">
        <v>137</v>
      </c>
      <c r="C4435" s="25" t="s">
        <v>4</v>
      </c>
      <c r="D4435" s="51">
        <v>5449786</v>
      </c>
    </row>
    <row r="4436" spans="1:4" x14ac:dyDescent="0.2">
      <c r="A4436" s="24">
        <v>45017</v>
      </c>
      <c r="B4436" s="25" t="s">
        <v>118</v>
      </c>
      <c r="C4436" s="25" t="s">
        <v>4</v>
      </c>
      <c r="D4436" s="51">
        <v>793429</v>
      </c>
    </row>
    <row r="4437" spans="1:4" x14ac:dyDescent="0.2">
      <c r="A4437" s="24">
        <v>45017</v>
      </c>
      <c r="B4437" s="25" t="s">
        <v>134</v>
      </c>
      <c r="C4437" s="25" t="s">
        <v>4</v>
      </c>
      <c r="D4437" s="51">
        <v>4</v>
      </c>
    </row>
    <row r="4438" spans="1:4" x14ac:dyDescent="0.2">
      <c r="A4438" s="24">
        <v>45017</v>
      </c>
      <c r="B4438" s="25" t="s">
        <v>119</v>
      </c>
      <c r="C4438" s="25" t="s">
        <v>4</v>
      </c>
      <c r="D4438" s="51">
        <v>737056</v>
      </c>
    </row>
    <row r="4439" spans="1:4" x14ac:dyDescent="0.2">
      <c r="A4439" s="24">
        <v>45017</v>
      </c>
      <c r="B4439" s="25" t="s">
        <v>138</v>
      </c>
      <c r="C4439" s="25" t="s">
        <v>4</v>
      </c>
      <c r="D4439" s="51">
        <v>10</v>
      </c>
    </row>
    <row r="4440" spans="1:4" x14ac:dyDescent="0.2">
      <c r="A4440" s="24">
        <v>45017</v>
      </c>
      <c r="B4440" s="25" t="s">
        <v>139</v>
      </c>
      <c r="C4440" s="25" t="s">
        <v>4</v>
      </c>
      <c r="D4440" s="51">
        <v>640</v>
      </c>
    </row>
    <row r="4441" spans="1:4" x14ac:dyDescent="0.2">
      <c r="A4441" s="24">
        <v>45017</v>
      </c>
      <c r="B4441" s="25" t="s">
        <v>120</v>
      </c>
      <c r="C4441" s="25" t="s">
        <v>4</v>
      </c>
      <c r="D4441" s="51">
        <v>52762</v>
      </c>
    </row>
    <row r="4442" spans="1:4" x14ac:dyDescent="0.2">
      <c r="A4442" s="24">
        <v>45017</v>
      </c>
      <c r="B4442" s="25" t="s">
        <v>121</v>
      </c>
      <c r="C4442" s="25" t="s">
        <v>4</v>
      </c>
      <c r="D4442" s="51">
        <v>25999</v>
      </c>
    </row>
    <row r="4443" spans="1:4" x14ac:dyDescent="0.2">
      <c r="A4443" s="24">
        <v>45017</v>
      </c>
      <c r="B4443" s="25" t="s">
        <v>140</v>
      </c>
      <c r="C4443" s="25" t="s">
        <v>4</v>
      </c>
      <c r="D4443" s="51">
        <v>19879</v>
      </c>
    </row>
    <row r="4444" spans="1:4" x14ac:dyDescent="0.2">
      <c r="A4444" s="24">
        <v>45017</v>
      </c>
      <c r="B4444" s="25" t="s">
        <v>122</v>
      </c>
      <c r="C4444" s="25" t="s">
        <v>4</v>
      </c>
      <c r="D4444" s="51">
        <v>535317</v>
      </c>
    </row>
    <row r="4445" spans="1:4" x14ac:dyDescent="0.2">
      <c r="A4445" s="24">
        <v>45017</v>
      </c>
      <c r="B4445" s="25" t="s">
        <v>123</v>
      </c>
      <c r="C4445" s="25" t="s">
        <v>4</v>
      </c>
      <c r="D4445" s="51">
        <v>2870360</v>
      </c>
    </row>
    <row r="4446" spans="1:4" x14ac:dyDescent="0.2">
      <c r="A4446" s="24">
        <v>45017</v>
      </c>
      <c r="B4446" s="25" t="s">
        <v>117</v>
      </c>
      <c r="C4446" s="25" t="s">
        <v>8</v>
      </c>
      <c r="D4446" s="51">
        <v>376680</v>
      </c>
    </row>
    <row r="4447" spans="1:4" x14ac:dyDescent="0.2">
      <c r="A4447" s="24">
        <v>45017</v>
      </c>
      <c r="B4447" s="25" t="s">
        <v>137</v>
      </c>
      <c r="C4447" s="25" t="s">
        <v>8</v>
      </c>
      <c r="D4447" s="51">
        <v>505026</v>
      </c>
    </row>
    <row r="4448" spans="1:4" x14ac:dyDescent="0.2">
      <c r="A4448" s="24">
        <v>45017</v>
      </c>
      <c r="B4448" s="25" t="s">
        <v>118</v>
      </c>
      <c r="C4448" s="25" t="s">
        <v>8</v>
      </c>
      <c r="D4448" s="51">
        <v>105759</v>
      </c>
    </row>
    <row r="4449" spans="1:4" x14ac:dyDescent="0.2">
      <c r="A4449" s="24">
        <v>45017</v>
      </c>
      <c r="B4449" s="25" t="s">
        <v>119</v>
      </c>
      <c r="C4449" s="25" t="s">
        <v>8</v>
      </c>
      <c r="D4449" s="51">
        <v>15783</v>
      </c>
    </row>
    <row r="4450" spans="1:4" x14ac:dyDescent="0.2">
      <c r="A4450" s="24">
        <v>45017</v>
      </c>
      <c r="B4450" s="25" t="s">
        <v>139</v>
      </c>
      <c r="C4450" s="25" t="s">
        <v>8</v>
      </c>
      <c r="D4450" s="51">
        <v>10</v>
      </c>
    </row>
    <row r="4451" spans="1:4" x14ac:dyDescent="0.2">
      <c r="A4451" s="24">
        <v>45017</v>
      </c>
      <c r="B4451" s="25" t="s">
        <v>120</v>
      </c>
      <c r="C4451" s="25" t="s">
        <v>8</v>
      </c>
      <c r="D4451" s="51">
        <v>3908</v>
      </c>
    </row>
    <row r="4452" spans="1:4" x14ac:dyDescent="0.2">
      <c r="A4452" s="24">
        <v>45017</v>
      </c>
      <c r="B4452" s="25" t="s">
        <v>121</v>
      </c>
      <c r="C4452" s="25" t="s">
        <v>8</v>
      </c>
      <c r="D4452" s="51">
        <v>1571</v>
      </c>
    </row>
    <row r="4453" spans="1:4" x14ac:dyDescent="0.2">
      <c r="A4453" s="24">
        <v>45017</v>
      </c>
      <c r="B4453" s="25" t="s">
        <v>122</v>
      </c>
      <c r="C4453" s="25" t="s">
        <v>8</v>
      </c>
      <c r="D4453" s="51">
        <v>3444</v>
      </c>
    </row>
    <row r="4454" spans="1:4" x14ac:dyDescent="0.2">
      <c r="A4454" s="24">
        <v>45017</v>
      </c>
      <c r="B4454" s="25" t="s">
        <v>123</v>
      </c>
      <c r="C4454" s="25" t="s">
        <v>8</v>
      </c>
      <c r="D4454" s="51">
        <v>165124</v>
      </c>
    </row>
    <row r="4455" spans="1:4" x14ac:dyDescent="0.2">
      <c r="A4455" s="24">
        <v>45017</v>
      </c>
      <c r="B4455" s="25" t="s">
        <v>124</v>
      </c>
      <c r="C4455" s="25" t="s">
        <v>8</v>
      </c>
      <c r="D4455" s="51">
        <v>35373</v>
      </c>
    </row>
    <row r="4456" spans="1:4" x14ac:dyDescent="0.2">
      <c r="A4456" s="24">
        <v>45017</v>
      </c>
      <c r="B4456" s="25" t="s">
        <v>125</v>
      </c>
      <c r="C4456" s="25" t="s">
        <v>8</v>
      </c>
      <c r="D4456" s="51">
        <v>21510</v>
      </c>
    </row>
    <row r="4457" spans="1:4" x14ac:dyDescent="0.2">
      <c r="A4457" s="24">
        <v>45017</v>
      </c>
      <c r="B4457" s="25" t="s">
        <v>117</v>
      </c>
      <c r="C4457" s="25" t="s">
        <v>26</v>
      </c>
      <c r="D4457" s="51">
        <v>1035060</v>
      </c>
    </row>
    <row r="4458" spans="1:4" x14ac:dyDescent="0.2">
      <c r="A4458" s="24">
        <v>45017</v>
      </c>
      <c r="B4458" s="25" t="s">
        <v>137</v>
      </c>
      <c r="C4458" s="25" t="s">
        <v>26</v>
      </c>
      <c r="D4458" s="51">
        <v>1001129</v>
      </c>
    </row>
    <row r="4459" spans="1:4" x14ac:dyDescent="0.2">
      <c r="A4459" s="24">
        <v>45017</v>
      </c>
      <c r="B4459" s="25" t="s">
        <v>118</v>
      </c>
      <c r="C4459" s="25" t="s">
        <v>26</v>
      </c>
      <c r="D4459" s="51">
        <v>119764</v>
      </c>
    </row>
    <row r="4460" spans="1:4" x14ac:dyDescent="0.2">
      <c r="A4460" s="24">
        <v>45017</v>
      </c>
      <c r="B4460" s="25" t="s">
        <v>119</v>
      </c>
      <c r="C4460" s="25" t="s">
        <v>26</v>
      </c>
      <c r="D4460" s="51">
        <v>218283</v>
      </c>
    </row>
    <row r="4461" spans="1:4" x14ac:dyDescent="0.2">
      <c r="A4461" s="24">
        <v>45017</v>
      </c>
      <c r="B4461" s="25" t="s">
        <v>138</v>
      </c>
      <c r="C4461" s="25" t="s">
        <v>26</v>
      </c>
      <c r="D4461" s="51">
        <v>1</v>
      </c>
    </row>
    <row r="4462" spans="1:4" x14ac:dyDescent="0.2">
      <c r="A4462" s="24">
        <v>45017</v>
      </c>
      <c r="B4462" s="25" t="s">
        <v>139</v>
      </c>
      <c r="C4462" s="25" t="s">
        <v>26</v>
      </c>
      <c r="D4462" s="51">
        <v>48</v>
      </c>
    </row>
    <row r="4463" spans="1:4" x14ac:dyDescent="0.2">
      <c r="A4463" s="24">
        <v>45017</v>
      </c>
      <c r="B4463" s="25" t="s">
        <v>120</v>
      </c>
      <c r="C4463" s="25" t="s">
        <v>26</v>
      </c>
      <c r="D4463" s="51">
        <v>7343</v>
      </c>
    </row>
    <row r="4464" spans="1:4" x14ac:dyDescent="0.2">
      <c r="A4464" s="24">
        <v>45017</v>
      </c>
      <c r="B4464" s="25" t="s">
        <v>121</v>
      </c>
      <c r="C4464" s="25" t="s">
        <v>26</v>
      </c>
      <c r="D4464" s="51">
        <v>2502</v>
      </c>
    </row>
    <row r="4465" spans="1:4" x14ac:dyDescent="0.2">
      <c r="A4465" s="24">
        <v>45017</v>
      </c>
      <c r="B4465" s="25" t="s">
        <v>122</v>
      </c>
      <c r="C4465" s="25" t="s">
        <v>26</v>
      </c>
      <c r="D4465" s="51">
        <v>13673</v>
      </c>
    </row>
    <row r="4466" spans="1:4" x14ac:dyDescent="0.2">
      <c r="A4466" s="24">
        <v>45017</v>
      </c>
      <c r="B4466" s="25" t="s">
        <v>123</v>
      </c>
      <c r="C4466" s="25" t="s">
        <v>26</v>
      </c>
      <c r="D4466" s="51">
        <v>312835</v>
      </c>
    </row>
    <row r="4467" spans="1:4" x14ac:dyDescent="0.2">
      <c r="A4467" s="24">
        <v>45017</v>
      </c>
      <c r="B4467" s="25" t="s">
        <v>127</v>
      </c>
      <c r="C4467" s="25" t="s">
        <v>26</v>
      </c>
      <c r="D4467" s="51">
        <v>3796</v>
      </c>
    </row>
    <row r="4468" spans="1:4" x14ac:dyDescent="0.2">
      <c r="A4468" s="24">
        <v>45017</v>
      </c>
      <c r="B4468" s="25" t="s">
        <v>128</v>
      </c>
      <c r="C4468" s="25" t="s">
        <v>26</v>
      </c>
      <c r="D4468" s="51">
        <v>2192</v>
      </c>
    </row>
    <row r="4469" spans="1:4" x14ac:dyDescent="0.2">
      <c r="A4469" s="24">
        <v>45017</v>
      </c>
      <c r="B4469" s="25" t="s">
        <v>117</v>
      </c>
      <c r="C4469" s="25" t="s">
        <v>142</v>
      </c>
      <c r="D4469" s="51">
        <v>692354</v>
      </c>
    </row>
    <row r="4470" spans="1:4" x14ac:dyDescent="0.2">
      <c r="A4470" s="24">
        <v>45017</v>
      </c>
      <c r="B4470" s="25" t="s">
        <v>137</v>
      </c>
      <c r="C4470" s="25" t="s">
        <v>142</v>
      </c>
      <c r="D4470" s="51">
        <v>488164</v>
      </c>
    </row>
    <row r="4471" spans="1:4" x14ac:dyDescent="0.2">
      <c r="A4471" s="24">
        <v>45017</v>
      </c>
      <c r="B4471" s="25" t="s">
        <v>118</v>
      </c>
      <c r="C4471" s="25" t="s">
        <v>142</v>
      </c>
      <c r="D4471" s="51">
        <v>132364</v>
      </c>
    </row>
    <row r="4472" spans="1:4" x14ac:dyDescent="0.2">
      <c r="A4472" s="24">
        <v>45017</v>
      </c>
      <c r="B4472" s="25" t="s">
        <v>119</v>
      </c>
      <c r="C4472" s="25" t="s">
        <v>142</v>
      </c>
      <c r="D4472" s="51">
        <v>133672</v>
      </c>
    </row>
    <row r="4473" spans="1:4" x14ac:dyDescent="0.2">
      <c r="A4473" s="24">
        <v>45017</v>
      </c>
      <c r="B4473" s="25" t="s">
        <v>139</v>
      </c>
      <c r="C4473" s="25" t="s">
        <v>142</v>
      </c>
      <c r="D4473" s="51">
        <v>12</v>
      </c>
    </row>
    <row r="4474" spans="1:4" x14ac:dyDescent="0.2">
      <c r="A4474" s="24">
        <v>45017</v>
      </c>
      <c r="B4474" s="25" t="s">
        <v>120</v>
      </c>
      <c r="C4474" s="25" t="s">
        <v>142</v>
      </c>
      <c r="D4474" s="51">
        <v>7441</v>
      </c>
    </row>
    <row r="4475" spans="1:4" x14ac:dyDescent="0.2">
      <c r="A4475" s="24">
        <v>45017</v>
      </c>
      <c r="B4475" s="25" t="s">
        <v>121</v>
      </c>
      <c r="C4475" s="25" t="s">
        <v>142</v>
      </c>
      <c r="D4475" s="51">
        <v>1154</v>
      </c>
    </row>
    <row r="4476" spans="1:4" x14ac:dyDescent="0.2">
      <c r="A4476" s="24">
        <v>45017</v>
      </c>
      <c r="B4476" s="25" t="s">
        <v>122</v>
      </c>
      <c r="C4476" s="25" t="s">
        <v>142</v>
      </c>
      <c r="D4476" s="51">
        <v>52326</v>
      </c>
    </row>
    <row r="4477" spans="1:4" x14ac:dyDescent="0.2">
      <c r="A4477" s="24">
        <v>45017</v>
      </c>
      <c r="B4477" s="25" t="s">
        <v>123</v>
      </c>
      <c r="C4477" s="25" t="s">
        <v>142</v>
      </c>
      <c r="D4477" s="51">
        <v>120699</v>
      </c>
    </row>
    <row r="4478" spans="1:4" x14ac:dyDescent="0.2">
      <c r="A4478" s="24">
        <v>45017</v>
      </c>
      <c r="B4478" s="25" t="s">
        <v>129</v>
      </c>
      <c r="C4478" s="25" t="s">
        <v>142</v>
      </c>
      <c r="D4478" s="51">
        <v>4655</v>
      </c>
    </row>
    <row r="4479" spans="1:4" x14ac:dyDescent="0.2">
      <c r="A4479" s="24">
        <v>45017</v>
      </c>
      <c r="B4479" s="25" t="s">
        <v>130</v>
      </c>
      <c r="C4479" s="25" t="s">
        <v>142</v>
      </c>
      <c r="D4479" s="51">
        <v>6337</v>
      </c>
    </row>
    <row r="4480" spans="1:4" x14ac:dyDescent="0.2">
      <c r="A4480" s="24">
        <v>45017</v>
      </c>
      <c r="B4480" s="25" t="s">
        <v>117</v>
      </c>
      <c r="C4480" s="25" t="s">
        <v>2</v>
      </c>
      <c r="D4480" s="51">
        <v>9567193</v>
      </c>
    </row>
    <row r="4481" spans="1:4" x14ac:dyDescent="0.2">
      <c r="A4481" s="24">
        <v>45017</v>
      </c>
      <c r="B4481" s="25" t="s">
        <v>137</v>
      </c>
      <c r="C4481" s="25" t="s">
        <v>2</v>
      </c>
      <c r="D4481" s="51">
        <v>7118961</v>
      </c>
    </row>
    <row r="4482" spans="1:4" x14ac:dyDescent="0.2">
      <c r="A4482" s="24">
        <v>45017</v>
      </c>
      <c r="B4482" s="25" t="s">
        <v>118</v>
      </c>
      <c r="C4482" s="25" t="s">
        <v>2</v>
      </c>
      <c r="D4482" s="51">
        <v>835400</v>
      </c>
    </row>
    <row r="4483" spans="1:4" x14ac:dyDescent="0.2">
      <c r="A4483" s="24">
        <v>45017</v>
      </c>
      <c r="B4483" s="25" t="s">
        <v>119</v>
      </c>
      <c r="C4483" s="25" t="s">
        <v>2</v>
      </c>
      <c r="D4483" s="51">
        <v>1054815</v>
      </c>
    </row>
    <row r="4484" spans="1:4" x14ac:dyDescent="0.2">
      <c r="A4484" s="24">
        <v>45017</v>
      </c>
      <c r="B4484" s="25" t="s">
        <v>138</v>
      </c>
      <c r="C4484" s="25" t="s">
        <v>2</v>
      </c>
      <c r="D4484" s="51">
        <v>17</v>
      </c>
    </row>
    <row r="4485" spans="1:4" x14ac:dyDescent="0.2">
      <c r="A4485" s="24">
        <v>45017</v>
      </c>
      <c r="B4485" s="25" t="s">
        <v>139</v>
      </c>
      <c r="C4485" s="25" t="s">
        <v>2</v>
      </c>
      <c r="D4485" s="51">
        <v>724</v>
      </c>
    </row>
    <row r="4486" spans="1:4" x14ac:dyDescent="0.2">
      <c r="A4486" s="24">
        <v>45017</v>
      </c>
      <c r="B4486" s="25" t="s">
        <v>120</v>
      </c>
      <c r="C4486" s="25" t="s">
        <v>2</v>
      </c>
      <c r="D4486" s="51">
        <v>189165</v>
      </c>
    </row>
    <row r="4487" spans="1:4" x14ac:dyDescent="0.2">
      <c r="A4487" s="24">
        <v>45017</v>
      </c>
      <c r="B4487" s="25" t="s">
        <v>121</v>
      </c>
      <c r="C4487" s="25" t="s">
        <v>2</v>
      </c>
      <c r="D4487" s="51">
        <v>20247</v>
      </c>
    </row>
    <row r="4488" spans="1:4" x14ac:dyDescent="0.2">
      <c r="A4488" s="24">
        <v>45017</v>
      </c>
      <c r="B4488" s="25" t="s">
        <v>122</v>
      </c>
      <c r="C4488" s="25" t="s">
        <v>2</v>
      </c>
      <c r="D4488" s="51">
        <v>352915</v>
      </c>
    </row>
    <row r="4489" spans="1:4" x14ac:dyDescent="0.2">
      <c r="A4489" s="24">
        <v>45017</v>
      </c>
      <c r="B4489" s="25" t="s">
        <v>123</v>
      </c>
      <c r="C4489" s="25" t="s">
        <v>2</v>
      </c>
      <c r="D4489" s="51">
        <v>2045717</v>
      </c>
    </row>
    <row r="4490" spans="1:4" x14ac:dyDescent="0.2">
      <c r="A4490" s="24">
        <v>45017</v>
      </c>
      <c r="B4490" s="25" t="s">
        <v>129</v>
      </c>
      <c r="C4490" s="25" t="s">
        <v>2</v>
      </c>
      <c r="D4490" s="51">
        <v>93819</v>
      </c>
    </row>
    <row r="4491" spans="1:4" x14ac:dyDescent="0.2">
      <c r="A4491" s="24">
        <v>45017</v>
      </c>
      <c r="B4491" s="25" t="s">
        <v>130</v>
      </c>
      <c r="C4491" s="25" t="s">
        <v>2</v>
      </c>
      <c r="D4491" s="51">
        <v>60464</v>
      </c>
    </row>
    <row r="4492" spans="1:4" x14ac:dyDescent="0.2">
      <c r="A4492" s="24">
        <v>45047</v>
      </c>
      <c r="B4492" s="25" t="s">
        <v>117</v>
      </c>
      <c r="C4492" s="25" t="s">
        <v>4</v>
      </c>
      <c r="D4492" s="51">
        <v>7183054</v>
      </c>
    </row>
    <row r="4493" spans="1:4" x14ac:dyDescent="0.2">
      <c r="A4493" s="24">
        <v>45047</v>
      </c>
      <c r="B4493" s="25" t="s">
        <v>131</v>
      </c>
      <c r="C4493" s="25" t="s">
        <v>4</v>
      </c>
      <c r="D4493" s="51">
        <v>122</v>
      </c>
    </row>
    <row r="4494" spans="1:4" x14ac:dyDescent="0.2">
      <c r="A4494" s="24">
        <v>45047</v>
      </c>
      <c r="B4494" s="25" t="s">
        <v>132</v>
      </c>
      <c r="C4494" s="25" t="s">
        <v>4</v>
      </c>
      <c r="D4494" s="51">
        <v>60</v>
      </c>
    </row>
    <row r="4495" spans="1:4" x14ac:dyDescent="0.2">
      <c r="A4495" s="24">
        <v>45047</v>
      </c>
      <c r="B4495" s="25" t="s">
        <v>133</v>
      </c>
      <c r="C4495" s="25" t="s">
        <v>4</v>
      </c>
      <c r="D4495" s="51">
        <v>50</v>
      </c>
    </row>
    <row r="4496" spans="1:4" x14ac:dyDescent="0.2">
      <c r="A4496" s="24">
        <v>45047</v>
      </c>
      <c r="B4496" s="25" t="s">
        <v>137</v>
      </c>
      <c r="C4496" s="25" t="s">
        <v>4</v>
      </c>
      <c r="D4496" s="51">
        <v>6225131</v>
      </c>
    </row>
    <row r="4497" spans="1:4" x14ac:dyDescent="0.2">
      <c r="A4497" s="24">
        <v>45047</v>
      </c>
      <c r="B4497" s="25" t="s">
        <v>118</v>
      </c>
      <c r="C4497" s="25" t="s">
        <v>4</v>
      </c>
      <c r="D4497" s="51">
        <v>620035</v>
      </c>
    </row>
    <row r="4498" spans="1:4" x14ac:dyDescent="0.2">
      <c r="A4498" s="24">
        <v>45047</v>
      </c>
      <c r="B4498" s="25" t="s">
        <v>134</v>
      </c>
      <c r="C4498" s="25" t="s">
        <v>4</v>
      </c>
      <c r="D4498" s="51">
        <v>4</v>
      </c>
    </row>
    <row r="4499" spans="1:4" x14ac:dyDescent="0.2">
      <c r="A4499" s="24">
        <v>45047</v>
      </c>
      <c r="B4499" s="25" t="s">
        <v>135</v>
      </c>
      <c r="C4499" s="25" t="s">
        <v>4</v>
      </c>
      <c r="D4499" s="51">
        <v>6</v>
      </c>
    </row>
    <row r="4500" spans="1:4" x14ac:dyDescent="0.2">
      <c r="A4500" s="24">
        <v>45047</v>
      </c>
      <c r="B4500" s="25" t="s">
        <v>119</v>
      </c>
      <c r="C4500" s="25" t="s">
        <v>4</v>
      </c>
      <c r="D4500" s="51">
        <v>913933</v>
      </c>
    </row>
    <row r="4501" spans="1:4" x14ac:dyDescent="0.2">
      <c r="A4501" s="24">
        <v>45047</v>
      </c>
      <c r="B4501" s="25" t="s">
        <v>138</v>
      </c>
      <c r="C4501" s="25" t="s">
        <v>4</v>
      </c>
      <c r="D4501" s="51">
        <v>42</v>
      </c>
    </row>
    <row r="4502" spans="1:4" x14ac:dyDescent="0.2">
      <c r="A4502" s="24">
        <v>45047</v>
      </c>
      <c r="B4502" s="25" t="s">
        <v>139</v>
      </c>
      <c r="C4502" s="25" t="s">
        <v>4</v>
      </c>
      <c r="D4502" s="51">
        <v>812</v>
      </c>
    </row>
    <row r="4503" spans="1:4" x14ac:dyDescent="0.2">
      <c r="A4503" s="24">
        <v>45047</v>
      </c>
      <c r="B4503" s="25" t="s">
        <v>120</v>
      </c>
      <c r="C4503" s="25" t="s">
        <v>4</v>
      </c>
      <c r="D4503" s="51">
        <v>60831</v>
      </c>
    </row>
    <row r="4504" spans="1:4" x14ac:dyDescent="0.2">
      <c r="A4504" s="24">
        <v>45047</v>
      </c>
      <c r="B4504" s="25" t="s">
        <v>121</v>
      </c>
      <c r="C4504" s="25" t="s">
        <v>4</v>
      </c>
      <c r="D4504" s="51">
        <v>30606</v>
      </c>
    </row>
    <row r="4505" spans="1:4" x14ac:dyDescent="0.2">
      <c r="A4505" s="24">
        <v>45047</v>
      </c>
      <c r="B4505" s="25" t="s">
        <v>140</v>
      </c>
      <c r="C4505" s="25" t="s">
        <v>4</v>
      </c>
      <c r="D4505" s="51">
        <v>23498</v>
      </c>
    </row>
    <row r="4506" spans="1:4" x14ac:dyDescent="0.2">
      <c r="A4506" s="24">
        <v>45047</v>
      </c>
      <c r="B4506" s="25" t="s">
        <v>122</v>
      </c>
      <c r="C4506" s="25" t="s">
        <v>4</v>
      </c>
      <c r="D4506" s="51">
        <v>1732938</v>
      </c>
    </row>
    <row r="4507" spans="1:4" x14ac:dyDescent="0.2">
      <c r="A4507" s="24">
        <v>45047</v>
      </c>
      <c r="B4507" s="25" t="s">
        <v>123</v>
      </c>
      <c r="C4507" s="25" t="s">
        <v>4</v>
      </c>
      <c r="D4507" s="51">
        <v>3303661</v>
      </c>
    </row>
    <row r="4508" spans="1:4" x14ac:dyDescent="0.2">
      <c r="A4508" s="24">
        <v>45047</v>
      </c>
      <c r="B4508" s="25" t="s">
        <v>117</v>
      </c>
      <c r="C4508" s="25" t="s">
        <v>8</v>
      </c>
      <c r="D4508" s="51">
        <v>342935</v>
      </c>
    </row>
    <row r="4509" spans="1:4" x14ac:dyDescent="0.2">
      <c r="A4509" s="24">
        <v>45047</v>
      </c>
      <c r="B4509" s="25" t="s">
        <v>137</v>
      </c>
      <c r="C4509" s="25" t="s">
        <v>8</v>
      </c>
      <c r="D4509" s="51">
        <v>476029</v>
      </c>
    </row>
    <row r="4510" spans="1:4" x14ac:dyDescent="0.2">
      <c r="A4510" s="24">
        <v>45047</v>
      </c>
      <c r="B4510" s="25" t="s">
        <v>118</v>
      </c>
      <c r="C4510" s="25" t="s">
        <v>8</v>
      </c>
      <c r="D4510" s="51">
        <v>44247</v>
      </c>
    </row>
    <row r="4511" spans="1:4" x14ac:dyDescent="0.2">
      <c r="A4511" s="24">
        <v>45047</v>
      </c>
      <c r="B4511" s="25" t="s">
        <v>119</v>
      </c>
      <c r="C4511" s="25" t="s">
        <v>8</v>
      </c>
      <c r="D4511" s="51">
        <v>17959</v>
      </c>
    </row>
    <row r="4512" spans="1:4" x14ac:dyDescent="0.2">
      <c r="A4512" s="24">
        <v>45047</v>
      </c>
      <c r="B4512" s="25" t="s">
        <v>138</v>
      </c>
      <c r="C4512" s="25" t="s">
        <v>8</v>
      </c>
      <c r="D4512" s="51">
        <v>192</v>
      </c>
    </row>
    <row r="4513" spans="1:4" x14ac:dyDescent="0.2">
      <c r="A4513" s="24">
        <v>45047</v>
      </c>
      <c r="B4513" s="25" t="s">
        <v>139</v>
      </c>
      <c r="C4513" s="25" t="s">
        <v>8</v>
      </c>
      <c r="D4513" s="51">
        <v>62</v>
      </c>
    </row>
    <row r="4514" spans="1:4" x14ac:dyDescent="0.2">
      <c r="A4514" s="24">
        <v>45047</v>
      </c>
      <c r="B4514" s="25" t="s">
        <v>120</v>
      </c>
      <c r="C4514" s="25" t="s">
        <v>8</v>
      </c>
      <c r="D4514" s="51">
        <v>4379</v>
      </c>
    </row>
    <row r="4515" spans="1:4" x14ac:dyDescent="0.2">
      <c r="A4515" s="24">
        <v>45047</v>
      </c>
      <c r="B4515" s="25" t="s">
        <v>121</v>
      </c>
      <c r="C4515" s="25" t="s">
        <v>8</v>
      </c>
      <c r="D4515" s="51">
        <v>1826</v>
      </c>
    </row>
    <row r="4516" spans="1:4" x14ac:dyDescent="0.2">
      <c r="A4516" s="24">
        <v>45047</v>
      </c>
      <c r="B4516" s="25" t="s">
        <v>122</v>
      </c>
      <c r="C4516" s="25" t="s">
        <v>8</v>
      </c>
      <c r="D4516" s="51">
        <v>10800</v>
      </c>
    </row>
    <row r="4517" spans="1:4" x14ac:dyDescent="0.2">
      <c r="A4517" s="24">
        <v>45047</v>
      </c>
      <c r="B4517" s="25" t="s">
        <v>123</v>
      </c>
      <c r="C4517" s="25" t="s">
        <v>8</v>
      </c>
      <c r="D4517" s="51">
        <v>179950</v>
      </c>
    </row>
    <row r="4518" spans="1:4" x14ac:dyDescent="0.2">
      <c r="A4518" s="24">
        <v>45047</v>
      </c>
      <c r="B4518" s="25" t="s">
        <v>124</v>
      </c>
      <c r="C4518" s="25" t="s">
        <v>8</v>
      </c>
      <c r="D4518" s="51">
        <v>22430</v>
      </c>
    </row>
    <row r="4519" spans="1:4" x14ac:dyDescent="0.2">
      <c r="A4519" s="24">
        <v>45047</v>
      </c>
      <c r="B4519" s="25" t="s">
        <v>125</v>
      </c>
      <c r="C4519" s="25" t="s">
        <v>8</v>
      </c>
      <c r="D4519" s="51">
        <v>7432</v>
      </c>
    </row>
    <row r="4520" spans="1:4" x14ac:dyDescent="0.2">
      <c r="A4520" s="24">
        <v>45047</v>
      </c>
      <c r="B4520" s="25" t="s">
        <v>117</v>
      </c>
      <c r="C4520" s="25" t="s">
        <v>26</v>
      </c>
      <c r="D4520" s="51">
        <v>1210127</v>
      </c>
    </row>
    <row r="4521" spans="1:4" x14ac:dyDescent="0.2">
      <c r="A4521" s="24">
        <v>45047</v>
      </c>
      <c r="B4521" s="25" t="s">
        <v>137</v>
      </c>
      <c r="C4521" s="25" t="s">
        <v>26</v>
      </c>
      <c r="D4521" s="51">
        <v>1168270</v>
      </c>
    </row>
    <row r="4522" spans="1:4" x14ac:dyDescent="0.2">
      <c r="A4522" s="24">
        <v>45047</v>
      </c>
      <c r="B4522" s="25" t="s">
        <v>118</v>
      </c>
      <c r="C4522" s="25" t="s">
        <v>26</v>
      </c>
      <c r="D4522" s="51">
        <v>67316</v>
      </c>
    </row>
    <row r="4523" spans="1:4" x14ac:dyDescent="0.2">
      <c r="A4523" s="24">
        <v>45047</v>
      </c>
      <c r="B4523" s="25" t="s">
        <v>119</v>
      </c>
      <c r="C4523" s="25" t="s">
        <v>26</v>
      </c>
      <c r="D4523" s="51">
        <v>195075</v>
      </c>
    </row>
    <row r="4524" spans="1:4" x14ac:dyDescent="0.2">
      <c r="A4524" s="24">
        <v>45047</v>
      </c>
      <c r="B4524" s="25" t="s">
        <v>138</v>
      </c>
      <c r="C4524" s="25" t="s">
        <v>26</v>
      </c>
      <c r="D4524" s="51">
        <v>41</v>
      </c>
    </row>
    <row r="4525" spans="1:4" x14ac:dyDescent="0.2">
      <c r="A4525" s="24">
        <v>45047</v>
      </c>
      <c r="B4525" s="25" t="s">
        <v>139</v>
      </c>
      <c r="C4525" s="25" t="s">
        <v>26</v>
      </c>
      <c r="D4525" s="51">
        <v>44</v>
      </c>
    </row>
    <row r="4526" spans="1:4" x14ac:dyDescent="0.2">
      <c r="A4526" s="24">
        <v>45047</v>
      </c>
      <c r="B4526" s="25" t="s">
        <v>120</v>
      </c>
      <c r="C4526" s="25" t="s">
        <v>26</v>
      </c>
      <c r="D4526" s="51">
        <v>8635</v>
      </c>
    </row>
    <row r="4527" spans="1:4" x14ac:dyDescent="0.2">
      <c r="A4527" s="24">
        <v>45047</v>
      </c>
      <c r="B4527" s="25" t="s">
        <v>121</v>
      </c>
      <c r="C4527" s="25" t="s">
        <v>26</v>
      </c>
      <c r="D4527" s="51">
        <v>3017</v>
      </c>
    </row>
    <row r="4528" spans="1:4" x14ac:dyDescent="0.2">
      <c r="A4528" s="24">
        <v>45047</v>
      </c>
      <c r="B4528" s="25" t="s">
        <v>122</v>
      </c>
      <c r="C4528" s="25" t="s">
        <v>26</v>
      </c>
      <c r="D4528" s="51">
        <v>45586</v>
      </c>
    </row>
    <row r="4529" spans="1:4" x14ac:dyDescent="0.2">
      <c r="A4529" s="24">
        <v>45047</v>
      </c>
      <c r="B4529" s="25" t="s">
        <v>123</v>
      </c>
      <c r="C4529" s="25" t="s">
        <v>26</v>
      </c>
      <c r="D4529" s="51">
        <v>376123</v>
      </c>
    </row>
    <row r="4530" spans="1:4" x14ac:dyDescent="0.2">
      <c r="A4530" s="24">
        <v>45047</v>
      </c>
      <c r="B4530" s="25" t="s">
        <v>127</v>
      </c>
      <c r="C4530" s="25" t="s">
        <v>26</v>
      </c>
      <c r="D4530" s="51">
        <v>3756</v>
      </c>
    </row>
    <row r="4531" spans="1:4" x14ac:dyDescent="0.2">
      <c r="A4531" s="24">
        <v>45047</v>
      </c>
      <c r="B4531" s="25" t="s">
        <v>128</v>
      </c>
      <c r="C4531" s="25" t="s">
        <v>26</v>
      </c>
      <c r="D4531" s="51">
        <v>1159</v>
      </c>
    </row>
    <row r="4532" spans="1:4" x14ac:dyDescent="0.2">
      <c r="A4532" s="24">
        <v>45047</v>
      </c>
      <c r="B4532" s="25" t="s">
        <v>117</v>
      </c>
      <c r="C4532" s="25" t="s">
        <v>142</v>
      </c>
      <c r="D4532" s="51">
        <v>850043</v>
      </c>
    </row>
    <row r="4533" spans="1:4" x14ac:dyDescent="0.2">
      <c r="A4533" s="24">
        <v>45047</v>
      </c>
      <c r="B4533" s="25" t="s">
        <v>137</v>
      </c>
      <c r="C4533" s="25" t="s">
        <v>142</v>
      </c>
      <c r="D4533" s="51">
        <v>591619</v>
      </c>
    </row>
    <row r="4534" spans="1:4" x14ac:dyDescent="0.2">
      <c r="A4534" s="24">
        <v>45047</v>
      </c>
      <c r="B4534" s="25" t="s">
        <v>118</v>
      </c>
      <c r="C4534" s="25" t="s">
        <v>142</v>
      </c>
      <c r="D4534" s="51">
        <v>77264</v>
      </c>
    </row>
    <row r="4535" spans="1:4" x14ac:dyDescent="0.2">
      <c r="A4535" s="24">
        <v>45047</v>
      </c>
      <c r="B4535" s="25" t="s">
        <v>119</v>
      </c>
      <c r="C4535" s="25" t="s">
        <v>142</v>
      </c>
      <c r="D4535" s="51">
        <v>186032</v>
      </c>
    </row>
    <row r="4536" spans="1:4" x14ac:dyDescent="0.2">
      <c r="A4536" s="24">
        <v>45047</v>
      </c>
      <c r="B4536" s="25" t="s">
        <v>138</v>
      </c>
      <c r="C4536" s="25" t="s">
        <v>142</v>
      </c>
      <c r="D4536" s="51">
        <v>14</v>
      </c>
    </row>
    <row r="4537" spans="1:4" x14ac:dyDescent="0.2">
      <c r="A4537" s="24">
        <v>45047</v>
      </c>
      <c r="B4537" s="25" t="s">
        <v>139</v>
      </c>
      <c r="C4537" s="25" t="s">
        <v>142</v>
      </c>
      <c r="D4537" s="51">
        <v>7</v>
      </c>
    </row>
    <row r="4538" spans="1:4" x14ac:dyDescent="0.2">
      <c r="A4538" s="24">
        <v>45047</v>
      </c>
      <c r="B4538" s="25" t="s">
        <v>120</v>
      </c>
      <c r="C4538" s="25" t="s">
        <v>142</v>
      </c>
      <c r="D4538" s="51">
        <v>10185</v>
      </c>
    </row>
    <row r="4539" spans="1:4" x14ac:dyDescent="0.2">
      <c r="A4539" s="24">
        <v>45047</v>
      </c>
      <c r="B4539" s="25" t="s">
        <v>121</v>
      </c>
      <c r="C4539" s="25" t="s">
        <v>142</v>
      </c>
      <c r="D4539" s="51">
        <v>1470</v>
      </c>
    </row>
    <row r="4540" spans="1:4" x14ac:dyDescent="0.2">
      <c r="A4540" s="24">
        <v>45047</v>
      </c>
      <c r="B4540" s="25" t="s">
        <v>122</v>
      </c>
      <c r="C4540" s="25" t="s">
        <v>142</v>
      </c>
      <c r="D4540" s="51">
        <v>172299</v>
      </c>
    </row>
    <row r="4541" spans="1:4" x14ac:dyDescent="0.2">
      <c r="A4541" s="24">
        <v>45047</v>
      </c>
      <c r="B4541" s="25" t="s">
        <v>123</v>
      </c>
      <c r="C4541" s="25" t="s">
        <v>142</v>
      </c>
      <c r="D4541" s="51">
        <v>135577</v>
      </c>
    </row>
    <row r="4542" spans="1:4" x14ac:dyDescent="0.2">
      <c r="A4542" s="24">
        <v>45047</v>
      </c>
      <c r="B4542" s="25" t="s">
        <v>129</v>
      </c>
      <c r="C4542" s="25" t="s">
        <v>142</v>
      </c>
      <c r="D4542" s="51">
        <v>4280</v>
      </c>
    </row>
    <row r="4543" spans="1:4" x14ac:dyDescent="0.2">
      <c r="A4543" s="24">
        <v>45047</v>
      </c>
      <c r="B4543" s="25" t="s">
        <v>130</v>
      </c>
      <c r="C4543" s="25" t="s">
        <v>142</v>
      </c>
      <c r="D4543" s="51">
        <v>4203</v>
      </c>
    </row>
    <row r="4544" spans="1:4" x14ac:dyDescent="0.2">
      <c r="A4544" s="24">
        <v>45047</v>
      </c>
      <c r="B4544" s="25" t="s">
        <v>117</v>
      </c>
      <c r="C4544" s="25" t="s">
        <v>2</v>
      </c>
      <c r="D4544" s="51">
        <v>11513916</v>
      </c>
    </row>
    <row r="4545" spans="1:4" x14ac:dyDescent="0.2">
      <c r="A4545" s="24">
        <v>45047</v>
      </c>
      <c r="B4545" s="25" t="s">
        <v>137</v>
      </c>
      <c r="C4545" s="25" t="s">
        <v>2</v>
      </c>
      <c r="D4545" s="51">
        <v>8499972</v>
      </c>
    </row>
    <row r="4546" spans="1:4" x14ac:dyDescent="0.2">
      <c r="A4546" s="24">
        <v>45047</v>
      </c>
      <c r="B4546" s="25" t="s">
        <v>118</v>
      </c>
      <c r="C4546" s="25" t="s">
        <v>2</v>
      </c>
      <c r="D4546" s="51">
        <v>541395</v>
      </c>
    </row>
    <row r="4547" spans="1:4" x14ac:dyDescent="0.2">
      <c r="A4547" s="24">
        <v>45047</v>
      </c>
      <c r="B4547" s="25" t="s">
        <v>119</v>
      </c>
      <c r="C4547" s="25" t="s">
        <v>2</v>
      </c>
      <c r="D4547" s="51">
        <v>1282805</v>
      </c>
    </row>
    <row r="4548" spans="1:4" x14ac:dyDescent="0.2">
      <c r="A4548" s="24">
        <v>45047</v>
      </c>
      <c r="B4548" s="25" t="s">
        <v>138</v>
      </c>
      <c r="C4548" s="25" t="s">
        <v>2</v>
      </c>
      <c r="D4548" s="51">
        <v>40</v>
      </c>
    </row>
    <row r="4549" spans="1:4" x14ac:dyDescent="0.2">
      <c r="A4549" s="24">
        <v>45047</v>
      </c>
      <c r="B4549" s="25" t="s">
        <v>139</v>
      </c>
      <c r="C4549" s="25" t="s">
        <v>2</v>
      </c>
      <c r="D4549" s="51">
        <v>848</v>
      </c>
    </row>
    <row r="4550" spans="1:4" x14ac:dyDescent="0.2">
      <c r="A4550" s="24">
        <v>45047</v>
      </c>
      <c r="B4550" s="25" t="s">
        <v>120</v>
      </c>
      <c r="C4550" s="25" t="s">
        <v>2</v>
      </c>
      <c r="D4550" s="51">
        <v>229190</v>
      </c>
    </row>
    <row r="4551" spans="1:4" x14ac:dyDescent="0.2">
      <c r="A4551" s="24">
        <v>45047</v>
      </c>
      <c r="B4551" s="25" t="s">
        <v>121</v>
      </c>
      <c r="C4551" s="25" t="s">
        <v>2</v>
      </c>
      <c r="D4551" s="51">
        <v>23881</v>
      </c>
    </row>
    <row r="4552" spans="1:4" x14ac:dyDescent="0.2">
      <c r="A4552" s="24">
        <v>45047</v>
      </c>
      <c r="B4552" s="25" t="s">
        <v>122</v>
      </c>
      <c r="C4552" s="25" t="s">
        <v>2</v>
      </c>
      <c r="D4552" s="51">
        <v>1169300</v>
      </c>
    </row>
    <row r="4553" spans="1:4" x14ac:dyDescent="0.2">
      <c r="A4553" s="24">
        <v>45047</v>
      </c>
      <c r="B4553" s="25" t="s">
        <v>123</v>
      </c>
      <c r="C4553" s="25" t="s">
        <v>2</v>
      </c>
      <c r="D4553" s="51">
        <v>2363546</v>
      </c>
    </row>
    <row r="4554" spans="1:4" x14ac:dyDescent="0.2">
      <c r="A4554" s="24">
        <v>45047</v>
      </c>
      <c r="B4554" s="25" t="s">
        <v>129</v>
      </c>
      <c r="C4554" s="25" t="s">
        <v>2</v>
      </c>
      <c r="D4554" s="51">
        <v>95421</v>
      </c>
    </row>
    <row r="4555" spans="1:4" x14ac:dyDescent="0.2">
      <c r="A4555" s="24">
        <v>45047</v>
      </c>
      <c r="B4555" s="25" t="s">
        <v>130</v>
      </c>
      <c r="C4555" s="25" t="s">
        <v>2</v>
      </c>
      <c r="D4555" s="51">
        <v>38794</v>
      </c>
    </row>
    <row r="4556" spans="1:4" x14ac:dyDescent="0.2">
      <c r="A4556" s="24">
        <v>45078</v>
      </c>
      <c r="B4556" s="25" t="s">
        <v>117</v>
      </c>
      <c r="C4556" s="25" t="s">
        <v>4</v>
      </c>
      <c r="D4556" s="51">
        <v>6737620</v>
      </c>
    </row>
    <row r="4557" spans="1:4" x14ac:dyDescent="0.2">
      <c r="A4557" s="24">
        <v>45078</v>
      </c>
      <c r="B4557" s="25" t="s">
        <v>131</v>
      </c>
      <c r="C4557" s="25" t="s">
        <v>4</v>
      </c>
      <c r="D4557" s="51">
        <v>122</v>
      </c>
    </row>
    <row r="4558" spans="1:4" x14ac:dyDescent="0.2">
      <c r="A4558" s="24">
        <v>45078</v>
      </c>
      <c r="B4558" s="25" t="s">
        <v>132</v>
      </c>
      <c r="C4558" s="25" t="s">
        <v>4</v>
      </c>
      <c r="D4558" s="51">
        <v>36</v>
      </c>
    </row>
    <row r="4559" spans="1:4" x14ac:dyDescent="0.2">
      <c r="A4559" s="24">
        <v>45078</v>
      </c>
      <c r="B4559" s="25" t="s">
        <v>133</v>
      </c>
      <c r="C4559" s="25" t="s">
        <v>4</v>
      </c>
      <c r="D4559" s="51">
        <v>20</v>
      </c>
    </row>
    <row r="4560" spans="1:4" x14ac:dyDescent="0.2">
      <c r="A4560" s="24">
        <v>45078</v>
      </c>
      <c r="B4560" s="25" t="s">
        <v>137</v>
      </c>
      <c r="C4560" s="25" t="s">
        <v>4</v>
      </c>
      <c r="D4560" s="51">
        <v>5807866</v>
      </c>
    </row>
    <row r="4561" spans="1:4" x14ac:dyDescent="0.2">
      <c r="A4561" s="24">
        <v>45078</v>
      </c>
      <c r="B4561" s="25" t="s">
        <v>118</v>
      </c>
      <c r="C4561" s="25" t="s">
        <v>4</v>
      </c>
      <c r="D4561" s="51">
        <v>631376</v>
      </c>
    </row>
    <row r="4562" spans="1:4" x14ac:dyDescent="0.2">
      <c r="A4562" s="24">
        <v>45078</v>
      </c>
      <c r="B4562" s="25" t="s">
        <v>134</v>
      </c>
      <c r="C4562" s="25" t="s">
        <v>4</v>
      </c>
      <c r="D4562" s="51">
        <v>2</v>
      </c>
    </row>
    <row r="4563" spans="1:4" x14ac:dyDescent="0.2">
      <c r="A4563" s="24">
        <v>45078</v>
      </c>
      <c r="B4563" s="25" t="s">
        <v>135</v>
      </c>
      <c r="C4563" s="25" t="s">
        <v>4</v>
      </c>
      <c r="D4563" s="51">
        <v>2</v>
      </c>
    </row>
    <row r="4564" spans="1:4" x14ac:dyDescent="0.2">
      <c r="A4564" s="24">
        <v>45078</v>
      </c>
      <c r="B4564" s="25" t="s">
        <v>136</v>
      </c>
      <c r="C4564" s="25" t="s">
        <v>4</v>
      </c>
      <c r="D4564" s="51">
        <v>2</v>
      </c>
    </row>
    <row r="4565" spans="1:4" x14ac:dyDescent="0.2">
      <c r="A4565" s="24">
        <v>45078</v>
      </c>
      <c r="B4565" s="25" t="s">
        <v>119</v>
      </c>
      <c r="C4565" s="25" t="s">
        <v>4</v>
      </c>
      <c r="D4565" s="51">
        <v>738771</v>
      </c>
    </row>
    <row r="4566" spans="1:4" x14ac:dyDescent="0.2">
      <c r="A4566" s="24">
        <v>45078</v>
      </c>
      <c r="B4566" s="25" t="s">
        <v>138</v>
      </c>
      <c r="C4566" s="25" t="s">
        <v>4</v>
      </c>
      <c r="D4566" s="51">
        <v>32</v>
      </c>
    </row>
    <row r="4567" spans="1:4" x14ac:dyDescent="0.2">
      <c r="A4567" s="24">
        <v>45078</v>
      </c>
      <c r="B4567" s="25" t="s">
        <v>139</v>
      </c>
      <c r="C4567" s="25" t="s">
        <v>4</v>
      </c>
      <c r="D4567" s="51">
        <v>795</v>
      </c>
    </row>
    <row r="4568" spans="1:4" x14ac:dyDescent="0.2">
      <c r="A4568" s="24">
        <v>45078</v>
      </c>
      <c r="B4568" s="25" t="s">
        <v>120</v>
      </c>
      <c r="C4568" s="25" t="s">
        <v>4</v>
      </c>
      <c r="D4568" s="51">
        <v>59092</v>
      </c>
    </row>
    <row r="4569" spans="1:4" x14ac:dyDescent="0.2">
      <c r="A4569" s="24">
        <v>45078</v>
      </c>
      <c r="B4569" s="25" t="s">
        <v>121</v>
      </c>
      <c r="C4569" s="25" t="s">
        <v>4</v>
      </c>
      <c r="D4569" s="51">
        <v>28632</v>
      </c>
    </row>
    <row r="4570" spans="1:4" x14ac:dyDescent="0.2">
      <c r="A4570" s="24">
        <v>45078</v>
      </c>
      <c r="B4570" s="25" t="s">
        <v>140</v>
      </c>
      <c r="C4570" s="25" t="s">
        <v>4</v>
      </c>
      <c r="D4570" s="51">
        <v>21708</v>
      </c>
    </row>
    <row r="4571" spans="1:4" x14ac:dyDescent="0.2">
      <c r="A4571" s="24">
        <v>45078</v>
      </c>
      <c r="B4571" s="25" t="s">
        <v>122</v>
      </c>
      <c r="C4571" s="25" t="s">
        <v>4</v>
      </c>
      <c r="D4571" s="51">
        <v>1438756</v>
      </c>
    </row>
    <row r="4572" spans="1:4" x14ac:dyDescent="0.2">
      <c r="A4572" s="24">
        <v>45078</v>
      </c>
      <c r="B4572" s="25" t="s">
        <v>123</v>
      </c>
      <c r="C4572" s="25" t="s">
        <v>4</v>
      </c>
      <c r="D4572" s="51">
        <v>3121090</v>
      </c>
    </row>
    <row r="4573" spans="1:4" x14ac:dyDescent="0.2">
      <c r="A4573" s="24">
        <v>45078</v>
      </c>
      <c r="B4573" s="25" t="s">
        <v>117</v>
      </c>
      <c r="C4573" s="25" t="s">
        <v>8</v>
      </c>
      <c r="D4573" s="51">
        <v>368793</v>
      </c>
    </row>
    <row r="4574" spans="1:4" x14ac:dyDescent="0.2">
      <c r="A4574" s="24">
        <v>45078</v>
      </c>
      <c r="B4574" s="25" t="s">
        <v>137</v>
      </c>
      <c r="C4574" s="25" t="s">
        <v>8</v>
      </c>
      <c r="D4574" s="51">
        <v>525745</v>
      </c>
    </row>
    <row r="4575" spans="1:4" x14ac:dyDescent="0.2">
      <c r="A4575" s="24">
        <v>45078</v>
      </c>
      <c r="B4575" s="25" t="s">
        <v>118</v>
      </c>
      <c r="C4575" s="25" t="s">
        <v>8</v>
      </c>
      <c r="D4575" s="51">
        <v>81197</v>
      </c>
    </row>
    <row r="4576" spans="1:4" x14ac:dyDescent="0.2">
      <c r="A4576" s="24">
        <v>45078</v>
      </c>
      <c r="B4576" s="25" t="s">
        <v>119</v>
      </c>
      <c r="C4576" s="25" t="s">
        <v>8</v>
      </c>
      <c r="D4576" s="51">
        <v>17989</v>
      </c>
    </row>
    <row r="4577" spans="1:4" x14ac:dyDescent="0.2">
      <c r="A4577" s="24">
        <v>45078</v>
      </c>
      <c r="B4577" s="25" t="s">
        <v>138</v>
      </c>
      <c r="C4577" s="25" t="s">
        <v>8</v>
      </c>
      <c r="D4577" s="51">
        <v>180</v>
      </c>
    </row>
    <row r="4578" spans="1:4" x14ac:dyDescent="0.2">
      <c r="A4578" s="24">
        <v>45078</v>
      </c>
      <c r="B4578" s="25" t="s">
        <v>139</v>
      </c>
      <c r="C4578" s="25" t="s">
        <v>8</v>
      </c>
      <c r="D4578" s="51">
        <v>25</v>
      </c>
    </row>
    <row r="4579" spans="1:4" x14ac:dyDescent="0.2">
      <c r="A4579" s="24">
        <v>45078</v>
      </c>
      <c r="B4579" s="25" t="s">
        <v>120</v>
      </c>
      <c r="C4579" s="25" t="s">
        <v>8</v>
      </c>
      <c r="D4579" s="51">
        <v>4629</v>
      </c>
    </row>
    <row r="4580" spans="1:4" x14ac:dyDescent="0.2">
      <c r="A4580" s="24">
        <v>45078</v>
      </c>
      <c r="B4580" s="25" t="s">
        <v>121</v>
      </c>
      <c r="C4580" s="25" t="s">
        <v>8</v>
      </c>
      <c r="D4580" s="51">
        <v>1959</v>
      </c>
    </row>
    <row r="4581" spans="1:4" x14ac:dyDescent="0.2">
      <c r="A4581" s="24">
        <v>45078</v>
      </c>
      <c r="B4581" s="25" t="s">
        <v>122</v>
      </c>
      <c r="C4581" s="25" t="s">
        <v>8</v>
      </c>
      <c r="D4581" s="51">
        <v>9444</v>
      </c>
    </row>
    <row r="4582" spans="1:4" x14ac:dyDescent="0.2">
      <c r="A4582" s="24">
        <v>45078</v>
      </c>
      <c r="B4582" s="25" t="s">
        <v>123</v>
      </c>
      <c r="C4582" s="25" t="s">
        <v>8</v>
      </c>
      <c r="D4582" s="51">
        <v>187557</v>
      </c>
    </row>
    <row r="4583" spans="1:4" x14ac:dyDescent="0.2">
      <c r="A4583" s="24">
        <v>45078</v>
      </c>
      <c r="B4583" s="25" t="s">
        <v>124</v>
      </c>
      <c r="C4583" s="25" t="s">
        <v>8</v>
      </c>
      <c r="D4583" s="51">
        <v>25841</v>
      </c>
    </row>
    <row r="4584" spans="1:4" x14ac:dyDescent="0.2">
      <c r="A4584" s="24">
        <v>45078</v>
      </c>
      <c r="B4584" s="25" t="s">
        <v>125</v>
      </c>
      <c r="C4584" s="25" t="s">
        <v>8</v>
      </c>
      <c r="D4584" s="51">
        <v>15060</v>
      </c>
    </row>
    <row r="4585" spans="1:4" x14ac:dyDescent="0.2">
      <c r="A4585" s="24">
        <v>45078</v>
      </c>
      <c r="B4585" s="25" t="s">
        <v>117</v>
      </c>
      <c r="C4585" s="25" t="s">
        <v>26</v>
      </c>
      <c r="D4585" s="51">
        <v>1215247</v>
      </c>
    </row>
    <row r="4586" spans="1:4" x14ac:dyDescent="0.2">
      <c r="A4586" s="24">
        <v>45078</v>
      </c>
      <c r="B4586" s="25" t="s">
        <v>137</v>
      </c>
      <c r="C4586" s="25" t="s">
        <v>26</v>
      </c>
      <c r="D4586" s="51">
        <v>1192649</v>
      </c>
    </row>
    <row r="4587" spans="1:4" x14ac:dyDescent="0.2">
      <c r="A4587" s="24">
        <v>45078</v>
      </c>
      <c r="B4587" s="25" t="s">
        <v>118</v>
      </c>
      <c r="C4587" s="25" t="s">
        <v>26</v>
      </c>
      <c r="D4587" s="51">
        <v>98239</v>
      </c>
    </row>
    <row r="4588" spans="1:4" x14ac:dyDescent="0.2">
      <c r="A4588" s="24">
        <v>45078</v>
      </c>
      <c r="B4588" s="25" t="s">
        <v>119</v>
      </c>
      <c r="C4588" s="25" t="s">
        <v>26</v>
      </c>
      <c r="D4588" s="51">
        <v>290288</v>
      </c>
    </row>
    <row r="4589" spans="1:4" x14ac:dyDescent="0.2">
      <c r="A4589" s="24">
        <v>45078</v>
      </c>
      <c r="B4589" s="25" t="s">
        <v>139</v>
      </c>
      <c r="C4589" s="25" t="s">
        <v>26</v>
      </c>
      <c r="D4589" s="51">
        <v>54</v>
      </c>
    </row>
    <row r="4590" spans="1:4" x14ac:dyDescent="0.2">
      <c r="A4590" s="24">
        <v>45078</v>
      </c>
      <c r="B4590" s="25" t="s">
        <v>120</v>
      </c>
      <c r="C4590" s="25" t="s">
        <v>26</v>
      </c>
      <c r="D4590" s="51">
        <v>9010</v>
      </c>
    </row>
    <row r="4591" spans="1:4" x14ac:dyDescent="0.2">
      <c r="A4591" s="24">
        <v>45078</v>
      </c>
      <c r="B4591" s="25" t="s">
        <v>121</v>
      </c>
      <c r="C4591" s="25" t="s">
        <v>26</v>
      </c>
      <c r="D4591" s="51">
        <v>3044</v>
      </c>
    </row>
    <row r="4592" spans="1:4" x14ac:dyDescent="0.2">
      <c r="A4592" s="24">
        <v>45078</v>
      </c>
      <c r="B4592" s="25" t="s">
        <v>122</v>
      </c>
      <c r="C4592" s="25" t="s">
        <v>26</v>
      </c>
      <c r="D4592" s="51">
        <v>36701</v>
      </c>
    </row>
    <row r="4593" spans="1:4" x14ac:dyDescent="0.2">
      <c r="A4593" s="24">
        <v>45078</v>
      </c>
      <c r="B4593" s="25" t="s">
        <v>123</v>
      </c>
      <c r="C4593" s="25" t="s">
        <v>26</v>
      </c>
      <c r="D4593" s="51">
        <v>378319</v>
      </c>
    </row>
    <row r="4594" spans="1:4" x14ac:dyDescent="0.2">
      <c r="A4594" s="24">
        <v>45078</v>
      </c>
      <c r="B4594" s="25" t="s">
        <v>127</v>
      </c>
      <c r="C4594" s="25" t="s">
        <v>26</v>
      </c>
      <c r="D4594" s="51">
        <v>3976</v>
      </c>
    </row>
    <row r="4595" spans="1:4" x14ac:dyDescent="0.2">
      <c r="A4595" s="24">
        <v>45078</v>
      </c>
      <c r="B4595" s="25" t="s">
        <v>128</v>
      </c>
      <c r="C4595" s="25" t="s">
        <v>26</v>
      </c>
      <c r="D4595" s="51">
        <v>2101</v>
      </c>
    </row>
    <row r="4596" spans="1:4" x14ac:dyDescent="0.2">
      <c r="A4596" s="24">
        <v>45078</v>
      </c>
      <c r="B4596" s="25" t="s">
        <v>117</v>
      </c>
      <c r="C4596" s="25" t="s">
        <v>142</v>
      </c>
      <c r="D4596" s="51">
        <v>804348</v>
      </c>
    </row>
    <row r="4597" spans="1:4" x14ac:dyDescent="0.2">
      <c r="A4597" s="24">
        <v>45078</v>
      </c>
      <c r="B4597" s="25" t="s">
        <v>137</v>
      </c>
      <c r="C4597" s="25" t="s">
        <v>142</v>
      </c>
      <c r="D4597" s="51">
        <v>561048</v>
      </c>
    </row>
    <row r="4598" spans="1:4" x14ac:dyDescent="0.2">
      <c r="A4598" s="24">
        <v>45078</v>
      </c>
      <c r="B4598" s="25" t="s">
        <v>118</v>
      </c>
      <c r="C4598" s="25" t="s">
        <v>142</v>
      </c>
      <c r="D4598" s="51">
        <v>97142</v>
      </c>
    </row>
    <row r="4599" spans="1:4" x14ac:dyDescent="0.2">
      <c r="A4599" s="24">
        <v>45078</v>
      </c>
      <c r="B4599" s="25" t="s">
        <v>119</v>
      </c>
      <c r="C4599" s="25" t="s">
        <v>142</v>
      </c>
      <c r="D4599" s="51">
        <v>127955</v>
      </c>
    </row>
    <row r="4600" spans="1:4" x14ac:dyDescent="0.2">
      <c r="A4600" s="24">
        <v>45078</v>
      </c>
      <c r="B4600" s="25" t="s">
        <v>139</v>
      </c>
      <c r="C4600" s="25" t="s">
        <v>142</v>
      </c>
      <c r="D4600" s="51">
        <v>12</v>
      </c>
    </row>
    <row r="4601" spans="1:4" x14ac:dyDescent="0.2">
      <c r="A4601" s="24">
        <v>45078</v>
      </c>
      <c r="B4601" s="25" t="s">
        <v>120</v>
      </c>
      <c r="C4601" s="25" t="s">
        <v>142</v>
      </c>
      <c r="D4601" s="51">
        <v>10409</v>
      </c>
    </row>
    <row r="4602" spans="1:4" x14ac:dyDescent="0.2">
      <c r="A4602" s="24">
        <v>45078</v>
      </c>
      <c r="B4602" s="25" t="s">
        <v>121</v>
      </c>
      <c r="C4602" s="25" t="s">
        <v>142</v>
      </c>
      <c r="D4602" s="51">
        <v>1396</v>
      </c>
    </row>
    <row r="4603" spans="1:4" x14ac:dyDescent="0.2">
      <c r="A4603" s="24">
        <v>45078</v>
      </c>
      <c r="B4603" s="25" t="s">
        <v>122</v>
      </c>
      <c r="C4603" s="25" t="s">
        <v>142</v>
      </c>
      <c r="D4603" s="51">
        <v>151260</v>
      </c>
    </row>
    <row r="4604" spans="1:4" x14ac:dyDescent="0.2">
      <c r="A4604" s="24">
        <v>45078</v>
      </c>
      <c r="B4604" s="25" t="s">
        <v>123</v>
      </c>
      <c r="C4604" s="25" t="s">
        <v>142</v>
      </c>
      <c r="D4604" s="51">
        <v>137428</v>
      </c>
    </row>
    <row r="4605" spans="1:4" x14ac:dyDescent="0.2">
      <c r="A4605" s="24">
        <v>45078</v>
      </c>
      <c r="B4605" s="25" t="s">
        <v>129</v>
      </c>
      <c r="C4605" s="25" t="s">
        <v>142</v>
      </c>
      <c r="D4605" s="51">
        <v>5053</v>
      </c>
    </row>
    <row r="4606" spans="1:4" x14ac:dyDescent="0.2">
      <c r="A4606" s="24">
        <v>45078</v>
      </c>
      <c r="B4606" s="25" t="s">
        <v>130</v>
      </c>
      <c r="C4606" s="25" t="s">
        <v>142</v>
      </c>
      <c r="D4606" s="51">
        <v>5699</v>
      </c>
    </row>
    <row r="4607" spans="1:4" x14ac:dyDescent="0.2">
      <c r="A4607" s="24">
        <v>45078</v>
      </c>
      <c r="B4607" s="25" t="s">
        <v>117</v>
      </c>
      <c r="C4607" s="25" t="s">
        <v>2</v>
      </c>
      <c r="D4607" s="51">
        <v>11125518</v>
      </c>
    </row>
    <row r="4608" spans="1:4" x14ac:dyDescent="0.2">
      <c r="A4608" s="24">
        <v>45078</v>
      </c>
      <c r="B4608" s="25" t="s">
        <v>137</v>
      </c>
      <c r="C4608" s="25" t="s">
        <v>2</v>
      </c>
      <c r="D4608" s="51">
        <v>8362292</v>
      </c>
    </row>
    <row r="4609" spans="1:4" x14ac:dyDescent="0.2">
      <c r="A4609" s="24">
        <v>45078</v>
      </c>
      <c r="B4609" s="25" t="s">
        <v>118</v>
      </c>
      <c r="C4609" s="25" t="s">
        <v>2</v>
      </c>
      <c r="D4609" s="51">
        <v>699889</v>
      </c>
    </row>
    <row r="4610" spans="1:4" x14ac:dyDescent="0.2">
      <c r="A4610" s="24">
        <v>45078</v>
      </c>
      <c r="B4610" s="25" t="s">
        <v>119</v>
      </c>
      <c r="C4610" s="25" t="s">
        <v>2</v>
      </c>
      <c r="D4610" s="51">
        <v>1035260</v>
      </c>
    </row>
    <row r="4611" spans="1:4" x14ac:dyDescent="0.2">
      <c r="A4611" s="24">
        <v>45078</v>
      </c>
      <c r="B4611" s="25" t="s">
        <v>138</v>
      </c>
      <c r="C4611" s="25" t="s">
        <v>2</v>
      </c>
      <c r="D4611" s="51">
        <v>53</v>
      </c>
    </row>
    <row r="4612" spans="1:4" x14ac:dyDescent="0.2">
      <c r="A4612" s="24">
        <v>45078</v>
      </c>
      <c r="B4612" s="25" t="s">
        <v>139</v>
      </c>
      <c r="C4612" s="25" t="s">
        <v>2</v>
      </c>
      <c r="D4612" s="51">
        <v>762</v>
      </c>
    </row>
    <row r="4613" spans="1:4" x14ac:dyDescent="0.2">
      <c r="A4613" s="24">
        <v>45078</v>
      </c>
      <c r="B4613" s="25" t="s">
        <v>120</v>
      </c>
      <c r="C4613" s="25" t="s">
        <v>2</v>
      </c>
      <c r="D4613" s="51">
        <v>232823</v>
      </c>
    </row>
    <row r="4614" spans="1:4" x14ac:dyDescent="0.2">
      <c r="A4614" s="24">
        <v>45078</v>
      </c>
      <c r="B4614" s="25" t="s">
        <v>121</v>
      </c>
      <c r="C4614" s="25" t="s">
        <v>2</v>
      </c>
      <c r="D4614" s="51">
        <v>22808</v>
      </c>
    </row>
    <row r="4615" spans="1:4" x14ac:dyDescent="0.2">
      <c r="A4615" s="24">
        <v>45078</v>
      </c>
      <c r="B4615" s="25" t="s">
        <v>122</v>
      </c>
      <c r="C4615" s="25" t="s">
        <v>2</v>
      </c>
      <c r="D4615" s="51">
        <v>989713</v>
      </c>
    </row>
    <row r="4616" spans="1:4" x14ac:dyDescent="0.2">
      <c r="A4616" s="24">
        <v>45078</v>
      </c>
      <c r="B4616" s="25" t="s">
        <v>123</v>
      </c>
      <c r="C4616" s="25" t="s">
        <v>2</v>
      </c>
      <c r="D4616" s="51">
        <v>2313958</v>
      </c>
    </row>
    <row r="4617" spans="1:4" x14ac:dyDescent="0.2">
      <c r="A4617" s="24">
        <v>45078</v>
      </c>
      <c r="B4617" s="25" t="s">
        <v>129</v>
      </c>
      <c r="C4617" s="25" t="s">
        <v>2</v>
      </c>
      <c r="D4617" s="51">
        <v>98915</v>
      </c>
    </row>
    <row r="4618" spans="1:4" x14ac:dyDescent="0.2">
      <c r="A4618" s="24">
        <v>45078</v>
      </c>
      <c r="B4618" s="25" t="s">
        <v>130</v>
      </c>
      <c r="C4618" s="25" t="s">
        <v>2</v>
      </c>
      <c r="D4618" s="51">
        <v>55583</v>
      </c>
    </row>
    <row r="4619" spans="1:4" x14ac:dyDescent="0.2">
      <c r="A4619" s="24">
        <v>45108</v>
      </c>
      <c r="B4619" s="25" t="s">
        <v>117</v>
      </c>
      <c r="C4619" s="25" t="s">
        <v>4</v>
      </c>
      <c r="D4619" s="51">
        <v>6954647</v>
      </c>
    </row>
    <row r="4620" spans="1:4" x14ac:dyDescent="0.2">
      <c r="A4620" s="24">
        <v>45108</v>
      </c>
      <c r="B4620" s="25" t="s">
        <v>131</v>
      </c>
      <c r="C4620" s="25" t="s">
        <v>4</v>
      </c>
      <c r="D4620" s="51">
        <v>167</v>
      </c>
    </row>
    <row r="4621" spans="1:4" x14ac:dyDescent="0.2">
      <c r="A4621" s="24">
        <v>45108</v>
      </c>
      <c r="B4621" s="25" t="s">
        <v>132</v>
      </c>
      <c r="C4621" s="25" t="s">
        <v>4</v>
      </c>
      <c r="D4621" s="51">
        <v>58</v>
      </c>
    </row>
    <row r="4622" spans="1:4" x14ac:dyDescent="0.2">
      <c r="A4622" s="24">
        <v>45108</v>
      </c>
      <c r="B4622" s="25" t="s">
        <v>133</v>
      </c>
      <c r="C4622" s="25" t="s">
        <v>4</v>
      </c>
      <c r="D4622" s="51">
        <v>31</v>
      </c>
    </row>
    <row r="4623" spans="1:4" x14ac:dyDescent="0.2">
      <c r="A4623" s="24">
        <v>45108</v>
      </c>
      <c r="B4623" s="25" t="s">
        <v>137</v>
      </c>
      <c r="C4623" s="25" t="s">
        <v>4</v>
      </c>
      <c r="D4623" s="51">
        <v>5933683</v>
      </c>
    </row>
    <row r="4624" spans="1:4" x14ac:dyDescent="0.2">
      <c r="A4624" s="24">
        <v>45108</v>
      </c>
      <c r="B4624" s="25" t="s">
        <v>118</v>
      </c>
      <c r="C4624" s="25" t="s">
        <v>4</v>
      </c>
      <c r="D4624" s="51">
        <v>862457</v>
      </c>
    </row>
    <row r="4625" spans="1:4" x14ac:dyDescent="0.2">
      <c r="A4625" s="24">
        <v>45108</v>
      </c>
      <c r="B4625" s="25" t="s">
        <v>134</v>
      </c>
      <c r="C4625" s="25" t="s">
        <v>4</v>
      </c>
      <c r="D4625" s="51">
        <v>2</v>
      </c>
    </row>
    <row r="4626" spans="1:4" x14ac:dyDescent="0.2">
      <c r="A4626" s="24">
        <v>45108</v>
      </c>
      <c r="B4626" s="25" t="s">
        <v>135</v>
      </c>
      <c r="C4626" s="25" t="s">
        <v>4</v>
      </c>
      <c r="D4626" s="51">
        <v>2</v>
      </c>
    </row>
    <row r="4627" spans="1:4" x14ac:dyDescent="0.2">
      <c r="A4627" s="24">
        <v>45108</v>
      </c>
      <c r="B4627" s="25" t="s">
        <v>119</v>
      </c>
      <c r="C4627" s="25" t="s">
        <v>4</v>
      </c>
      <c r="D4627" s="51">
        <v>704268</v>
      </c>
    </row>
    <row r="4628" spans="1:4" x14ac:dyDescent="0.2">
      <c r="A4628" s="24">
        <v>45108</v>
      </c>
      <c r="B4628" s="25" t="s">
        <v>138</v>
      </c>
      <c r="C4628" s="25" t="s">
        <v>4</v>
      </c>
      <c r="D4628" s="51">
        <v>75</v>
      </c>
    </row>
    <row r="4629" spans="1:4" x14ac:dyDescent="0.2">
      <c r="A4629" s="24">
        <v>45108</v>
      </c>
      <c r="B4629" s="25" t="s">
        <v>139</v>
      </c>
      <c r="C4629" s="25" t="s">
        <v>4</v>
      </c>
      <c r="D4629" s="51">
        <v>897</v>
      </c>
    </row>
    <row r="4630" spans="1:4" x14ac:dyDescent="0.2">
      <c r="A4630" s="24">
        <v>45108</v>
      </c>
      <c r="B4630" s="25" t="s">
        <v>120</v>
      </c>
      <c r="C4630" s="25" t="s">
        <v>4</v>
      </c>
      <c r="D4630" s="51">
        <v>55711</v>
      </c>
    </row>
    <row r="4631" spans="1:4" x14ac:dyDescent="0.2">
      <c r="A4631" s="24">
        <v>45108</v>
      </c>
      <c r="B4631" s="25" t="s">
        <v>121</v>
      </c>
      <c r="C4631" s="25" t="s">
        <v>4</v>
      </c>
      <c r="D4631" s="51">
        <v>28817</v>
      </c>
    </row>
    <row r="4632" spans="1:4" x14ac:dyDescent="0.2">
      <c r="A4632" s="24">
        <v>45108</v>
      </c>
      <c r="B4632" s="25" t="s">
        <v>140</v>
      </c>
      <c r="C4632" s="25" t="s">
        <v>4</v>
      </c>
      <c r="D4632" s="51">
        <v>22410</v>
      </c>
    </row>
    <row r="4633" spans="1:4" x14ac:dyDescent="0.2">
      <c r="A4633" s="24">
        <v>45108</v>
      </c>
      <c r="B4633" s="25" t="s">
        <v>122</v>
      </c>
      <c r="C4633" s="25" t="s">
        <v>4</v>
      </c>
      <c r="D4633" s="51">
        <v>732360</v>
      </c>
    </row>
    <row r="4634" spans="1:4" x14ac:dyDescent="0.2">
      <c r="A4634" s="24">
        <v>45108</v>
      </c>
      <c r="B4634" s="25" t="s">
        <v>123</v>
      </c>
      <c r="C4634" s="25" t="s">
        <v>4</v>
      </c>
      <c r="D4634" s="51">
        <v>3144619</v>
      </c>
    </row>
    <row r="4635" spans="1:4" x14ac:dyDescent="0.2">
      <c r="A4635" s="24">
        <v>45108</v>
      </c>
      <c r="B4635" s="25" t="s">
        <v>117</v>
      </c>
      <c r="C4635" s="25" t="s">
        <v>8</v>
      </c>
      <c r="D4635" s="51">
        <v>377456</v>
      </c>
    </row>
    <row r="4636" spans="1:4" x14ac:dyDescent="0.2">
      <c r="A4636" s="24">
        <v>45108</v>
      </c>
      <c r="B4636" s="25" t="s">
        <v>137</v>
      </c>
      <c r="C4636" s="25" t="s">
        <v>8</v>
      </c>
      <c r="D4636" s="51">
        <v>507179</v>
      </c>
    </row>
    <row r="4637" spans="1:4" x14ac:dyDescent="0.2">
      <c r="A4637" s="24">
        <v>45108</v>
      </c>
      <c r="B4637" s="25" t="s">
        <v>118</v>
      </c>
      <c r="C4637" s="25" t="s">
        <v>8</v>
      </c>
      <c r="D4637" s="51">
        <v>115924</v>
      </c>
    </row>
    <row r="4638" spans="1:4" x14ac:dyDescent="0.2">
      <c r="A4638" s="24">
        <v>45108</v>
      </c>
      <c r="B4638" s="25" t="s">
        <v>119</v>
      </c>
      <c r="C4638" s="25" t="s">
        <v>8</v>
      </c>
      <c r="D4638" s="51">
        <v>16318</v>
      </c>
    </row>
    <row r="4639" spans="1:4" x14ac:dyDescent="0.2">
      <c r="A4639" s="24">
        <v>45108</v>
      </c>
      <c r="B4639" s="25" t="s">
        <v>139</v>
      </c>
      <c r="C4639" s="25" t="s">
        <v>8</v>
      </c>
      <c r="D4639" s="51">
        <v>14</v>
      </c>
    </row>
    <row r="4640" spans="1:4" x14ac:dyDescent="0.2">
      <c r="A4640" s="24">
        <v>45108</v>
      </c>
      <c r="B4640" s="25" t="s">
        <v>120</v>
      </c>
      <c r="C4640" s="25" t="s">
        <v>8</v>
      </c>
      <c r="D4640" s="51">
        <v>4069</v>
      </c>
    </row>
    <row r="4641" spans="1:4" x14ac:dyDescent="0.2">
      <c r="A4641" s="24">
        <v>45108</v>
      </c>
      <c r="B4641" s="25" t="s">
        <v>121</v>
      </c>
      <c r="C4641" s="25" t="s">
        <v>8</v>
      </c>
      <c r="D4641" s="51">
        <v>1813</v>
      </c>
    </row>
    <row r="4642" spans="1:4" x14ac:dyDescent="0.2">
      <c r="A4642" s="24">
        <v>45108</v>
      </c>
      <c r="B4642" s="25" t="s">
        <v>122</v>
      </c>
      <c r="C4642" s="25" t="s">
        <v>8</v>
      </c>
      <c r="D4642" s="51">
        <v>4909</v>
      </c>
    </row>
    <row r="4643" spans="1:4" x14ac:dyDescent="0.2">
      <c r="A4643" s="24">
        <v>45108</v>
      </c>
      <c r="B4643" s="25" t="s">
        <v>123</v>
      </c>
      <c r="C4643" s="25" t="s">
        <v>8</v>
      </c>
      <c r="D4643" s="51">
        <v>177909</v>
      </c>
    </row>
    <row r="4644" spans="1:4" x14ac:dyDescent="0.2">
      <c r="A4644" s="24">
        <v>45108</v>
      </c>
      <c r="B4644" s="25" t="s">
        <v>124</v>
      </c>
      <c r="C4644" s="25" t="s">
        <v>8</v>
      </c>
      <c r="D4644" s="51">
        <v>33586</v>
      </c>
    </row>
    <row r="4645" spans="1:4" x14ac:dyDescent="0.2">
      <c r="A4645" s="24">
        <v>45108</v>
      </c>
      <c r="B4645" s="25" t="s">
        <v>125</v>
      </c>
      <c r="C4645" s="25" t="s">
        <v>8</v>
      </c>
      <c r="D4645" s="51">
        <v>23753</v>
      </c>
    </row>
    <row r="4646" spans="1:4" x14ac:dyDescent="0.2">
      <c r="A4646" s="24">
        <v>45108</v>
      </c>
      <c r="B4646" s="25" t="s">
        <v>117</v>
      </c>
      <c r="C4646" s="25" t="s">
        <v>26</v>
      </c>
      <c r="D4646" s="51">
        <v>1149868</v>
      </c>
    </row>
    <row r="4647" spans="1:4" x14ac:dyDescent="0.2">
      <c r="A4647" s="24">
        <v>45108</v>
      </c>
      <c r="B4647" s="25" t="s">
        <v>137</v>
      </c>
      <c r="C4647" s="25" t="s">
        <v>26</v>
      </c>
      <c r="D4647" s="51">
        <v>1104264</v>
      </c>
    </row>
    <row r="4648" spans="1:4" x14ac:dyDescent="0.2">
      <c r="A4648" s="24">
        <v>45108</v>
      </c>
      <c r="B4648" s="25" t="s">
        <v>118</v>
      </c>
      <c r="C4648" s="25" t="s">
        <v>26</v>
      </c>
      <c r="D4648" s="51">
        <v>134564</v>
      </c>
    </row>
    <row r="4649" spans="1:4" x14ac:dyDescent="0.2">
      <c r="A4649" s="24">
        <v>45108</v>
      </c>
      <c r="B4649" s="25" t="s">
        <v>119</v>
      </c>
      <c r="C4649" s="25" t="s">
        <v>26</v>
      </c>
      <c r="D4649" s="51">
        <v>235995</v>
      </c>
    </row>
    <row r="4650" spans="1:4" x14ac:dyDescent="0.2">
      <c r="A4650" s="24">
        <v>45108</v>
      </c>
      <c r="B4650" s="25" t="s">
        <v>138</v>
      </c>
      <c r="C4650" s="25" t="s">
        <v>26</v>
      </c>
      <c r="D4650" s="51">
        <v>3</v>
      </c>
    </row>
    <row r="4651" spans="1:4" x14ac:dyDescent="0.2">
      <c r="A4651" s="24">
        <v>45108</v>
      </c>
      <c r="B4651" s="25" t="s">
        <v>139</v>
      </c>
      <c r="C4651" s="25" t="s">
        <v>26</v>
      </c>
      <c r="D4651" s="51">
        <v>54</v>
      </c>
    </row>
    <row r="4652" spans="1:4" x14ac:dyDescent="0.2">
      <c r="A4652" s="24">
        <v>45108</v>
      </c>
      <c r="B4652" s="25" t="s">
        <v>120</v>
      </c>
      <c r="C4652" s="25" t="s">
        <v>26</v>
      </c>
      <c r="D4652" s="51">
        <v>7572</v>
      </c>
    </row>
    <row r="4653" spans="1:4" x14ac:dyDescent="0.2">
      <c r="A4653" s="24">
        <v>45108</v>
      </c>
      <c r="B4653" s="25" t="s">
        <v>121</v>
      </c>
      <c r="C4653" s="25" t="s">
        <v>26</v>
      </c>
      <c r="D4653" s="51">
        <v>2689</v>
      </c>
    </row>
    <row r="4654" spans="1:4" x14ac:dyDescent="0.2">
      <c r="A4654" s="24">
        <v>45108</v>
      </c>
      <c r="B4654" s="25" t="s">
        <v>122</v>
      </c>
      <c r="C4654" s="25" t="s">
        <v>26</v>
      </c>
      <c r="D4654" s="51">
        <v>18370</v>
      </c>
    </row>
    <row r="4655" spans="1:4" x14ac:dyDescent="0.2">
      <c r="A4655" s="24">
        <v>45108</v>
      </c>
      <c r="B4655" s="25" t="s">
        <v>123</v>
      </c>
      <c r="C4655" s="25" t="s">
        <v>26</v>
      </c>
      <c r="D4655" s="51">
        <v>343471</v>
      </c>
    </row>
    <row r="4656" spans="1:4" x14ac:dyDescent="0.2">
      <c r="A4656" s="24">
        <v>45108</v>
      </c>
      <c r="B4656" s="25" t="s">
        <v>127</v>
      </c>
      <c r="C4656" s="25" t="s">
        <v>26</v>
      </c>
      <c r="D4656" s="51">
        <v>4842</v>
      </c>
    </row>
    <row r="4657" spans="1:4" x14ac:dyDescent="0.2">
      <c r="A4657" s="24">
        <v>45108</v>
      </c>
      <c r="B4657" s="25" t="s">
        <v>128</v>
      </c>
      <c r="C4657" s="25" t="s">
        <v>26</v>
      </c>
      <c r="D4657" s="51">
        <v>3125</v>
      </c>
    </row>
    <row r="4658" spans="1:4" x14ac:dyDescent="0.2">
      <c r="A4658" s="24">
        <v>45108</v>
      </c>
      <c r="B4658" s="25" t="s">
        <v>117</v>
      </c>
      <c r="C4658" s="25" t="s">
        <v>142</v>
      </c>
      <c r="D4658" s="51">
        <v>825582</v>
      </c>
    </row>
    <row r="4659" spans="1:4" x14ac:dyDescent="0.2">
      <c r="A4659" s="24">
        <v>45108</v>
      </c>
      <c r="B4659" s="25" t="s">
        <v>137</v>
      </c>
      <c r="C4659" s="25" t="s">
        <v>142</v>
      </c>
      <c r="D4659" s="51">
        <v>569571</v>
      </c>
    </row>
    <row r="4660" spans="1:4" x14ac:dyDescent="0.2">
      <c r="A4660" s="24">
        <v>45108</v>
      </c>
      <c r="B4660" s="25" t="s">
        <v>118</v>
      </c>
      <c r="C4660" s="25" t="s">
        <v>142</v>
      </c>
      <c r="D4660" s="51">
        <v>149843</v>
      </c>
    </row>
    <row r="4661" spans="1:4" x14ac:dyDescent="0.2">
      <c r="A4661" s="24">
        <v>45108</v>
      </c>
      <c r="B4661" s="25" t="s">
        <v>119</v>
      </c>
      <c r="C4661" s="25" t="s">
        <v>142</v>
      </c>
      <c r="D4661" s="51">
        <v>124525</v>
      </c>
    </row>
    <row r="4662" spans="1:4" x14ac:dyDescent="0.2">
      <c r="A4662" s="24">
        <v>45108</v>
      </c>
      <c r="B4662" s="25" t="s">
        <v>139</v>
      </c>
      <c r="C4662" s="25" t="s">
        <v>142</v>
      </c>
      <c r="D4662" s="51">
        <v>5</v>
      </c>
    </row>
    <row r="4663" spans="1:4" x14ac:dyDescent="0.2">
      <c r="A4663" s="24">
        <v>45108</v>
      </c>
      <c r="B4663" s="25" t="s">
        <v>120</v>
      </c>
      <c r="C4663" s="25" t="s">
        <v>142</v>
      </c>
      <c r="D4663" s="51">
        <v>9371</v>
      </c>
    </row>
    <row r="4664" spans="1:4" x14ac:dyDescent="0.2">
      <c r="A4664" s="24">
        <v>45108</v>
      </c>
      <c r="B4664" s="25" t="s">
        <v>121</v>
      </c>
      <c r="C4664" s="25" t="s">
        <v>142</v>
      </c>
      <c r="D4664" s="51">
        <v>1427</v>
      </c>
    </row>
    <row r="4665" spans="1:4" x14ac:dyDescent="0.2">
      <c r="A4665" s="24">
        <v>45108</v>
      </c>
      <c r="B4665" s="25" t="s">
        <v>122</v>
      </c>
      <c r="C4665" s="25" t="s">
        <v>142</v>
      </c>
      <c r="D4665" s="51">
        <v>78880</v>
      </c>
    </row>
    <row r="4666" spans="1:4" x14ac:dyDescent="0.2">
      <c r="A4666" s="24">
        <v>45108</v>
      </c>
      <c r="B4666" s="25" t="s">
        <v>123</v>
      </c>
      <c r="C4666" s="25" t="s">
        <v>142</v>
      </c>
      <c r="D4666" s="51">
        <v>143432</v>
      </c>
    </row>
    <row r="4667" spans="1:4" x14ac:dyDescent="0.2">
      <c r="A4667" s="24">
        <v>45108</v>
      </c>
      <c r="B4667" s="25" t="s">
        <v>129</v>
      </c>
      <c r="C4667" s="25" t="s">
        <v>142</v>
      </c>
      <c r="D4667" s="51">
        <v>5401</v>
      </c>
    </row>
    <row r="4668" spans="1:4" x14ac:dyDescent="0.2">
      <c r="A4668" s="24">
        <v>45108</v>
      </c>
      <c r="B4668" s="25" t="s">
        <v>130</v>
      </c>
      <c r="C4668" s="25" t="s">
        <v>142</v>
      </c>
      <c r="D4668" s="51">
        <v>7864</v>
      </c>
    </row>
    <row r="4669" spans="1:4" x14ac:dyDescent="0.2">
      <c r="A4669" s="24">
        <v>45108</v>
      </c>
      <c r="B4669" s="25" t="s">
        <v>117</v>
      </c>
      <c r="C4669" s="25" t="s">
        <v>2</v>
      </c>
      <c r="D4669" s="51">
        <v>11122119</v>
      </c>
    </row>
    <row r="4670" spans="1:4" x14ac:dyDescent="0.2">
      <c r="A4670" s="24">
        <v>45108</v>
      </c>
      <c r="B4670" s="25" t="s">
        <v>137</v>
      </c>
      <c r="C4670" s="25" t="s">
        <v>2</v>
      </c>
      <c r="D4670" s="51">
        <v>8136606</v>
      </c>
    </row>
    <row r="4671" spans="1:4" x14ac:dyDescent="0.2">
      <c r="A4671" s="24">
        <v>45108</v>
      </c>
      <c r="B4671" s="25" t="s">
        <v>118</v>
      </c>
      <c r="C4671" s="25" t="s">
        <v>2</v>
      </c>
      <c r="D4671" s="51">
        <v>907208</v>
      </c>
    </row>
    <row r="4672" spans="1:4" x14ac:dyDescent="0.2">
      <c r="A4672" s="24">
        <v>45108</v>
      </c>
      <c r="B4672" s="25" t="s">
        <v>119</v>
      </c>
      <c r="C4672" s="25" t="s">
        <v>2</v>
      </c>
      <c r="D4672" s="51">
        <v>977222</v>
      </c>
    </row>
    <row r="4673" spans="1:4" x14ac:dyDescent="0.2">
      <c r="A4673" s="24">
        <v>45108</v>
      </c>
      <c r="B4673" s="25" t="s">
        <v>138</v>
      </c>
      <c r="C4673" s="25" t="s">
        <v>2</v>
      </c>
      <c r="D4673" s="51">
        <v>257</v>
      </c>
    </row>
    <row r="4674" spans="1:4" x14ac:dyDescent="0.2">
      <c r="A4674" s="24">
        <v>45108</v>
      </c>
      <c r="B4674" s="25" t="s">
        <v>139</v>
      </c>
      <c r="C4674" s="25" t="s">
        <v>2</v>
      </c>
      <c r="D4674" s="51">
        <v>846</v>
      </c>
    </row>
    <row r="4675" spans="1:4" x14ac:dyDescent="0.2">
      <c r="A4675" s="24">
        <v>45108</v>
      </c>
      <c r="B4675" s="25" t="s">
        <v>120</v>
      </c>
      <c r="C4675" s="25" t="s">
        <v>2</v>
      </c>
      <c r="D4675" s="51">
        <v>218727</v>
      </c>
    </row>
    <row r="4676" spans="1:4" x14ac:dyDescent="0.2">
      <c r="A4676" s="24">
        <v>45108</v>
      </c>
      <c r="B4676" s="25" t="s">
        <v>121</v>
      </c>
      <c r="C4676" s="25" t="s">
        <v>2</v>
      </c>
      <c r="D4676" s="51">
        <v>22258</v>
      </c>
    </row>
    <row r="4677" spans="1:4" x14ac:dyDescent="0.2">
      <c r="A4677" s="24">
        <v>45108</v>
      </c>
      <c r="B4677" s="25" t="s">
        <v>122</v>
      </c>
      <c r="C4677" s="25" t="s">
        <v>2</v>
      </c>
      <c r="D4677" s="51">
        <v>515761</v>
      </c>
    </row>
    <row r="4678" spans="1:4" x14ac:dyDescent="0.2">
      <c r="A4678" s="24">
        <v>45108</v>
      </c>
      <c r="B4678" s="25" t="s">
        <v>123</v>
      </c>
      <c r="C4678" s="25" t="s">
        <v>2</v>
      </c>
      <c r="D4678" s="51">
        <v>2273206</v>
      </c>
    </row>
    <row r="4679" spans="1:4" x14ac:dyDescent="0.2">
      <c r="A4679" s="24">
        <v>45108</v>
      </c>
      <c r="B4679" s="25" t="s">
        <v>129</v>
      </c>
      <c r="C4679" s="25" t="s">
        <v>2</v>
      </c>
      <c r="D4679" s="51">
        <v>101309</v>
      </c>
    </row>
    <row r="4680" spans="1:4" x14ac:dyDescent="0.2">
      <c r="A4680" s="24">
        <v>45108</v>
      </c>
      <c r="B4680" s="25" t="s">
        <v>130</v>
      </c>
      <c r="C4680" s="25" t="s">
        <v>2</v>
      </c>
      <c r="D4680" s="51">
        <v>68642</v>
      </c>
    </row>
    <row r="4681" spans="1:4" x14ac:dyDescent="0.2">
      <c r="A4681" s="24">
        <v>45139</v>
      </c>
      <c r="B4681" s="25" t="s">
        <v>117</v>
      </c>
      <c r="C4681" s="25" t="s">
        <v>4</v>
      </c>
      <c r="D4681" s="51">
        <v>7488394</v>
      </c>
    </row>
    <row r="4682" spans="1:4" x14ac:dyDescent="0.2">
      <c r="A4682" s="24">
        <v>45139</v>
      </c>
      <c r="B4682" s="25" t="s">
        <v>131</v>
      </c>
      <c r="C4682" s="25" t="s">
        <v>4</v>
      </c>
      <c r="D4682" s="51">
        <v>119</v>
      </c>
    </row>
    <row r="4683" spans="1:4" x14ac:dyDescent="0.2">
      <c r="A4683" s="24">
        <v>45139</v>
      </c>
      <c r="B4683" s="25" t="s">
        <v>132</v>
      </c>
      <c r="C4683" s="25" t="s">
        <v>4</v>
      </c>
      <c r="D4683" s="51">
        <v>40</v>
      </c>
    </row>
    <row r="4684" spans="1:4" x14ac:dyDescent="0.2">
      <c r="A4684" s="24">
        <v>45139</v>
      </c>
      <c r="B4684" s="25" t="s">
        <v>133</v>
      </c>
      <c r="C4684" s="25" t="s">
        <v>4</v>
      </c>
      <c r="D4684" s="51">
        <v>12</v>
      </c>
    </row>
    <row r="4685" spans="1:4" x14ac:dyDescent="0.2">
      <c r="A4685" s="24">
        <v>45139</v>
      </c>
      <c r="B4685" s="25" t="s">
        <v>137</v>
      </c>
      <c r="C4685" s="25" t="s">
        <v>4</v>
      </c>
      <c r="D4685" s="51">
        <v>6452578</v>
      </c>
    </row>
    <row r="4686" spans="1:4" x14ac:dyDescent="0.2">
      <c r="A4686" s="24">
        <v>45139</v>
      </c>
      <c r="B4686" s="25" t="s">
        <v>118</v>
      </c>
      <c r="C4686" s="25" t="s">
        <v>4</v>
      </c>
      <c r="D4686" s="51">
        <v>654775</v>
      </c>
    </row>
    <row r="4687" spans="1:4" x14ac:dyDescent="0.2">
      <c r="A4687" s="24">
        <v>45139</v>
      </c>
      <c r="B4687" s="25" t="s">
        <v>134</v>
      </c>
      <c r="C4687" s="25" t="s">
        <v>4</v>
      </c>
      <c r="D4687" s="51">
        <v>9</v>
      </c>
    </row>
    <row r="4688" spans="1:4" x14ac:dyDescent="0.2">
      <c r="A4688" s="24">
        <v>45139</v>
      </c>
      <c r="B4688" s="25" t="s">
        <v>135</v>
      </c>
      <c r="C4688" s="25" t="s">
        <v>4</v>
      </c>
      <c r="D4688" s="51">
        <v>1</v>
      </c>
    </row>
    <row r="4689" spans="1:4" x14ac:dyDescent="0.2">
      <c r="A4689" s="24">
        <v>45139</v>
      </c>
      <c r="B4689" s="25" t="s">
        <v>119</v>
      </c>
      <c r="C4689" s="25" t="s">
        <v>4</v>
      </c>
      <c r="D4689" s="51">
        <v>1009829</v>
      </c>
    </row>
    <row r="4690" spans="1:4" x14ac:dyDescent="0.2">
      <c r="A4690" s="24">
        <v>45139</v>
      </c>
      <c r="B4690" s="25" t="s">
        <v>138</v>
      </c>
      <c r="C4690" s="25" t="s">
        <v>4</v>
      </c>
      <c r="D4690" s="51">
        <v>24</v>
      </c>
    </row>
    <row r="4691" spans="1:4" x14ac:dyDescent="0.2">
      <c r="A4691" s="24">
        <v>45139</v>
      </c>
      <c r="B4691" s="25" t="s">
        <v>139</v>
      </c>
      <c r="C4691" s="25" t="s">
        <v>4</v>
      </c>
      <c r="D4691" s="51">
        <v>1072</v>
      </c>
    </row>
    <row r="4692" spans="1:4" x14ac:dyDescent="0.2">
      <c r="A4692" s="24">
        <v>45139</v>
      </c>
      <c r="B4692" s="25" t="s">
        <v>120</v>
      </c>
      <c r="C4692" s="25" t="s">
        <v>4</v>
      </c>
      <c r="D4692" s="51">
        <v>61504</v>
      </c>
    </row>
    <row r="4693" spans="1:4" x14ac:dyDescent="0.2">
      <c r="A4693" s="24">
        <v>45139</v>
      </c>
      <c r="B4693" s="25" t="s">
        <v>121</v>
      </c>
      <c r="C4693" s="25" t="s">
        <v>4</v>
      </c>
      <c r="D4693" s="51">
        <v>30404</v>
      </c>
    </row>
    <row r="4694" spans="1:4" x14ac:dyDescent="0.2">
      <c r="A4694" s="24">
        <v>45139</v>
      </c>
      <c r="B4694" s="25" t="s">
        <v>140</v>
      </c>
      <c r="C4694" s="25" t="s">
        <v>4</v>
      </c>
      <c r="D4694" s="51">
        <v>23305</v>
      </c>
    </row>
    <row r="4695" spans="1:4" x14ac:dyDescent="0.2">
      <c r="A4695" s="24">
        <v>45139</v>
      </c>
      <c r="B4695" s="25" t="s">
        <v>122</v>
      </c>
      <c r="C4695" s="25" t="s">
        <v>4</v>
      </c>
      <c r="D4695" s="51">
        <v>1659586</v>
      </c>
    </row>
    <row r="4696" spans="1:4" x14ac:dyDescent="0.2">
      <c r="A4696" s="24">
        <v>45139</v>
      </c>
      <c r="B4696" s="25" t="s">
        <v>123</v>
      </c>
      <c r="C4696" s="25" t="s">
        <v>4</v>
      </c>
      <c r="D4696" s="51">
        <v>3327349</v>
      </c>
    </row>
    <row r="4697" spans="1:4" x14ac:dyDescent="0.2">
      <c r="A4697" s="24">
        <v>45139</v>
      </c>
      <c r="B4697" s="25" t="s">
        <v>117</v>
      </c>
      <c r="C4697" s="25" t="s">
        <v>8</v>
      </c>
      <c r="D4697" s="51">
        <v>350097</v>
      </c>
    </row>
    <row r="4698" spans="1:4" x14ac:dyDescent="0.2">
      <c r="A4698" s="24">
        <v>45139</v>
      </c>
      <c r="B4698" s="25" t="s">
        <v>137</v>
      </c>
      <c r="C4698" s="25" t="s">
        <v>8</v>
      </c>
      <c r="D4698" s="51">
        <v>492569</v>
      </c>
    </row>
    <row r="4699" spans="1:4" x14ac:dyDescent="0.2">
      <c r="A4699" s="24">
        <v>45139</v>
      </c>
      <c r="B4699" s="25" t="s">
        <v>118</v>
      </c>
      <c r="C4699" s="25" t="s">
        <v>8</v>
      </c>
      <c r="D4699" s="51">
        <v>58485</v>
      </c>
    </row>
    <row r="4700" spans="1:4" x14ac:dyDescent="0.2">
      <c r="A4700" s="24">
        <v>45139</v>
      </c>
      <c r="B4700" s="25" t="s">
        <v>119</v>
      </c>
      <c r="C4700" s="25" t="s">
        <v>8</v>
      </c>
      <c r="D4700" s="51">
        <v>17980</v>
      </c>
    </row>
    <row r="4701" spans="1:4" x14ac:dyDescent="0.2">
      <c r="A4701" s="24">
        <v>45139</v>
      </c>
      <c r="B4701" s="25" t="s">
        <v>139</v>
      </c>
      <c r="C4701" s="25" t="s">
        <v>8</v>
      </c>
      <c r="D4701" s="51">
        <v>6</v>
      </c>
    </row>
    <row r="4702" spans="1:4" x14ac:dyDescent="0.2">
      <c r="A4702" s="24">
        <v>45139</v>
      </c>
      <c r="B4702" s="25" t="s">
        <v>120</v>
      </c>
      <c r="C4702" s="25" t="s">
        <v>8</v>
      </c>
      <c r="D4702" s="51">
        <v>4023</v>
      </c>
    </row>
    <row r="4703" spans="1:4" x14ac:dyDescent="0.2">
      <c r="A4703" s="24">
        <v>45139</v>
      </c>
      <c r="B4703" s="25" t="s">
        <v>121</v>
      </c>
      <c r="C4703" s="25" t="s">
        <v>8</v>
      </c>
      <c r="D4703" s="51">
        <v>1505</v>
      </c>
    </row>
    <row r="4704" spans="1:4" x14ac:dyDescent="0.2">
      <c r="A4704" s="24">
        <v>45139</v>
      </c>
      <c r="B4704" s="25" t="s">
        <v>122</v>
      </c>
      <c r="C4704" s="25" t="s">
        <v>8</v>
      </c>
      <c r="D4704" s="51">
        <v>10774</v>
      </c>
    </row>
    <row r="4705" spans="1:4" x14ac:dyDescent="0.2">
      <c r="A4705" s="24">
        <v>45139</v>
      </c>
      <c r="B4705" s="25" t="s">
        <v>123</v>
      </c>
      <c r="C4705" s="25" t="s">
        <v>8</v>
      </c>
      <c r="D4705" s="51">
        <v>171227</v>
      </c>
    </row>
    <row r="4706" spans="1:4" x14ac:dyDescent="0.2">
      <c r="A4706" s="24">
        <v>45139</v>
      </c>
      <c r="B4706" s="25" t="s">
        <v>124</v>
      </c>
      <c r="C4706" s="25" t="s">
        <v>8</v>
      </c>
      <c r="D4706" s="51">
        <v>28060</v>
      </c>
    </row>
    <row r="4707" spans="1:4" x14ac:dyDescent="0.2">
      <c r="A4707" s="24">
        <v>45139</v>
      </c>
      <c r="B4707" s="25" t="s">
        <v>125</v>
      </c>
      <c r="C4707" s="25" t="s">
        <v>8</v>
      </c>
      <c r="D4707" s="51">
        <v>12682</v>
      </c>
    </row>
    <row r="4708" spans="1:4" x14ac:dyDescent="0.2">
      <c r="A4708" s="24">
        <v>45139</v>
      </c>
      <c r="B4708" s="25" t="s">
        <v>117</v>
      </c>
      <c r="C4708" s="25" t="s">
        <v>26</v>
      </c>
      <c r="D4708" s="51">
        <v>1275747</v>
      </c>
    </row>
    <row r="4709" spans="1:4" x14ac:dyDescent="0.2">
      <c r="A4709" s="24">
        <v>45139</v>
      </c>
      <c r="B4709" s="25" t="s">
        <v>137</v>
      </c>
      <c r="C4709" s="25" t="s">
        <v>26</v>
      </c>
      <c r="D4709" s="51">
        <v>1253138</v>
      </c>
    </row>
    <row r="4710" spans="1:4" x14ac:dyDescent="0.2">
      <c r="A4710" s="24">
        <v>45139</v>
      </c>
      <c r="B4710" s="25" t="s">
        <v>118</v>
      </c>
      <c r="C4710" s="25" t="s">
        <v>26</v>
      </c>
      <c r="D4710" s="51">
        <v>90965</v>
      </c>
    </row>
    <row r="4711" spans="1:4" x14ac:dyDescent="0.2">
      <c r="A4711" s="24">
        <v>45139</v>
      </c>
      <c r="B4711" s="25" t="s">
        <v>119</v>
      </c>
      <c r="C4711" s="25" t="s">
        <v>26</v>
      </c>
      <c r="D4711" s="51">
        <v>218189</v>
      </c>
    </row>
    <row r="4712" spans="1:4" x14ac:dyDescent="0.2">
      <c r="A4712" s="24">
        <v>45139</v>
      </c>
      <c r="B4712" s="25" t="s">
        <v>138</v>
      </c>
      <c r="C4712" s="25" t="s">
        <v>26</v>
      </c>
      <c r="D4712" s="51">
        <v>8</v>
      </c>
    </row>
    <row r="4713" spans="1:4" x14ac:dyDescent="0.2">
      <c r="A4713" s="24">
        <v>45139</v>
      </c>
      <c r="B4713" s="25" t="s">
        <v>139</v>
      </c>
      <c r="C4713" s="25" t="s">
        <v>26</v>
      </c>
      <c r="D4713" s="51">
        <v>45</v>
      </c>
    </row>
    <row r="4714" spans="1:4" x14ac:dyDescent="0.2">
      <c r="A4714" s="24">
        <v>45139</v>
      </c>
      <c r="B4714" s="25" t="s">
        <v>120</v>
      </c>
      <c r="C4714" s="25" t="s">
        <v>26</v>
      </c>
      <c r="D4714" s="51">
        <v>9078</v>
      </c>
    </row>
    <row r="4715" spans="1:4" x14ac:dyDescent="0.2">
      <c r="A4715" s="24">
        <v>45139</v>
      </c>
      <c r="B4715" s="25" t="s">
        <v>121</v>
      </c>
      <c r="C4715" s="25" t="s">
        <v>26</v>
      </c>
      <c r="D4715" s="51">
        <v>3044</v>
      </c>
    </row>
    <row r="4716" spans="1:4" x14ac:dyDescent="0.2">
      <c r="A4716" s="24">
        <v>45139</v>
      </c>
      <c r="B4716" s="25" t="s">
        <v>122</v>
      </c>
      <c r="C4716" s="25" t="s">
        <v>26</v>
      </c>
      <c r="D4716" s="51">
        <v>40469</v>
      </c>
    </row>
    <row r="4717" spans="1:4" x14ac:dyDescent="0.2">
      <c r="A4717" s="24">
        <v>45139</v>
      </c>
      <c r="B4717" s="25" t="s">
        <v>123</v>
      </c>
      <c r="C4717" s="25" t="s">
        <v>26</v>
      </c>
      <c r="D4717" s="51">
        <v>381478</v>
      </c>
    </row>
    <row r="4718" spans="1:4" x14ac:dyDescent="0.2">
      <c r="A4718" s="24">
        <v>45139</v>
      </c>
      <c r="B4718" s="25" t="s">
        <v>127</v>
      </c>
      <c r="C4718" s="25" t="s">
        <v>26</v>
      </c>
      <c r="D4718" s="51">
        <v>4586</v>
      </c>
    </row>
    <row r="4719" spans="1:4" x14ac:dyDescent="0.2">
      <c r="A4719" s="24">
        <v>45139</v>
      </c>
      <c r="B4719" s="25" t="s">
        <v>128</v>
      </c>
      <c r="C4719" s="25" t="s">
        <v>26</v>
      </c>
      <c r="D4719" s="51">
        <v>2033</v>
      </c>
    </row>
    <row r="4720" spans="1:4" x14ac:dyDescent="0.2">
      <c r="A4720" s="24">
        <v>45139</v>
      </c>
      <c r="B4720" s="25" t="s">
        <v>117</v>
      </c>
      <c r="C4720" s="25" t="s">
        <v>142</v>
      </c>
      <c r="D4720" s="51">
        <v>909233</v>
      </c>
    </row>
    <row r="4721" spans="1:4" x14ac:dyDescent="0.2">
      <c r="A4721" s="24">
        <v>45139</v>
      </c>
      <c r="B4721" s="25" t="s">
        <v>137</v>
      </c>
      <c r="C4721" s="25" t="s">
        <v>142</v>
      </c>
      <c r="D4721" s="51">
        <v>635045</v>
      </c>
    </row>
    <row r="4722" spans="1:4" x14ac:dyDescent="0.2">
      <c r="A4722" s="24">
        <v>45139</v>
      </c>
      <c r="B4722" s="25" t="s">
        <v>118</v>
      </c>
      <c r="C4722" s="25" t="s">
        <v>142</v>
      </c>
      <c r="D4722" s="51">
        <v>83827</v>
      </c>
    </row>
    <row r="4723" spans="1:4" x14ac:dyDescent="0.2">
      <c r="A4723" s="24">
        <v>45139</v>
      </c>
      <c r="B4723" s="25" t="s">
        <v>119</v>
      </c>
      <c r="C4723" s="25" t="s">
        <v>142</v>
      </c>
      <c r="D4723" s="51">
        <v>215132</v>
      </c>
    </row>
    <row r="4724" spans="1:4" x14ac:dyDescent="0.2">
      <c r="A4724" s="24">
        <v>45139</v>
      </c>
      <c r="B4724" s="25" t="s">
        <v>139</v>
      </c>
      <c r="C4724" s="25" t="s">
        <v>142</v>
      </c>
      <c r="D4724" s="51">
        <v>11</v>
      </c>
    </row>
    <row r="4725" spans="1:4" x14ac:dyDescent="0.2">
      <c r="A4725" s="24">
        <v>45139</v>
      </c>
      <c r="B4725" s="25" t="s">
        <v>120</v>
      </c>
      <c r="C4725" s="25" t="s">
        <v>142</v>
      </c>
      <c r="D4725" s="51">
        <v>10206</v>
      </c>
    </row>
    <row r="4726" spans="1:4" x14ac:dyDescent="0.2">
      <c r="A4726" s="24">
        <v>45139</v>
      </c>
      <c r="B4726" s="25" t="s">
        <v>121</v>
      </c>
      <c r="C4726" s="25" t="s">
        <v>142</v>
      </c>
      <c r="D4726" s="51">
        <v>1528</v>
      </c>
    </row>
    <row r="4727" spans="1:4" x14ac:dyDescent="0.2">
      <c r="A4727" s="24">
        <v>45139</v>
      </c>
      <c r="B4727" s="25" t="s">
        <v>122</v>
      </c>
      <c r="C4727" s="25" t="s">
        <v>142</v>
      </c>
      <c r="D4727" s="51">
        <v>177958</v>
      </c>
    </row>
    <row r="4728" spans="1:4" x14ac:dyDescent="0.2">
      <c r="A4728" s="24">
        <v>45139</v>
      </c>
      <c r="B4728" s="25" t="s">
        <v>123</v>
      </c>
      <c r="C4728" s="25" t="s">
        <v>142</v>
      </c>
      <c r="D4728" s="51">
        <v>146962</v>
      </c>
    </row>
    <row r="4729" spans="1:4" x14ac:dyDescent="0.2">
      <c r="A4729" s="24">
        <v>45139</v>
      </c>
      <c r="B4729" s="25" t="s">
        <v>129</v>
      </c>
      <c r="C4729" s="25" t="s">
        <v>142</v>
      </c>
      <c r="D4729" s="51">
        <v>4397</v>
      </c>
    </row>
    <row r="4730" spans="1:4" x14ac:dyDescent="0.2">
      <c r="A4730" s="24">
        <v>45139</v>
      </c>
      <c r="B4730" s="25" t="s">
        <v>130</v>
      </c>
      <c r="C4730" s="25" t="s">
        <v>142</v>
      </c>
      <c r="D4730" s="51">
        <v>4478</v>
      </c>
    </row>
    <row r="4731" spans="1:4" x14ac:dyDescent="0.2">
      <c r="A4731" s="24">
        <v>45139</v>
      </c>
      <c r="B4731" s="25" t="s">
        <v>117</v>
      </c>
      <c r="C4731" s="25" t="s">
        <v>2</v>
      </c>
      <c r="D4731" s="51">
        <v>12120198</v>
      </c>
    </row>
    <row r="4732" spans="1:4" x14ac:dyDescent="0.2">
      <c r="A4732" s="24">
        <v>45139</v>
      </c>
      <c r="B4732" s="25" t="s">
        <v>137</v>
      </c>
      <c r="C4732" s="25" t="s">
        <v>2</v>
      </c>
      <c r="D4732" s="51">
        <v>9038757</v>
      </c>
    </row>
    <row r="4733" spans="1:4" x14ac:dyDescent="0.2">
      <c r="A4733" s="24">
        <v>45139</v>
      </c>
      <c r="B4733" s="25" t="s">
        <v>118</v>
      </c>
      <c r="C4733" s="25" t="s">
        <v>2</v>
      </c>
      <c r="D4733" s="51">
        <v>601211</v>
      </c>
    </row>
    <row r="4734" spans="1:4" x14ac:dyDescent="0.2">
      <c r="A4734" s="24">
        <v>45139</v>
      </c>
      <c r="B4734" s="25" t="s">
        <v>119</v>
      </c>
      <c r="C4734" s="25" t="s">
        <v>2</v>
      </c>
      <c r="D4734" s="51">
        <v>1466217</v>
      </c>
    </row>
    <row r="4735" spans="1:4" x14ac:dyDescent="0.2">
      <c r="A4735" s="24">
        <v>45139</v>
      </c>
      <c r="B4735" s="25" t="s">
        <v>138</v>
      </c>
      <c r="C4735" s="25" t="s">
        <v>2</v>
      </c>
      <c r="D4735" s="51">
        <v>53</v>
      </c>
    </row>
    <row r="4736" spans="1:4" x14ac:dyDescent="0.2">
      <c r="A4736" s="24">
        <v>45139</v>
      </c>
      <c r="B4736" s="25" t="s">
        <v>139</v>
      </c>
      <c r="C4736" s="25" t="s">
        <v>2</v>
      </c>
      <c r="D4736" s="51">
        <v>954</v>
      </c>
    </row>
    <row r="4737" spans="1:4" x14ac:dyDescent="0.2">
      <c r="A4737" s="24">
        <v>45139</v>
      </c>
      <c r="B4737" s="25" t="s">
        <v>120</v>
      </c>
      <c r="C4737" s="25" t="s">
        <v>2</v>
      </c>
      <c r="D4737" s="51">
        <v>244741</v>
      </c>
    </row>
    <row r="4738" spans="1:4" x14ac:dyDescent="0.2">
      <c r="A4738" s="24">
        <v>45139</v>
      </c>
      <c r="B4738" s="25" t="s">
        <v>121</v>
      </c>
      <c r="C4738" s="25" t="s">
        <v>2</v>
      </c>
      <c r="D4738" s="51">
        <v>24221</v>
      </c>
    </row>
    <row r="4739" spans="1:4" x14ac:dyDescent="0.2">
      <c r="A4739" s="24">
        <v>45139</v>
      </c>
      <c r="B4739" s="25" t="s">
        <v>122</v>
      </c>
      <c r="C4739" s="25" t="s">
        <v>2</v>
      </c>
      <c r="D4739" s="51">
        <v>1166240</v>
      </c>
    </row>
    <row r="4740" spans="1:4" x14ac:dyDescent="0.2">
      <c r="A4740" s="24">
        <v>45139</v>
      </c>
      <c r="B4740" s="25" t="s">
        <v>123</v>
      </c>
      <c r="C4740" s="25" t="s">
        <v>2</v>
      </c>
      <c r="D4740" s="51">
        <v>2435494</v>
      </c>
    </row>
    <row r="4741" spans="1:4" x14ac:dyDescent="0.2">
      <c r="A4741" s="24">
        <v>45139</v>
      </c>
      <c r="B4741" s="25" t="s">
        <v>129</v>
      </c>
      <c r="C4741" s="25" t="s">
        <v>2</v>
      </c>
      <c r="D4741" s="51">
        <v>98722</v>
      </c>
    </row>
    <row r="4742" spans="1:4" x14ac:dyDescent="0.2">
      <c r="A4742" s="24">
        <v>45139</v>
      </c>
      <c r="B4742" s="25" t="s">
        <v>130</v>
      </c>
      <c r="C4742" s="25" t="s">
        <v>2</v>
      </c>
      <c r="D4742" s="51">
        <v>45109</v>
      </c>
    </row>
    <row r="4743" spans="1:4" x14ac:dyDescent="0.2">
      <c r="A4743" s="24">
        <v>45170</v>
      </c>
      <c r="B4743" s="25" t="s">
        <v>117</v>
      </c>
      <c r="C4743" s="25" t="s">
        <v>4</v>
      </c>
      <c r="D4743" s="51">
        <v>7210065</v>
      </c>
    </row>
    <row r="4744" spans="1:4" x14ac:dyDescent="0.2">
      <c r="A4744" s="24">
        <v>45170</v>
      </c>
      <c r="B4744" s="25" t="s">
        <v>131</v>
      </c>
      <c r="C4744" s="25" t="s">
        <v>4</v>
      </c>
      <c r="D4744" s="51">
        <v>205</v>
      </c>
    </row>
    <row r="4745" spans="1:4" x14ac:dyDescent="0.2">
      <c r="A4745" s="24">
        <v>45170</v>
      </c>
      <c r="B4745" s="25" t="s">
        <v>132</v>
      </c>
      <c r="C4745" s="25" t="s">
        <v>4</v>
      </c>
      <c r="D4745" s="51">
        <v>36</v>
      </c>
    </row>
    <row r="4746" spans="1:4" x14ac:dyDescent="0.2">
      <c r="A4746" s="24">
        <v>45170</v>
      </c>
      <c r="B4746" s="25" t="s">
        <v>133</v>
      </c>
      <c r="C4746" s="25" t="s">
        <v>4</v>
      </c>
      <c r="D4746" s="51">
        <v>21</v>
      </c>
    </row>
    <row r="4747" spans="1:4" x14ac:dyDescent="0.2">
      <c r="A4747" s="24">
        <v>45170</v>
      </c>
      <c r="B4747" s="25" t="s">
        <v>137</v>
      </c>
      <c r="C4747" s="25" t="s">
        <v>4</v>
      </c>
      <c r="D4747" s="51">
        <v>6414509</v>
      </c>
    </row>
    <row r="4748" spans="1:4" x14ac:dyDescent="0.2">
      <c r="A4748" s="24">
        <v>45170</v>
      </c>
      <c r="B4748" s="25" t="s">
        <v>118</v>
      </c>
      <c r="C4748" s="25" t="s">
        <v>4</v>
      </c>
      <c r="D4748" s="51">
        <v>745820</v>
      </c>
    </row>
    <row r="4749" spans="1:4" x14ac:dyDescent="0.2">
      <c r="A4749" s="24">
        <v>45170</v>
      </c>
      <c r="B4749" s="25" t="s">
        <v>134</v>
      </c>
      <c r="C4749" s="25" t="s">
        <v>4</v>
      </c>
      <c r="D4749" s="51">
        <v>4</v>
      </c>
    </row>
    <row r="4750" spans="1:4" x14ac:dyDescent="0.2">
      <c r="A4750" s="24">
        <v>45170</v>
      </c>
      <c r="B4750" s="25" t="s">
        <v>135</v>
      </c>
      <c r="C4750" s="25" t="s">
        <v>4</v>
      </c>
      <c r="D4750" s="51">
        <v>6</v>
      </c>
    </row>
    <row r="4751" spans="1:4" x14ac:dyDescent="0.2">
      <c r="A4751" s="24">
        <v>45170</v>
      </c>
      <c r="B4751" s="25" t="s">
        <v>119</v>
      </c>
      <c r="C4751" s="25" t="s">
        <v>4</v>
      </c>
      <c r="D4751" s="51">
        <v>878719</v>
      </c>
    </row>
    <row r="4752" spans="1:4" x14ac:dyDescent="0.2">
      <c r="A4752" s="24">
        <v>45170</v>
      </c>
      <c r="B4752" s="25" t="s">
        <v>138</v>
      </c>
      <c r="C4752" s="25" t="s">
        <v>4</v>
      </c>
      <c r="D4752" s="51">
        <v>35</v>
      </c>
    </row>
    <row r="4753" spans="1:4" x14ac:dyDescent="0.2">
      <c r="A4753" s="24">
        <v>45170</v>
      </c>
      <c r="B4753" s="25" t="s">
        <v>139</v>
      </c>
      <c r="C4753" s="25" t="s">
        <v>4</v>
      </c>
      <c r="D4753" s="51">
        <v>1104</v>
      </c>
    </row>
    <row r="4754" spans="1:4" x14ac:dyDescent="0.2">
      <c r="A4754" s="24">
        <v>45170</v>
      </c>
      <c r="B4754" s="25" t="s">
        <v>120</v>
      </c>
      <c r="C4754" s="25" t="s">
        <v>4</v>
      </c>
      <c r="D4754" s="51">
        <v>59160</v>
      </c>
    </row>
    <row r="4755" spans="1:4" x14ac:dyDescent="0.2">
      <c r="A4755" s="24">
        <v>45170</v>
      </c>
      <c r="B4755" s="25" t="s">
        <v>121</v>
      </c>
      <c r="C4755" s="25" t="s">
        <v>4</v>
      </c>
      <c r="D4755" s="51">
        <v>28199</v>
      </c>
    </row>
    <row r="4756" spans="1:4" x14ac:dyDescent="0.2">
      <c r="A4756" s="24">
        <v>45170</v>
      </c>
      <c r="B4756" s="25" t="s">
        <v>140</v>
      </c>
      <c r="C4756" s="25" t="s">
        <v>4</v>
      </c>
      <c r="D4756" s="51">
        <v>21874</v>
      </c>
    </row>
    <row r="4757" spans="1:4" x14ac:dyDescent="0.2">
      <c r="A4757" s="24">
        <v>45170</v>
      </c>
      <c r="B4757" s="25" t="s">
        <v>122</v>
      </c>
      <c r="C4757" s="25" t="s">
        <v>4</v>
      </c>
      <c r="D4757" s="51">
        <v>1103009</v>
      </c>
    </row>
    <row r="4758" spans="1:4" x14ac:dyDescent="0.2">
      <c r="A4758" s="24">
        <v>45170</v>
      </c>
      <c r="B4758" s="25" t="s">
        <v>123</v>
      </c>
      <c r="C4758" s="25" t="s">
        <v>4</v>
      </c>
      <c r="D4758" s="51">
        <v>3177181</v>
      </c>
    </row>
    <row r="4759" spans="1:4" x14ac:dyDescent="0.2">
      <c r="A4759" s="24">
        <v>45170</v>
      </c>
      <c r="B4759" s="25" t="s">
        <v>117</v>
      </c>
      <c r="C4759" s="25" t="s">
        <v>8</v>
      </c>
      <c r="D4759" s="51">
        <v>376791</v>
      </c>
    </row>
    <row r="4760" spans="1:4" x14ac:dyDescent="0.2">
      <c r="A4760" s="24">
        <v>45170</v>
      </c>
      <c r="B4760" s="25" t="s">
        <v>137</v>
      </c>
      <c r="C4760" s="25" t="s">
        <v>8</v>
      </c>
      <c r="D4760" s="51">
        <v>556722</v>
      </c>
    </row>
    <row r="4761" spans="1:4" x14ac:dyDescent="0.2">
      <c r="A4761" s="24">
        <v>45170</v>
      </c>
      <c r="B4761" s="25" t="s">
        <v>118</v>
      </c>
      <c r="C4761" s="25" t="s">
        <v>8</v>
      </c>
      <c r="D4761" s="51">
        <v>92422</v>
      </c>
    </row>
    <row r="4762" spans="1:4" x14ac:dyDescent="0.2">
      <c r="A4762" s="24">
        <v>45170</v>
      </c>
      <c r="B4762" s="25" t="s">
        <v>119</v>
      </c>
      <c r="C4762" s="25" t="s">
        <v>8</v>
      </c>
      <c r="D4762" s="51">
        <v>19627</v>
      </c>
    </row>
    <row r="4763" spans="1:4" x14ac:dyDescent="0.2">
      <c r="A4763" s="24">
        <v>45170</v>
      </c>
      <c r="B4763" s="25" t="s">
        <v>138</v>
      </c>
      <c r="C4763" s="25" t="s">
        <v>8</v>
      </c>
      <c r="D4763" s="51">
        <v>288</v>
      </c>
    </row>
    <row r="4764" spans="1:4" x14ac:dyDescent="0.2">
      <c r="A4764" s="24">
        <v>45170</v>
      </c>
      <c r="B4764" s="25" t="s">
        <v>139</v>
      </c>
      <c r="C4764" s="25" t="s">
        <v>8</v>
      </c>
      <c r="D4764" s="51">
        <v>64</v>
      </c>
    </row>
    <row r="4765" spans="1:4" x14ac:dyDescent="0.2">
      <c r="A4765" s="24">
        <v>45170</v>
      </c>
      <c r="B4765" s="25" t="s">
        <v>120</v>
      </c>
      <c r="C4765" s="25" t="s">
        <v>8</v>
      </c>
      <c r="D4765" s="51">
        <v>4148</v>
      </c>
    </row>
    <row r="4766" spans="1:4" x14ac:dyDescent="0.2">
      <c r="A4766" s="24">
        <v>45170</v>
      </c>
      <c r="B4766" s="25" t="s">
        <v>121</v>
      </c>
      <c r="C4766" s="25" t="s">
        <v>8</v>
      </c>
      <c r="D4766" s="51">
        <v>1866</v>
      </c>
    </row>
    <row r="4767" spans="1:4" x14ac:dyDescent="0.2">
      <c r="A4767" s="24">
        <v>45170</v>
      </c>
      <c r="B4767" s="25" t="s">
        <v>122</v>
      </c>
      <c r="C4767" s="25" t="s">
        <v>8</v>
      </c>
      <c r="D4767" s="51">
        <v>9030</v>
      </c>
    </row>
    <row r="4768" spans="1:4" x14ac:dyDescent="0.2">
      <c r="A4768" s="24">
        <v>45170</v>
      </c>
      <c r="B4768" s="25" t="s">
        <v>123</v>
      </c>
      <c r="C4768" s="25" t="s">
        <v>8</v>
      </c>
      <c r="D4768" s="51">
        <v>179761</v>
      </c>
    </row>
    <row r="4769" spans="1:4" x14ac:dyDescent="0.2">
      <c r="A4769" s="24">
        <v>45170</v>
      </c>
      <c r="B4769" s="25" t="s">
        <v>124</v>
      </c>
      <c r="C4769" s="25" t="s">
        <v>8</v>
      </c>
      <c r="D4769" s="51">
        <v>29477</v>
      </c>
    </row>
    <row r="4770" spans="1:4" x14ac:dyDescent="0.2">
      <c r="A4770" s="24">
        <v>45170</v>
      </c>
      <c r="B4770" s="25" t="s">
        <v>125</v>
      </c>
      <c r="C4770" s="25" t="s">
        <v>8</v>
      </c>
      <c r="D4770" s="51">
        <v>16992</v>
      </c>
    </row>
    <row r="4771" spans="1:4" x14ac:dyDescent="0.2">
      <c r="A4771" s="24">
        <v>45170</v>
      </c>
      <c r="B4771" s="25" t="s">
        <v>117</v>
      </c>
      <c r="C4771" s="25" t="s">
        <v>26</v>
      </c>
      <c r="D4771" s="51">
        <v>1358618</v>
      </c>
    </row>
    <row r="4772" spans="1:4" x14ac:dyDescent="0.2">
      <c r="A4772" s="24">
        <v>45170</v>
      </c>
      <c r="B4772" s="25" t="s">
        <v>137</v>
      </c>
      <c r="C4772" s="25" t="s">
        <v>26</v>
      </c>
      <c r="D4772" s="51">
        <v>1359296</v>
      </c>
    </row>
    <row r="4773" spans="1:4" x14ac:dyDescent="0.2">
      <c r="A4773" s="24">
        <v>45170</v>
      </c>
      <c r="B4773" s="25" t="s">
        <v>118</v>
      </c>
      <c r="C4773" s="25" t="s">
        <v>26</v>
      </c>
      <c r="D4773" s="51">
        <v>125859</v>
      </c>
    </row>
    <row r="4774" spans="1:4" x14ac:dyDescent="0.2">
      <c r="A4774" s="24">
        <v>45170</v>
      </c>
      <c r="B4774" s="25" t="s">
        <v>119</v>
      </c>
      <c r="C4774" s="25" t="s">
        <v>26</v>
      </c>
      <c r="D4774" s="51">
        <v>271630</v>
      </c>
    </row>
    <row r="4775" spans="1:4" x14ac:dyDescent="0.2">
      <c r="A4775" s="24">
        <v>45170</v>
      </c>
      <c r="B4775" s="25" t="s">
        <v>138</v>
      </c>
      <c r="C4775" s="25" t="s">
        <v>26</v>
      </c>
      <c r="D4775" s="51">
        <v>2</v>
      </c>
    </row>
    <row r="4776" spans="1:4" x14ac:dyDescent="0.2">
      <c r="A4776" s="24">
        <v>45170</v>
      </c>
      <c r="B4776" s="25" t="s">
        <v>139</v>
      </c>
      <c r="C4776" s="25" t="s">
        <v>26</v>
      </c>
      <c r="D4776" s="51">
        <v>41</v>
      </c>
    </row>
    <row r="4777" spans="1:4" x14ac:dyDescent="0.2">
      <c r="A4777" s="24">
        <v>45170</v>
      </c>
      <c r="B4777" s="25" t="s">
        <v>120</v>
      </c>
      <c r="C4777" s="25" t="s">
        <v>26</v>
      </c>
      <c r="D4777" s="51">
        <v>9270</v>
      </c>
    </row>
    <row r="4778" spans="1:4" x14ac:dyDescent="0.2">
      <c r="A4778" s="24">
        <v>45170</v>
      </c>
      <c r="B4778" s="25" t="s">
        <v>121</v>
      </c>
      <c r="C4778" s="25" t="s">
        <v>26</v>
      </c>
      <c r="D4778" s="51">
        <v>3081</v>
      </c>
    </row>
    <row r="4779" spans="1:4" x14ac:dyDescent="0.2">
      <c r="A4779" s="24">
        <v>45170</v>
      </c>
      <c r="B4779" s="25" t="s">
        <v>122</v>
      </c>
      <c r="C4779" s="25" t="s">
        <v>26</v>
      </c>
      <c r="D4779" s="51">
        <v>27329</v>
      </c>
    </row>
    <row r="4780" spans="1:4" x14ac:dyDescent="0.2">
      <c r="A4780" s="24">
        <v>45170</v>
      </c>
      <c r="B4780" s="25" t="s">
        <v>123</v>
      </c>
      <c r="C4780" s="25" t="s">
        <v>26</v>
      </c>
      <c r="D4780" s="51">
        <v>397490</v>
      </c>
    </row>
    <row r="4781" spans="1:4" x14ac:dyDescent="0.2">
      <c r="A4781" s="24">
        <v>45170</v>
      </c>
      <c r="B4781" s="25" t="s">
        <v>127</v>
      </c>
      <c r="C4781" s="25" t="s">
        <v>26</v>
      </c>
      <c r="D4781" s="51">
        <v>4465</v>
      </c>
    </row>
    <row r="4782" spans="1:4" x14ac:dyDescent="0.2">
      <c r="A4782" s="24">
        <v>45170</v>
      </c>
      <c r="B4782" s="25" t="s">
        <v>128</v>
      </c>
      <c r="C4782" s="25" t="s">
        <v>26</v>
      </c>
      <c r="D4782" s="51">
        <v>2130</v>
      </c>
    </row>
    <row r="4783" spans="1:4" x14ac:dyDescent="0.2">
      <c r="A4783" s="24">
        <v>45170</v>
      </c>
      <c r="B4783" s="25" t="s">
        <v>117</v>
      </c>
      <c r="C4783" s="25" t="s">
        <v>142</v>
      </c>
      <c r="D4783" s="51">
        <v>840910</v>
      </c>
    </row>
    <row r="4784" spans="1:4" x14ac:dyDescent="0.2">
      <c r="A4784" s="24">
        <v>45170</v>
      </c>
      <c r="B4784" s="25" t="s">
        <v>137</v>
      </c>
      <c r="C4784" s="25" t="s">
        <v>142</v>
      </c>
      <c r="D4784" s="51">
        <v>604732</v>
      </c>
    </row>
    <row r="4785" spans="1:4" x14ac:dyDescent="0.2">
      <c r="A4785" s="24">
        <v>45170</v>
      </c>
      <c r="B4785" s="25" t="s">
        <v>118</v>
      </c>
      <c r="C4785" s="25" t="s">
        <v>142</v>
      </c>
      <c r="D4785" s="51">
        <v>117707</v>
      </c>
    </row>
    <row r="4786" spans="1:4" x14ac:dyDescent="0.2">
      <c r="A4786" s="24">
        <v>45170</v>
      </c>
      <c r="B4786" s="25" t="s">
        <v>119</v>
      </c>
      <c r="C4786" s="25" t="s">
        <v>142</v>
      </c>
      <c r="D4786" s="51">
        <v>158540</v>
      </c>
    </row>
    <row r="4787" spans="1:4" x14ac:dyDescent="0.2">
      <c r="A4787" s="24">
        <v>45170</v>
      </c>
      <c r="B4787" s="25" t="s">
        <v>139</v>
      </c>
      <c r="C4787" s="25" t="s">
        <v>142</v>
      </c>
      <c r="D4787" s="51">
        <v>3</v>
      </c>
    </row>
    <row r="4788" spans="1:4" x14ac:dyDescent="0.2">
      <c r="A4788" s="24">
        <v>45170</v>
      </c>
      <c r="B4788" s="25" t="s">
        <v>120</v>
      </c>
      <c r="C4788" s="25" t="s">
        <v>142</v>
      </c>
      <c r="D4788" s="51">
        <v>9809</v>
      </c>
    </row>
    <row r="4789" spans="1:4" x14ac:dyDescent="0.2">
      <c r="A4789" s="24">
        <v>45170</v>
      </c>
      <c r="B4789" s="25" t="s">
        <v>121</v>
      </c>
      <c r="C4789" s="25" t="s">
        <v>142</v>
      </c>
      <c r="D4789" s="51">
        <v>1399</v>
      </c>
    </row>
    <row r="4790" spans="1:4" x14ac:dyDescent="0.2">
      <c r="A4790" s="24">
        <v>45170</v>
      </c>
      <c r="B4790" s="25" t="s">
        <v>122</v>
      </c>
      <c r="C4790" s="25" t="s">
        <v>142</v>
      </c>
      <c r="D4790" s="51">
        <v>126407</v>
      </c>
    </row>
    <row r="4791" spans="1:4" x14ac:dyDescent="0.2">
      <c r="A4791" s="24">
        <v>45170</v>
      </c>
      <c r="B4791" s="25" t="s">
        <v>123</v>
      </c>
      <c r="C4791" s="25" t="s">
        <v>142</v>
      </c>
      <c r="D4791" s="51">
        <v>146648</v>
      </c>
    </row>
    <row r="4792" spans="1:4" x14ac:dyDescent="0.2">
      <c r="A4792" s="24">
        <v>45170</v>
      </c>
      <c r="B4792" s="25" t="s">
        <v>129</v>
      </c>
      <c r="C4792" s="25" t="s">
        <v>142</v>
      </c>
      <c r="D4792" s="51">
        <v>4262</v>
      </c>
    </row>
    <row r="4793" spans="1:4" x14ac:dyDescent="0.2">
      <c r="A4793" s="24">
        <v>45170</v>
      </c>
      <c r="B4793" s="25" t="s">
        <v>130</v>
      </c>
      <c r="C4793" s="25" t="s">
        <v>142</v>
      </c>
      <c r="D4793" s="51">
        <v>6096</v>
      </c>
    </row>
    <row r="4794" spans="1:4" x14ac:dyDescent="0.2">
      <c r="A4794" s="24">
        <v>45170</v>
      </c>
      <c r="B4794" s="25" t="s">
        <v>117</v>
      </c>
      <c r="C4794" s="25" t="s">
        <v>2</v>
      </c>
      <c r="D4794" s="51">
        <v>11311219</v>
      </c>
    </row>
    <row r="4795" spans="1:4" x14ac:dyDescent="0.2">
      <c r="A4795" s="24">
        <v>45170</v>
      </c>
      <c r="B4795" s="25" t="s">
        <v>137</v>
      </c>
      <c r="C4795" s="25" t="s">
        <v>2</v>
      </c>
      <c r="D4795" s="51">
        <v>8689041</v>
      </c>
    </row>
    <row r="4796" spans="1:4" x14ac:dyDescent="0.2">
      <c r="A4796" s="24">
        <v>45170</v>
      </c>
      <c r="B4796" s="25" t="s">
        <v>118</v>
      </c>
      <c r="C4796" s="25" t="s">
        <v>2</v>
      </c>
      <c r="D4796" s="51">
        <v>738875</v>
      </c>
    </row>
    <row r="4797" spans="1:4" x14ac:dyDescent="0.2">
      <c r="A4797" s="24">
        <v>45170</v>
      </c>
      <c r="B4797" s="25" t="s">
        <v>119</v>
      </c>
      <c r="C4797" s="25" t="s">
        <v>2</v>
      </c>
      <c r="D4797" s="51">
        <v>1262255</v>
      </c>
    </row>
    <row r="4798" spans="1:4" x14ac:dyDescent="0.2">
      <c r="A4798" s="24">
        <v>45170</v>
      </c>
      <c r="B4798" s="25" t="s">
        <v>138</v>
      </c>
      <c r="C4798" s="25" t="s">
        <v>2</v>
      </c>
      <c r="D4798" s="51">
        <v>39</v>
      </c>
    </row>
    <row r="4799" spans="1:4" x14ac:dyDescent="0.2">
      <c r="A4799" s="24">
        <v>45170</v>
      </c>
      <c r="B4799" s="25" t="s">
        <v>139</v>
      </c>
      <c r="C4799" s="25" t="s">
        <v>2</v>
      </c>
      <c r="D4799" s="51">
        <v>946</v>
      </c>
    </row>
    <row r="4800" spans="1:4" x14ac:dyDescent="0.2">
      <c r="A4800" s="24">
        <v>45170</v>
      </c>
      <c r="B4800" s="25" t="s">
        <v>120</v>
      </c>
      <c r="C4800" s="25" t="s">
        <v>2</v>
      </c>
      <c r="D4800" s="51">
        <v>225478</v>
      </c>
    </row>
    <row r="4801" spans="1:4" x14ac:dyDescent="0.2">
      <c r="A4801" s="24">
        <v>45170</v>
      </c>
      <c r="B4801" s="25" t="s">
        <v>121</v>
      </c>
      <c r="C4801" s="25" t="s">
        <v>2</v>
      </c>
      <c r="D4801" s="51">
        <v>22390</v>
      </c>
    </row>
    <row r="4802" spans="1:4" x14ac:dyDescent="0.2">
      <c r="A4802" s="24">
        <v>45170</v>
      </c>
      <c r="B4802" s="25" t="s">
        <v>122</v>
      </c>
      <c r="C4802" s="25" t="s">
        <v>2</v>
      </c>
      <c r="D4802" s="51">
        <v>786034</v>
      </c>
    </row>
    <row r="4803" spans="1:4" x14ac:dyDescent="0.2">
      <c r="A4803" s="24">
        <v>45170</v>
      </c>
      <c r="B4803" s="25" t="s">
        <v>123</v>
      </c>
      <c r="C4803" s="25" t="s">
        <v>2</v>
      </c>
      <c r="D4803" s="51">
        <v>2331482</v>
      </c>
    </row>
    <row r="4804" spans="1:4" x14ac:dyDescent="0.2">
      <c r="A4804" s="24">
        <v>45170</v>
      </c>
      <c r="B4804" s="25" t="s">
        <v>129</v>
      </c>
      <c r="C4804" s="25" t="s">
        <v>2</v>
      </c>
      <c r="D4804" s="51">
        <v>94539</v>
      </c>
    </row>
    <row r="4805" spans="1:4" x14ac:dyDescent="0.2">
      <c r="A4805" s="24">
        <v>45170</v>
      </c>
      <c r="B4805" s="25" t="s">
        <v>130</v>
      </c>
      <c r="C4805" s="25" t="s">
        <v>2</v>
      </c>
      <c r="D4805" s="51">
        <v>52145</v>
      </c>
    </row>
    <row r="4806" spans="1:4" x14ac:dyDescent="0.2">
      <c r="A4806" s="24">
        <v>45200</v>
      </c>
      <c r="B4806" s="25" t="s">
        <v>117</v>
      </c>
      <c r="C4806" s="25" t="s">
        <v>4</v>
      </c>
      <c r="D4806" s="51">
        <v>7376720</v>
      </c>
    </row>
    <row r="4807" spans="1:4" x14ac:dyDescent="0.2">
      <c r="A4807" s="24">
        <v>45200</v>
      </c>
      <c r="B4807" s="25" t="s">
        <v>131</v>
      </c>
      <c r="C4807" s="25" t="s">
        <v>4</v>
      </c>
      <c r="D4807" s="51">
        <v>109</v>
      </c>
    </row>
    <row r="4808" spans="1:4" x14ac:dyDescent="0.2">
      <c r="A4808" s="24">
        <v>45200</v>
      </c>
      <c r="B4808" s="25" t="s">
        <v>132</v>
      </c>
      <c r="C4808" s="25" t="s">
        <v>4</v>
      </c>
      <c r="D4808" s="51">
        <v>48</v>
      </c>
    </row>
    <row r="4809" spans="1:4" x14ac:dyDescent="0.2">
      <c r="A4809" s="24">
        <v>45200</v>
      </c>
      <c r="B4809" s="25" t="s">
        <v>133</v>
      </c>
      <c r="C4809" s="25" t="s">
        <v>4</v>
      </c>
      <c r="D4809" s="51">
        <v>26</v>
      </c>
    </row>
    <row r="4810" spans="1:4" x14ac:dyDescent="0.2">
      <c r="A4810" s="24">
        <v>45200</v>
      </c>
      <c r="B4810" s="25" t="s">
        <v>137</v>
      </c>
      <c r="C4810" s="25" t="s">
        <v>4</v>
      </c>
      <c r="D4810" s="51">
        <v>6848735</v>
      </c>
    </row>
    <row r="4811" spans="1:4" x14ac:dyDescent="0.2">
      <c r="A4811" s="24">
        <v>45200</v>
      </c>
      <c r="B4811" s="25" t="s">
        <v>118</v>
      </c>
      <c r="C4811" s="25" t="s">
        <v>4</v>
      </c>
      <c r="D4811" s="51">
        <v>750832</v>
      </c>
    </row>
    <row r="4812" spans="1:4" x14ac:dyDescent="0.2">
      <c r="A4812" s="24">
        <v>45200</v>
      </c>
      <c r="B4812" s="25" t="s">
        <v>134</v>
      </c>
      <c r="C4812" s="25" t="s">
        <v>4</v>
      </c>
      <c r="D4812" s="51">
        <v>1</v>
      </c>
    </row>
    <row r="4813" spans="1:4" x14ac:dyDescent="0.2">
      <c r="A4813" s="24">
        <v>45200</v>
      </c>
      <c r="B4813" s="25" t="s">
        <v>136</v>
      </c>
      <c r="C4813" s="25" t="s">
        <v>4</v>
      </c>
      <c r="D4813" s="51">
        <v>1</v>
      </c>
    </row>
    <row r="4814" spans="1:4" x14ac:dyDescent="0.2">
      <c r="A4814" s="24">
        <v>45200</v>
      </c>
      <c r="B4814" s="25" t="s">
        <v>119</v>
      </c>
      <c r="C4814" s="25" t="s">
        <v>4</v>
      </c>
      <c r="D4814" s="51">
        <v>913122</v>
      </c>
    </row>
    <row r="4815" spans="1:4" x14ac:dyDescent="0.2">
      <c r="A4815" s="24">
        <v>45200</v>
      </c>
      <c r="B4815" s="25" t="s">
        <v>138</v>
      </c>
      <c r="C4815" s="25" t="s">
        <v>4</v>
      </c>
      <c r="D4815" s="51">
        <v>46</v>
      </c>
    </row>
    <row r="4816" spans="1:4" x14ac:dyDescent="0.2">
      <c r="A4816" s="24">
        <v>45200</v>
      </c>
      <c r="B4816" s="25" t="s">
        <v>139</v>
      </c>
      <c r="C4816" s="25" t="s">
        <v>4</v>
      </c>
      <c r="D4816" s="51">
        <v>965</v>
      </c>
    </row>
    <row r="4817" spans="1:4" x14ac:dyDescent="0.2">
      <c r="A4817" s="24">
        <v>45200</v>
      </c>
      <c r="B4817" s="25" t="s">
        <v>120</v>
      </c>
      <c r="C4817" s="25" t="s">
        <v>4</v>
      </c>
      <c r="D4817" s="51">
        <v>62160</v>
      </c>
    </row>
    <row r="4818" spans="1:4" x14ac:dyDescent="0.2">
      <c r="A4818" s="24">
        <v>45200</v>
      </c>
      <c r="B4818" s="25" t="s">
        <v>121</v>
      </c>
      <c r="C4818" s="25" t="s">
        <v>4</v>
      </c>
      <c r="D4818" s="51">
        <v>29730</v>
      </c>
    </row>
    <row r="4819" spans="1:4" x14ac:dyDescent="0.2">
      <c r="A4819" s="24">
        <v>45200</v>
      </c>
      <c r="B4819" s="25" t="s">
        <v>140</v>
      </c>
      <c r="C4819" s="25" t="s">
        <v>4</v>
      </c>
      <c r="D4819" s="51">
        <v>22581</v>
      </c>
    </row>
    <row r="4820" spans="1:4" x14ac:dyDescent="0.2">
      <c r="A4820" s="24">
        <v>45200</v>
      </c>
      <c r="B4820" s="25" t="s">
        <v>122</v>
      </c>
      <c r="C4820" s="25" t="s">
        <v>4</v>
      </c>
      <c r="D4820" s="51">
        <v>1149219</v>
      </c>
    </row>
    <row r="4821" spans="1:4" x14ac:dyDescent="0.2">
      <c r="A4821" s="24">
        <v>45200</v>
      </c>
      <c r="B4821" s="25" t="s">
        <v>123</v>
      </c>
      <c r="C4821" s="25" t="s">
        <v>4</v>
      </c>
      <c r="D4821" s="51">
        <v>3261947</v>
      </c>
    </row>
    <row r="4822" spans="1:4" x14ac:dyDescent="0.2">
      <c r="A4822" s="24">
        <v>45200</v>
      </c>
      <c r="B4822" s="25" t="s">
        <v>117</v>
      </c>
      <c r="C4822" s="25" t="s">
        <v>8</v>
      </c>
      <c r="D4822" s="51">
        <v>442219</v>
      </c>
    </row>
    <row r="4823" spans="1:4" x14ac:dyDescent="0.2">
      <c r="A4823" s="24">
        <v>45200</v>
      </c>
      <c r="B4823" s="25" t="s">
        <v>137</v>
      </c>
      <c r="C4823" s="25" t="s">
        <v>8</v>
      </c>
      <c r="D4823" s="51">
        <v>702214</v>
      </c>
    </row>
    <row r="4824" spans="1:4" x14ac:dyDescent="0.2">
      <c r="A4824" s="24">
        <v>45200</v>
      </c>
      <c r="B4824" s="25" t="s">
        <v>118</v>
      </c>
      <c r="C4824" s="25" t="s">
        <v>8</v>
      </c>
      <c r="D4824" s="51">
        <v>86327</v>
      </c>
    </row>
    <row r="4825" spans="1:4" x14ac:dyDescent="0.2">
      <c r="A4825" s="24">
        <v>45200</v>
      </c>
      <c r="B4825" s="25" t="s">
        <v>119</v>
      </c>
      <c r="C4825" s="25" t="s">
        <v>8</v>
      </c>
      <c r="D4825" s="51">
        <v>20405</v>
      </c>
    </row>
    <row r="4826" spans="1:4" x14ac:dyDescent="0.2">
      <c r="A4826" s="24">
        <v>45200</v>
      </c>
      <c r="B4826" s="25" t="s">
        <v>139</v>
      </c>
      <c r="C4826" s="25" t="s">
        <v>8</v>
      </c>
      <c r="D4826" s="51">
        <v>25</v>
      </c>
    </row>
    <row r="4827" spans="1:4" x14ac:dyDescent="0.2">
      <c r="A4827" s="24">
        <v>45200</v>
      </c>
      <c r="B4827" s="25" t="s">
        <v>120</v>
      </c>
      <c r="C4827" s="25" t="s">
        <v>8</v>
      </c>
      <c r="D4827" s="51">
        <v>4548</v>
      </c>
    </row>
    <row r="4828" spans="1:4" x14ac:dyDescent="0.2">
      <c r="A4828" s="24">
        <v>45200</v>
      </c>
      <c r="B4828" s="25" t="s">
        <v>121</v>
      </c>
      <c r="C4828" s="25" t="s">
        <v>8</v>
      </c>
      <c r="D4828" s="51">
        <v>1941</v>
      </c>
    </row>
    <row r="4829" spans="1:4" x14ac:dyDescent="0.2">
      <c r="A4829" s="24">
        <v>45200</v>
      </c>
      <c r="B4829" s="25" t="s">
        <v>122</v>
      </c>
      <c r="C4829" s="25" t="s">
        <v>8</v>
      </c>
      <c r="D4829" s="51">
        <v>7801</v>
      </c>
    </row>
    <row r="4830" spans="1:4" x14ac:dyDescent="0.2">
      <c r="A4830" s="24">
        <v>45200</v>
      </c>
      <c r="B4830" s="25" t="s">
        <v>123</v>
      </c>
      <c r="C4830" s="25" t="s">
        <v>8</v>
      </c>
      <c r="D4830" s="51">
        <v>190452</v>
      </c>
    </row>
    <row r="4831" spans="1:4" x14ac:dyDescent="0.2">
      <c r="A4831" s="24">
        <v>45200</v>
      </c>
      <c r="B4831" s="25" t="s">
        <v>124</v>
      </c>
      <c r="C4831" s="25" t="s">
        <v>8</v>
      </c>
      <c r="D4831" s="51">
        <v>30061</v>
      </c>
    </row>
    <row r="4832" spans="1:4" x14ac:dyDescent="0.2">
      <c r="A4832" s="24">
        <v>45200</v>
      </c>
      <c r="B4832" s="25" t="s">
        <v>125</v>
      </c>
      <c r="C4832" s="25" t="s">
        <v>8</v>
      </c>
      <c r="D4832" s="51">
        <v>14062</v>
      </c>
    </row>
    <row r="4833" spans="1:4" x14ac:dyDescent="0.2">
      <c r="A4833" s="24">
        <v>45200</v>
      </c>
      <c r="B4833" s="25" t="s">
        <v>117</v>
      </c>
      <c r="C4833" s="25" t="s">
        <v>26</v>
      </c>
      <c r="D4833" s="51">
        <v>1348216</v>
      </c>
    </row>
    <row r="4834" spans="1:4" x14ac:dyDescent="0.2">
      <c r="A4834" s="24">
        <v>45200</v>
      </c>
      <c r="B4834" s="25" t="s">
        <v>137</v>
      </c>
      <c r="C4834" s="25" t="s">
        <v>26</v>
      </c>
      <c r="D4834" s="51">
        <v>1413262</v>
      </c>
    </row>
    <row r="4835" spans="1:4" x14ac:dyDescent="0.2">
      <c r="A4835" s="24">
        <v>45200</v>
      </c>
      <c r="B4835" s="25" t="s">
        <v>118</v>
      </c>
      <c r="C4835" s="25" t="s">
        <v>26</v>
      </c>
      <c r="D4835" s="51">
        <v>104704</v>
      </c>
    </row>
    <row r="4836" spans="1:4" x14ac:dyDescent="0.2">
      <c r="A4836" s="24">
        <v>45200</v>
      </c>
      <c r="B4836" s="25" t="s">
        <v>119</v>
      </c>
      <c r="C4836" s="25" t="s">
        <v>26</v>
      </c>
      <c r="D4836" s="51">
        <v>275764</v>
      </c>
    </row>
    <row r="4837" spans="1:4" x14ac:dyDescent="0.2">
      <c r="A4837" s="24">
        <v>45200</v>
      </c>
      <c r="B4837" s="25" t="s">
        <v>138</v>
      </c>
      <c r="C4837" s="25" t="s">
        <v>26</v>
      </c>
      <c r="D4837" s="51">
        <v>1</v>
      </c>
    </row>
    <row r="4838" spans="1:4" x14ac:dyDescent="0.2">
      <c r="A4838" s="24">
        <v>45200</v>
      </c>
      <c r="B4838" s="25" t="s">
        <v>139</v>
      </c>
      <c r="C4838" s="25" t="s">
        <v>26</v>
      </c>
      <c r="D4838" s="51">
        <v>68</v>
      </c>
    </row>
    <row r="4839" spans="1:4" x14ac:dyDescent="0.2">
      <c r="A4839" s="24">
        <v>45200</v>
      </c>
      <c r="B4839" s="25" t="s">
        <v>120</v>
      </c>
      <c r="C4839" s="25" t="s">
        <v>26</v>
      </c>
      <c r="D4839" s="51">
        <v>9672</v>
      </c>
    </row>
    <row r="4840" spans="1:4" x14ac:dyDescent="0.2">
      <c r="A4840" s="24">
        <v>45200</v>
      </c>
      <c r="B4840" s="25" t="s">
        <v>121</v>
      </c>
      <c r="C4840" s="25" t="s">
        <v>26</v>
      </c>
      <c r="D4840" s="51">
        <v>2962</v>
      </c>
    </row>
    <row r="4841" spans="1:4" x14ac:dyDescent="0.2">
      <c r="A4841" s="24">
        <v>45200</v>
      </c>
      <c r="B4841" s="25" t="s">
        <v>122</v>
      </c>
      <c r="C4841" s="25" t="s">
        <v>26</v>
      </c>
      <c r="D4841" s="51">
        <v>26385</v>
      </c>
    </row>
    <row r="4842" spans="1:4" x14ac:dyDescent="0.2">
      <c r="A4842" s="24">
        <v>45200</v>
      </c>
      <c r="B4842" s="25" t="s">
        <v>123</v>
      </c>
      <c r="C4842" s="25" t="s">
        <v>26</v>
      </c>
      <c r="D4842" s="51">
        <v>403177</v>
      </c>
    </row>
    <row r="4843" spans="1:4" x14ac:dyDescent="0.2">
      <c r="A4843" s="24">
        <v>45200</v>
      </c>
      <c r="B4843" s="25" t="s">
        <v>127</v>
      </c>
      <c r="C4843" s="25" t="s">
        <v>26</v>
      </c>
      <c r="D4843" s="51">
        <v>4201</v>
      </c>
    </row>
    <row r="4844" spans="1:4" x14ac:dyDescent="0.2">
      <c r="A4844" s="24">
        <v>45200</v>
      </c>
      <c r="B4844" s="25" t="s">
        <v>128</v>
      </c>
      <c r="C4844" s="25" t="s">
        <v>26</v>
      </c>
      <c r="D4844" s="51">
        <v>1770</v>
      </c>
    </row>
    <row r="4845" spans="1:4" x14ac:dyDescent="0.2">
      <c r="A4845" s="24">
        <v>45200</v>
      </c>
      <c r="B4845" s="25" t="s">
        <v>117</v>
      </c>
      <c r="C4845" s="25" t="s">
        <v>142</v>
      </c>
      <c r="D4845" s="51">
        <v>852938</v>
      </c>
    </row>
    <row r="4846" spans="1:4" x14ac:dyDescent="0.2">
      <c r="A4846" s="24">
        <v>45200</v>
      </c>
      <c r="B4846" s="25" t="s">
        <v>137</v>
      </c>
      <c r="C4846" s="25" t="s">
        <v>142</v>
      </c>
      <c r="D4846" s="51">
        <v>601032</v>
      </c>
    </row>
    <row r="4847" spans="1:4" x14ac:dyDescent="0.2">
      <c r="A4847" s="24">
        <v>45200</v>
      </c>
      <c r="B4847" s="25" t="s">
        <v>118</v>
      </c>
      <c r="C4847" s="25" t="s">
        <v>142</v>
      </c>
      <c r="D4847" s="51">
        <v>110704</v>
      </c>
    </row>
    <row r="4848" spans="1:4" x14ac:dyDescent="0.2">
      <c r="A4848" s="24">
        <v>45200</v>
      </c>
      <c r="B4848" s="25" t="s">
        <v>119</v>
      </c>
      <c r="C4848" s="25" t="s">
        <v>142</v>
      </c>
      <c r="D4848" s="51">
        <v>177429</v>
      </c>
    </row>
    <row r="4849" spans="1:4" x14ac:dyDescent="0.2">
      <c r="A4849" s="24">
        <v>45200</v>
      </c>
      <c r="B4849" s="25" t="s">
        <v>139</v>
      </c>
      <c r="C4849" s="25" t="s">
        <v>142</v>
      </c>
      <c r="D4849" s="51">
        <v>10</v>
      </c>
    </row>
    <row r="4850" spans="1:4" x14ac:dyDescent="0.2">
      <c r="A4850" s="24">
        <v>45200</v>
      </c>
      <c r="B4850" s="25" t="s">
        <v>120</v>
      </c>
      <c r="C4850" s="25" t="s">
        <v>142</v>
      </c>
      <c r="D4850" s="51">
        <v>10057</v>
      </c>
    </row>
    <row r="4851" spans="1:4" x14ac:dyDescent="0.2">
      <c r="A4851" s="24">
        <v>45200</v>
      </c>
      <c r="B4851" s="25" t="s">
        <v>121</v>
      </c>
      <c r="C4851" s="25" t="s">
        <v>142</v>
      </c>
      <c r="D4851" s="51">
        <v>1623</v>
      </c>
    </row>
    <row r="4852" spans="1:4" x14ac:dyDescent="0.2">
      <c r="A4852" s="24">
        <v>45200</v>
      </c>
      <c r="B4852" s="25" t="s">
        <v>122</v>
      </c>
      <c r="C4852" s="25" t="s">
        <v>142</v>
      </c>
      <c r="D4852" s="51">
        <v>128319</v>
      </c>
    </row>
    <row r="4853" spans="1:4" x14ac:dyDescent="0.2">
      <c r="A4853" s="24">
        <v>45200</v>
      </c>
      <c r="B4853" s="25" t="s">
        <v>123</v>
      </c>
      <c r="C4853" s="25" t="s">
        <v>142</v>
      </c>
      <c r="D4853" s="51">
        <v>141713</v>
      </c>
    </row>
    <row r="4854" spans="1:4" x14ac:dyDescent="0.2">
      <c r="A4854" s="24">
        <v>45200</v>
      </c>
      <c r="B4854" s="25" t="s">
        <v>129</v>
      </c>
      <c r="C4854" s="25" t="s">
        <v>142</v>
      </c>
      <c r="D4854" s="51">
        <v>4173</v>
      </c>
    </row>
    <row r="4855" spans="1:4" x14ac:dyDescent="0.2">
      <c r="A4855" s="24">
        <v>45200</v>
      </c>
      <c r="B4855" s="25" t="s">
        <v>130</v>
      </c>
      <c r="C4855" s="25" t="s">
        <v>142</v>
      </c>
      <c r="D4855" s="51">
        <v>5416</v>
      </c>
    </row>
    <row r="4856" spans="1:4" x14ac:dyDescent="0.2">
      <c r="A4856" s="24">
        <v>45200</v>
      </c>
      <c r="B4856" s="25" t="s">
        <v>117</v>
      </c>
      <c r="C4856" s="25" t="s">
        <v>2</v>
      </c>
      <c r="D4856" s="51">
        <v>11463667</v>
      </c>
    </row>
    <row r="4857" spans="1:4" x14ac:dyDescent="0.2">
      <c r="A4857" s="24">
        <v>45200</v>
      </c>
      <c r="B4857" s="25" t="s">
        <v>137</v>
      </c>
      <c r="C4857" s="25" t="s">
        <v>2</v>
      </c>
      <c r="D4857" s="51">
        <v>9076600</v>
      </c>
    </row>
    <row r="4858" spans="1:4" x14ac:dyDescent="0.2">
      <c r="A4858" s="24">
        <v>45200</v>
      </c>
      <c r="B4858" s="25" t="s">
        <v>118</v>
      </c>
      <c r="C4858" s="25" t="s">
        <v>2</v>
      </c>
      <c r="D4858" s="51">
        <v>705858</v>
      </c>
    </row>
    <row r="4859" spans="1:4" x14ac:dyDescent="0.2">
      <c r="A4859" s="24">
        <v>45200</v>
      </c>
      <c r="B4859" s="25" t="s">
        <v>119</v>
      </c>
      <c r="C4859" s="25" t="s">
        <v>2</v>
      </c>
      <c r="D4859" s="51">
        <v>1300116</v>
      </c>
    </row>
    <row r="4860" spans="1:4" x14ac:dyDescent="0.2">
      <c r="A4860" s="24">
        <v>45200</v>
      </c>
      <c r="B4860" s="25" t="s">
        <v>138</v>
      </c>
      <c r="C4860" s="25" t="s">
        <v>2</v>
      </c>
      <c r="D4860" s="51">
        <v>23</v>
      </c>
    </row>
    <row r="4861" spans="1:4" x14ac:dyDescent="0.2">
      <c r="A4861" s="24">
        <v>45200</v>
      </c>
      <c r="B4861" s="25" t="s">
        <v>139</v>
      </c>
      <c r="C4861" s="25" t="s">
        <v>2</v>
      </c>
      <c r="D4861" s="51">
        <v>999</v>
      </c>
    </row>
    <row r="4862" spans="1:4" x14ac:dyDescent="0.2">
      <c r="A4862" s="24">
        <v>45200</v>
      </c>
      <c r="B4862" s="25" t="s">
        <v>120</v>
      </c>
      <c r="C4862" s="25" t="s">
        <v>2</v>
      </c>
      <c r="D4862" s="51">
        <v>233221</v>
      </c>
    </row>
    <row r="4863" spans="1:4" x14ac:dyDescent="0.2">
      <c r="A4863" s="24">
        <v>45200</v>
      </c>
      <c r="B4863" s="25" t="s">
        <v>121</v>
      </c>
      <c r="C4863" s="25" t="s">
        <v>2</v>
      </c>
      <c r="D4863" s="51">
        <v>22991</v>
      </c>
    </row>
    <row r="4864" spans="1:4" x14ac:dyDescent="0.2">
      <c r="A4864" s="24">
        <v>45200</v>
      </c>
      <c r="B4864" s="25" t="s">
        <v>122</v>
      </c>
      <c r="C4864" s="25" t="s">
        <v>2</v>
      </c>
      <c r="D4864" s="51">
        <v>798096</v>
      </c>
    </row>
    <row r="4865" spans="1:4" x14ac:dyDescent="0.2">
      <c r="A4865" s="24">
        <v>45200</v>
      </c>
      <c r="B4865" s="25" t="s">
        <v>123</v>
      </c>
      <c r="C4865" s="25" t="s">
        <v>2</v>
      </c>
      <c r="D4865" s="51">
        <v>2357874</v>
      </c>
    </row>
    <row r="4866" spans="1:4" x14ac:dyDescent="0.2">
      <c r="A4866" s="24">
        <v>45200</v>
      </c>
      <c r="B4866" s="25" t="s">
        <v>129</v>
      </c>
      <c r="C4866" s="25" t="s">
        <v>2</v>
      </c>
      <c r="D4866" s="51">
        <v>96729</v>
      </c>
    </row>
    <row r="4867" spans="1:4" x14ac:dyDescent="0.2">
      <c r="A4867" s="24">
        <v>45200</v>
      </c>
      <c r="B4867" s="25" t="s">
        <v>130</v>
      </c>
      <c r="C4867" s="25" t="s">
        <v>2</v>
      </c>
      <c r="D4867" s="51">
        <v>49139</v>
      </c>
    </row>
    <row r="4868" spans="1:4" x14ac:dyDescent="0.2">
      <c r="A4868" s="24">
        <v>45231</v>
      </c>
      <c r="B4868" s="25" t="s">
        <v>117</v>
      </c>
      <c r="C4868" s="25" t="s">
        <v>4</v>
      </c>
      <c r="D4868" s="51">
        <v>7332267</v>
      </c>
    </row>
    <row r="4869" spans="1:4" x14ac:dyDescent="0.2">
      <c r="A4869" s="24">
        <v>45231</v>
      </c>
      <c r="B4869" s="25" t="s">
        <v>131</v>
      </c>
      <c r="C4869" s="25" t="s">
        <v>4</v>
      </c>
      <c r="D4869" s="51">
        <v>120</v>
      </c>
    </row>
    <row r="4870" spans="1:4" x14ac:dyDescent="0.2">
      <c r="A4870" s="24">
        <v>45231</v>
      </c>
      <c r="B4870" s="25" t="s">
        <v>132</v>
      </c>
      <c r="C4870" s="25" t="s">
        <v>4</v>
      </c>
      <c r="D4870" s="51">
        <v>72</v>
      </c>
    </row>
    <row r="4871" spans="1:4" x14ac:dyDescent="0.2">
      <c r="A4871" s="24">
        <v>45231</v>
      </c>
      <c r="B4871" s="25" t="s">
        <v>133</v>
      </c>
      <c r="C4871" s="25" t="s">
        <v>4</v>
      </c>
      <c r="D4871" s="51">
        <v>29</v>
      </c>
    </row>
    <row r="4872" spans="1:4" x14ac:dyDescent="0.2">
      <c r="A4872" s="24">
        <v>45231</v>
      </c>
      <c r="B4872" s="25" t="s">
        <v>137</v>
      </c>
      <c r="C4872" s="25" t="s">
        <v>4</v>
      </c>
      <c r="D4872" s="51">
        <v>7022689</v>
      </c>
    </row>
    <row r="4873" spans="1:4" x14ac:dyDescent="0.2">
      <c r="A4873" s="24">
        <v>45231</v>
      </c>
      <c r="B4873" s="25" t="s">
        <v>118</v>
      </c>
      <c r="C4873" s="25" t="s">
        <v>4</v>
      </c>
      <c r="D4873" s="51">
        <v>638475</v>
      </c>
    </row>
    <row r="4874" spans="1:4" x14ac:dyDescent="0.2">
      <c r="A4874" s="24">
        <v>45231</v>
      </c>
      <c r="B4874" s="25" t="s">
        <v>135</v>
      </c>
      <c r="C4874" s="25" t="s">
        <v>4</v>
      </c>
      <c r="D4874" s="51">
        <v>1</v>
      </c>
    </row>
    <row r="4875" spans="1:4" x14ac:dyDescent="0.2">
      <c r="A4875" s="24">
        <v>45231</v>
      </c>
      <c r="B4875" s="25" t="s">
        <v>136</v>
      </c>
      <c r="C4875" s="25" t="s">
        <v>4</v>
      </c>
      <c r="D4875" s="51">
        <v>2</v>
      </c>
    </row>
    <row r="4876" spans="1:4" x14ac:dyDescent="0.2">
      <c r="A4876" s="24">
        <v>45231</v>
      </c>
      <c r="B4876" s="25" t="s">
        <v>119</v>
      </c>
      <c r="C4876" s="25" t="s">
        <v>4</v>
      </c>
      <c r="D4876" s="51">
        <v>764431</v>
      </c>
    </row>
    <row r="4877" spans="1:4" x14ac:dyDescent="0.2">
      <c r="A4877" s="24">
        <v>45231</v>
      </c>
      <c r="B4877" s="25" t="s">
        <v>138</v>
      </c>
      <c r="C4877" s="25" t="s">
        <v>4</v>
      </c>
      <c r="D4877" s="51">
        <v>35</v>
      </c>
    </row>
    <row r="4878" spans="1:4" x14ac:dyDescent="0.2">
      <c r="A4878" s="24">
        <v>45231</v>
      </c>
      <c r="B4878" s="25" t="s">
        <v>139</v>
      </c>
      <c r="C4878" s="25" t="s">
        <v>4</v>
      </c>
      <c r="D4878" s="51">
        <v>1000</v>
      </c>
    </row>
    <row r="4879" spans="1:4" x14ac:dyDescent="0.2">
      <c r="A4879" s="24">
        <v>45231</v>
      </c>
      <c r="B4879" s="25" t="s">
        <v>120</v>
      </c>
      <c r="C4879" s="25" t="s">
        <v>4</v>
      </c>
      <c r="D4879" s="51">
        <v>62959</v>
      </c>
    </row>
    <row r="4880" spans="1:4" x14ac:dyDescent="0.2">
      <c r="A4880" s="24">
        <v>45231</v>
      </c>
      <c r="B4880" s="25" t="s">
        <v>121</v>
      </c>
      <c r="C4880" s="25" t="s">
        <v>4</v>
      </c>
      <c r="D4880" s="51">
        <v>30071</v>
      </c>
    </row>
    <row r="4881" spans="1:4" x14ac:dyDescent="0.2">
      <c r="A4881" s="24">
        <v>45231</v>
      </c>
      <c r="B4881" s="25" t="s">
        <v>140</v>
      </c>
      <c r="C4881" s="25" t="s">
        <v>4</v>
      </c>
      <c r="D4881" s="51">
        <v>22514</v>
      </c>
    </row>
    <row r="4882" spans="1:4" x14ac:dyDescent="0.2">
      <c r="A4882" s="24">
        <v>45231</v>
      </c>
      <c r="B4882" s="25" t="s">
        <v>122</v>
      </c>
      <c r="C4882" s="25" t="s">
        <v>4</v>
      </c>
      <c r="D4882" s="51">
        <v>1421368</v>
      </c>
    </row>
    <row r="4883" spans="1:4" x14ac:dyDescent="0.2">
      <c r="A4883" s="24">
        <v>45231</v>
      </c>
      <c r="B4883" s="25" t="s">
        <v>123</v>
      </c>
      <c r="C4883" s="25" t="s">
        <v>4</v>
      </c>
      <c r="D4883" s="51">
        <v>3352004</v>
      </c>
    </row>
    <row r="4884" spans="1:4" x14ac:dyDescent="0.2">
      <c r="A4884" s="24">
        <v>45231</v>
      </c>
      <c r="B4884" s="25" t="s">
        <v>117</v>
      </c>
      <c r="C4884" s="25" t="s">
        <v>8</v>
      </c>
      <c r="D4884" s="51">
        <v>404050</v>
      </c>
    </row>
    <row r="4885" spans="1:4" x14ac:dyDescent="0.2">
      <c r="A4885" s="24">
        <v>45231</v>
      </c>
      <c r="B4885" s="25" t="s">
        <v>137</v>
      </c>
      <c r="C4885" s="25" t="s">
        <v>8</v>
      </c>
      <c r="D4885" s="51">
        <v>700752</v>
      </c>
    </row>
    <row r="4886" spans="1:4" x14ac:dyDescent="0.2">
      <c r="A4886" s="24">
        <v>45231</v>
      </c>
      <c r="B4886" s="25" t="s">
        <v>118</v>
      </c>
      <c r="C4886" s="25" t="s">
        <v>8</v>
      </c>
      <c r="D4886" s="51">
        <v>54515</v>
      </c>
    </row>
    <row r="4887" spans="1:4" x14ac:dyDescent="0.2">
      <c r="A4887" s="24">
        <v>45231</v>
      </c>
      <c r="B4887" s="25" t="s">
        <v>119</v>
      </c>
      <c r="C4887" s="25" t="s">
        <v>8</v>
      </c>
      <c r="D4887" s="51">
        <v>16881</v>
      </c>
    </row>
    <row r="4888" spans="1:4" x14ac:dyDescent="0.2">
      <c r="A4888" s="24">
        <v>45231</v>
      </c>
      <c r="B4888" s="25" t="s">
        <v>138</v>
      </c>
      <c r="C4888" s="25" t="s">
        <v>8</v>
      </c>
      <c r="D4888" s="51">
        <v>179</v>
      </c>
    </row>
    <row r="4889" spans="1:4" x14ac:dyDescent="0.2">
      <c r="A4889" s="24">
        <v>45231</v>
      </c>
      <c r="B4889" s="25" t="s">
        <v>139</v>
      </c>
      <c r="C4889" s="25" t="s">
        <v>8</v>
      </c>
      <c r="D4889" s="51">
        <v>51</v>
      </c>
    </row>
    <row r="4890" spans="1:4" x14ac:dyDescent="0.2">
      <c r="A4890" s="24">
        <v>45231</v>
      </c>
      <c r="B4890" s="25" t="s">
        <v>120</v>
      </c>
      <c r="C4890" s="25" t="s">
        <v>8</v>
      </c>
      <c r="D4890" s="51">
        <v>4495</v>
      </c>
    </row>
    <row r="4891" spans="1:4" x14ac:dyDescent="0.2">
      <c r="A4891" s="24">
        <v>45231</v>
      </c>
      <c r="B4891" s="25" t="s">
        <v>121</v>
      </c>
      <c r="C4891" s="25" t="s">
        <v>8</v>
      </c>
      <c r="D4891" s="51">
        <v>1798</v>
      </c>
    </row>
    <row r="4892" spans="1:4" x14ac:dyDescent="0.2">
      <c r="A4892" s="24">
        <v>45231</v>
      </c>
      <c r="B4892" s="25" t="s">
        <v>122</v>
      </c>
      <c r="C4892" s="25" t="s">
        <v>8</v>
      </c>
      <c r="D4892" s="51">
        <v>11206</v>
      </c>
    </row>
    <row r="4893" spans="1:4" x14ac:dyDescent="0.2">
      <c r="A4893" s="24">
        <v>45231</v>
      </c>
      <c r="B4893" s="25" t="s">
        <v>123</v>
      </c>
      <c r="C4893" s="25" t="s">
        <v>8</v>
      </c>
      <c r="D4893" s="51">
        <v>178886</v>
      </c>
    </row>
    <row r="4894" spans="1:4" x14ac:dyDescent="0.2">
      <c r="A4894" s="24">
        <v>45231</v>
      </c>
      <c r="B4894" s="25" t="s">
        <v>124</v>
      </c>
      <c r="C4894" s="25" t="s">
        <v>8</v>
      </c>
      <c r="D4894" s="51">
        <v>26596</v>
      </c>
    </row>
    <row r="4895" spans="1:4" x14ac:dyDescent="0.2">
      <c r="A4895" s="24">
        <v>45231</v>
      </c>
      <c r="B4895" s="25" t="s">
        <v>125</v>
      </c>
      <c r="C4895" s="25" t="s">
        <v>8</v>
      </c>
      <c r="D4895" s="51">
        <v>7473</v>
      </c>
    </row>
    <row r="4896" spans="1:4" x14ac:dyDescent="0.2">
      <c r="A4896" s="24">
        <v>45231</v>
      </c>
      <c r="B4896" s="25" t="s">
        <v>117</v>
      </c>
      <c r="C4896" s="25" t="s">
        <v>26</v>
      </c>
      <c r="D4896" s="51">
        <v>1303119</v>
      </c>
    </row>
    <row r="4897" spans="1:4" x14ac:dyDescent="0.2">
      <c r="A4897" s="24">
        <v>45231</v>
      </c>
      <c r="B4897" s="25" t="s">
        <v>137</v>
      </c>
      <c r="C4897" s="25" t="s">
        <v>26</v>
      </c>
      <c r="D4897" s="51">
        <v>1454149</v>
      </c>
    </row>
    <row r="4898" spans="1:4" x14ac:dyDescent="0.2">
      <c r="A4898" s="24">
        <v>45231</v>
      </c>
      <c r="B4898" s="25" t="s">
        <v>118</v>
      </c>
      <c r="C4898" s="25" t="s">
        <v>26</v>
      </c>
      <c r="D4898" s="51">
        <v>82530</v>
      </c>
    </row>
    <row r="4899" spans="1:4" x14ac:dyDescent="0.2">
      <c r="A4899" s="24">
        <v>45231</v>
      </c>
      <c r="B4899" s="25" t="s">
        <v>119</v>
      </c>
      <c r="C4899" s="25" t="s">
        <v>26</v>
      </c>
      <c r="D4899" s="51">
        <v>228118</v>
      </c>
    </row>
    <row r="4900" spans="1:4" x14ac:dyDescent="0.2">
      <c r="A4900" s="24">
        <v>45231</v>
      </c>
      <c r="B4900" s="25" t="s">
        <v>138</v>
      </c>
      <c r="C4900" s="25" t="s">
        <v>26</v>
      </c>
      <c r="D4900" s="51">
        <v>6</v>
      </c>
    </row>
    <row r="4901" spans="1:4" x14ac:dyDescent="0.2">
      <c r="A4901" s="24">
        <v>45231</v>
      </c>
      <c r="B4901" s="25" t="s">
        <v>139</v>
      </c>
      <c r="C4901" s="25" t="s">
        <v>26</v>
      </c>
      <c r="D4901" s="51">
        <v>23</v>
      </c>
    </row>
    <row r="4902" spans="1:4" x14ac:dyDescent="0.2">
      <c r="A4902" s="24">
        <v>45231</v>
      </c>
      <c r="B4902" s="25" t="s">
        <v>120</v>
      </c>
      <c r="C4902" s="25" t="s">
        <v>26</v>
      </c>
      <c r="D4902" s="51">
        <v>10259</v>
      </c>
    </row>
    <row r="4903" spans="1:4" x14ac:dyDescent="0.2">
      <c r="A4903" s="24">
        <v>45231</v>
      </c>
      <c r="B4903" s="25" t="s">
        <v>121</v>
      </c>
      <c r="C4903" s="25" t="s">
        <v>26</v>
      </c>
      <c r="D4903" s="51">
        <v>3282</v>
      </c>
    </row>
    <row r="4904" spans="1:4" x14ac:dyDescent="0.2">
      <c r="A4904" s="24">
        <v>45231</v>
      </c>
      <c r="B4904" s="25" t="s">
        <v>122</v>
      </c>
      <c r="C4904" s="25" t="s">
        <v>26</v>
      </c>
      <c r="D4904" s="51">
        <v>36321</v>
      </c>
    </row>
    <row r="4905" spans="1:4" x14ac:dyDescent="0.2">
      <c r="A4905" s="24">
        <v>45231</v>
      </c>
      <c r="B4905" s="25" t="s">
        <v>123</v>
      </c>
      <c r="C4905" s="25" t="s">
        <v>26</v>
      </c>
      <c r="D4905" s="51">
        <v>395800</v>
      </c>
    </row>
    <row r="4906" spans="1:4" x14ac:dyDescent="0.2">
      <c r="A4906" s="24">
        <v>45231</v>
      </c>
      <c r="B4906" s="25" t="s">
        <v>127</v>
      </c>
      <c r="C4906" s="25" t="s">
        <v>26</v>
      </c>
      <c r="D4906" s="51">
        <v>4257</v>
      </c>
    </row>
    <row r="4907" spans="1:4" x14ac:dyDescent="0.2">
      <c r="A4907" s="24">
        <v>45231</v>
      </c>
      <c r="B4907" s="25" t="s">
        <v>128</v>
      </c>
      <c r="C4907" s="25" t="s">
        <v>26</v>
      </c>
      <c r="D4907" s="51">
        <v>1258</v>
      </c>
    </row>
    <row r="4908" spans="1:4" x14ac:dyDescent="0.2">
      <c r="A4908" s="24">
        <v>45231</v>
      </c>
      <c r="B4908" s="25" t="s">
        <v>117</v>
      </c>
      <c r="C4908" s="25" t="s">
        <v>142</v>
      </c>
      <c r="D4908" s="51">
        <v>854398</v>
      </c>
    </row>
    <row r="4909" spans="1:4" x14ac:dyDescent="0.2">
      <c r="A4909" s="24">
        <v>45231</v>
      </c>
      <c r="B4909" s="25" t="s">
        <v>137</v>
      </c>
      <c r="C4909" s="25" t="s">
        <v>142</v>
      </c>
      <c r="D4909" s="51">
        <v>611217</v>
      </c>
    </row>
    <row r="4910" spans="1:4" x14ac:dyDescent="0.2">
      <c r="A4910" s="24">
        <v>45231</v>
      </c>
      <c r="B4910" s="25" t="s">
        <v>118</v>
      </c>
      <c r="C4910" s="25" t="s">
        <v>142</v>
      </c>
      <c r="D4910" s="51">
        <v>90685</v>
      </c>
    </row>
    <row r="4911" spans="1:4" x14ac:dyDescent="0.2">
      <c r="A4911" s="24">
        <v>45231</v>
      </c>
      <c r="B4911" s="25" t="s">
        <v>119</v>
      </c>
      <c r="C4911" s="25" t="s">
        <v>142</v>
      </c>
      <c r="D4911" s="51">
        <v>128213</v>
      </c>
    </row>
    <row r="4912" spans="1:4" x14ac:dyDescent="0.2">
      <c r="A4912" s="24">
        <v>45231</v>
      </c>
      <c r="B4912" s="25" t="s">
        <v>139</v>
      </c>
      <c r="C4912" s="25" t="s">
        <v>142</v>
      </c>
      <c r="D4912" s="51">
        <v>103</v>
      </c>
    </row>
    <row r="4913" spans="1:4" x14ac:dyDescent="0.2">
      <c r="A4913" s="24">
        <v>45231</v>
      </c>
      <c r="B4913" s="25" t="s">
        <v>120</v>
      </c>
      <c r="C4913" s="25" t="s">
        <v>142</v>
      </c>
      <c r="D4913" s="51">
        <v>10148</v>
      </c>
    </row>
    <row r="4914" spans="1:4" x14ac:dyDescent="0.2">
      <c r="A4914" s="24">
        <v>45231</v>
      </c>
      <c r="B4914" s="25" t="s">
        <v>121</v>
      </c>
      <c r="C4914" s="25" t="s">
        <v>142</v>
      </c>
      <c r="D4914" s="51">
        <v>1674</v>
      </c>
    </row>
    <row r="4915" spans="1:4" x14ac:dyDescent="0.2">
      <c r="A4915" s="24">
        <v>45231</v>
      </c>
      <c r="B4915" s="25" t="s">
        <v>122</v>
      </c>
      <c r="C4915" s="25" t="s">
        <v>142</v>
      </c>
      <c r="D4915" s="51">
        <v>166224</v>
      </c>
    </row>
    <row r="4916" spans="1:4" x14ac:dyDescent="0.2">
      <c r="A4916" s="24">
        <v>45231</v>
      </c>
      <c r="B4916" s="25" t="s">
        <v>123</v>
      </c>
      <c r="C4916" s="25" t="s">
        <v>142</v>
      </c>
      <c r="D4916" s="51">
        <v>147231</v>
      </c>
    </row>
    <row r="4917" spans="1:4" x14ac:dyDescent="0.2">
      <c r="A4917" s="24">
        <v>45231</v>
      </c>
      <c r="B4917" s="25" t="s">
        <v>129</v>
      </c>
      <c r="C4917" s="25" t="s">
        <v>142</v>
      </c>
      <c r="D4917" s="51">
        <v>4240</v>
      </c>
    </row>
    <row r="4918" spans="1:4" x14ac:dyDescent="0.2">
      <c r="A4918" s="24">
        <v>45231</v>
      </c>
      <c r="B4918" s="25" t="s">
        <v>130</v>
      </c>
      <c r="C4918" s="25" t="s">
        <v>142</v>
      </c>
      <c r="D4918" s="51">
        <v>4173</v>
      </c>
    </row>
    <row r="4919" spans="1:4" x14ac:dyDescent="0.2">
      <c r="A4919" s="24">
        <v>45231</v>
      </c>
      <c r="B4919" s="25" t="s">
        <v>117</v>
      </c>
      <c r="C4919" s="25" t="s">
        <v>2</v>
      </c>
      <c r="D4919" s="51">
        <v>11520770</v>
      </c>
    </row>
    <row r="4920" spans="1:4" x14ac:dyDescent="0.2">
      <c r="A4920" s="24">
        <v>45231</v>
      </c>
      <c r="B4920" s="25" t="s">
        <v>137</v>
      </c>
      <c r="C4920" s="25" t="s">
        <v>2</v>
      </c>
      <c r="D4920" s="51">
        <v>9333408</v>
      </c>
    </row>
    <row r="4921" spans="1:4" x14ac:dyDescent="0.2">
      <c r="A4921" s="24">
        <v>45231</v>
      </c>
      <c r="B4921" s="25" t="s">
        <v>118</v>
      </c>
      <c r="C4921" s="25" t="s">
        <v>2</v>
      </c>
      <c r="D4921" s="51">
        <v>591971</v>
      </c>
    </row>
    <row r="4922" spans="1:4" x14ac:dyDescent="0.2">
      <c r="A4922" s="24">
        <v>45231</v>
      </c>
      <c r="B4922" s="25" t="s">
        <v>119</v>
      </c>
      <c r="C4922" s="25" t="s">
        <v>2</v>
      </c>
      <c r="D4922" s="51">
        <v>1036134</v>
      </c>
    </row>
    <row r="4923" spans="1:4" x14ac:dyDescent="0.2">
      <c r="A4923" s="24">
        <v>45231</v>
      </c>
      <c r="B4923" s="25" t="s">
        <v>138</v>
      </c>
      <c r="C4923" s="25" t="s">
        <v>2</v>
      </c>
      <c r="D4923" s="51">
        <v>99</v>
      </c>
    </row>
    <row r="4924" spans="1:4" x14ac:dyDescent="0.2">
      <c r="A4924" s="24">
        <v>45231</v>
      </c>
      <c r="B4924" s="25" t="s">
        <v>139</v>
      </c>
      <c r="C4924" s="25" t="s">
        <v>2</v>
      </c>
      <c r="D4924" s="51">
        <v>847</v>
      </c>
    </row>
    <row r="4925" spans="1:4" x14ac:dyDescent="0.2">
      <c r="A4925" s="24">
        <v>45231</v>
      </c>
      <c r="B4925" s="25" t="s">
        <v>120</v>
      </c>
      <c r="C4925" s="25" t="s">
        <v>2</v>
      </c>
      <c r="D4925" s="51">
        <v>240870</v>
      </c>
    </row>
    <row r="4926" spans="1:4" x14ac:dyDescent="0.2">
      <c r="A4926" s="24">
        <v>45231</v>
      </c>
      <c r="B4926" s="25" t="s">
        <v>121</v>
      </c>
      <c r="C4926" s="25" t="s">
        <v>2</v>
      </c>
      <c r="D4926" s="51">
        <v>24423</v>
      </c>
    </row>
    <row r="4927" spans="1:4" x14ac:dyDescent="0.2">
      <c r="A4927" s="24">
        <v>45231</v>
      </c>
      <c r="B4927" s="25" t="s">
        <v>122</v>
      </c>
      <c r="C4927" s="25" t="s">
        <v>2</v>
      </c>
      <c r="D4927" s="51">
        <v>1015165</v>
      </c>
    </row>
    <row r="4928" spans="1:4" x14ac:dyDescent="0.2">
      <c r="A4928" s="24">
        <v>45231</v>
      </c>
      <c r="B4928" s="25" t="s">
        <v>123</v>
      </c>
      <c r="C4928" s="25" t="s">
        <v>2</v>
      </c>
      <c r="D4928" s="51">
        <v>2426988</v>
      </c>
    </row>
    <row r="4929" spans="1:4" x14ac:dyDescent="0.2">
      <c r="A4929" s="24">
        <v>45231</v>
      </c>
      <c r="B4929" s="25" t="s">
        <v>129</v>
      </c>
      <c r="C4929" s="25" t="s">
        <v>2</v>
      </c>
      <c r="D4929" s="51">
        <v>98566</v>
      </c>
    </row>
    <row r="4930" spans="1:4" x14ac:dyDescent="0.2">
      <c r="A4930" s="24">
        <v>45231</v>
      </c>
      <c r="B4930" s="25" t="s">
        <v>130</v>
      </c>
      <c r="C4930" s="25" t="s">
        <v>2</v>
      </c>
      <c r="D4930" s="51">
        <v>37905</v>
      </c>
    </row>
    <row r="4931" spans="1:4" x14ac:dyDescent="0.2">
      <c r="A4931" s="24">
        <v>45261</v>
      </c>
      <c r="B4931" s="25" t="s">
        <v>117</v>
      </c>
      <c r="C4931" s="25" t="s">
        <v>4</v>
      </c>
      <c r="D4931" s="51">
        <v>6558058</v>
      </c>
    </row>
    <row r="4932" spans="1:4" x14ac:dyDescent="0.2">
      <c r="A4932" s="24">
        <v>45261</v>
      </c>
      <c r="B4932" s="25" t="s">
        <v>131</v>
      </c>
      <c r="C4932" s="25" t="s">
        <v>4</v>
      </c>
      <c r="D4932" s="51">
        <v>140</v>
      </c>
    </row>
    <row r="4933" spans="1:4" x14ac:dyDescent="0.2">
      <c r="A4933" s="24">
        <v>45261</v>
      </c>
      <c r="B4933" s="25" t="s">
        <v>132</v>
      </c>
      <c r="C4933" s="25" t="s">
        <v>4</v>
      </c>
      <c r="D4933" s="51">
        <v>36</v>
      </c>
    </row>
    <row r="4934" spans="1:4" x14ac:dyDescent="0.2">
      <c r="A4934" s="24">
        <v>45261</v>
      </c>
      <c r="B4934" s="25" t="s">
        <v>133</v>
      </c>
      <c r="C4934" s="25" t="s">
        <v>4</v>
      </c>
      <c r="D4934" s="51">
        <v>21</v>
      </c>
    </row>
    <row r="4935" spans="1:4" x14ac:dyDescent="0.2">
      <c r="A4935" s="24">
        <v>45261</v>
      </c>
      <c r="B4935" s="25" t="s">
        <v>137</v>
      </c>
      <c r="C4935" s="25" t="s">
        <v>4</v>
      </c>
      <c r="D4935" s="51">
        <v>6687137</v>
      </c>
    </row>
    <row r="4936" spans="1:4" x14ac:dyDescent="0.2">
      <c r="A4936" s="24">
        <v>45261</v>
      </c>
      <c r="B4936" s="25" t="s">
        <v>118</v>
      </c>
      <c r="C4936" s="25" t="s">
        <v>4</v>
      </c>
      <c r="D4936" s="51">
        <v>788695</v>
      </c>
    </row>
    <row r="4937" spans="1:4" x14ac:dyDescent="0.2">
      <c r="A4937" s="24">
        <v>45261</v>
      </c>
      <c r="B4937" s="25" t="s">
        <v>134</v>
      </c>
      <c r="C4937" s="25" t="s">
        <v>4</v>
      </c>
      <c r="D4937" s="51">
        <v>2</v>
      </c>
    </row>
    <row r="4938" spans="1:4" x14ac:dyDescent="0.2">
      <c r="A4938" s="24">
        <v>45261</v>
      </c>
      <c r="B4938" s="25" t="s">
        <v>135</v>
      </c>
      <c r="C4938" s="25" t="s">
        <v>4</v>
      </c>
      <c r="D4938" s="51">
        <v>1</v>
      </c>
    </row>
    <row r="4939" spans="1:4" x14ac:dyDescent="0.2">
      <c r="A4939" s="24">
        <v>45261</v>
      </c>
      <c r="B4939" s="25" t="s">
        <v>119</v>
      </c>
      <c r="C4939" s="25" t="s">
        <v>4</v>
      </c>
      <c r="D4939" s="51">
        <v>564924</v>
      </c>
    </row>
    <row r="4940" spans="1:4" x14ac:dyDescent="0.2">
      <c r="A4940" s="24">
        <v>45261</v>
      </c>
      <c r="B4940" s="25" t="s">
        <v>138</v>
      </c>
      <c r="C4940" s="25" t="s">
        <v>4</v>
      </c>
      <c r="D4940" s="51">
        <v>17</v>
      </c>
    </row>
    <row r="4941" spans="1:4" x14ac:dyDescent="0.2">
      <c r="A4941" s="24">
        <v>45261</v>
      </c>
      <c r="B4941" s="25" t="s">
        <v>139</v>
      </c>
      <c r="C4941" s="25" t="s">
        <v>4</v>
      </c>
      <c r="D4941" s="51">
        <v>1002</v>
      </c>
    </row>
    <row r="4942" spans="1:4" x14ac:dyDescent="0.2">
      <c r="A4942" s="24">
        <v>45261</v>
      </c>
      <c r="B4942" s="25" t="s">
        <v>120</v>
      </c>
      <c r="C4942" s="25" t="s">
        <v>4</v>
      </c>
      <c r="D4942" s="51">
        <v>59638</v>
      </c>
    </row>
    <row r="4943" spans="1:4" x14ac:dyDescent="0.2">
      <c r="A4943" s="24">
        <v>45261</v>
      </c>
      <c r="B4943" s="25" t="s">
        <v>121</v>
      </c>
      <c r="C4943" s="25" t="s">
        <v>4</v>
      </c>
      <c r="D4943" s="51">
        <v>27716</v>
      </c>
    </row>
    <row r="4944" spans="1:4" x14ac:dyDescent="0.2">
      <c r="A4944" s="24">
        <v>45261</v>
      </c>
      <c r="B4944" s="25" t="s">
        <v>140</v>
      </c>
      <c r="C4944" s="25" t="s">
        <v>4</v>
      </c>
      <c r="D4944" s="51">
        <v>19650</v>
      </c>
    </row>
    <row r="4945" spans="1:4" x14ac:dyDescent="0.2">
      <c r="A4945" s="24">
        <v>45261</v>
      </c>
      <c r="B4945" s="25" t="s">
        <v>122</v>
      </c>
      <c r="C4945" s="25" t="s">
        <v>4</v>
      </c>
      <c r="D4945" s="51">
        <v>547473</v>
      </c>
    </row>
    <row r="4946" spans="1:4" x14ac:dyDescent="0.2">
      <c r="A4946" s="24">
        <v>45261</v>
      </c>
      <c r="B4946" s="25" t="s">
        <v>123</v>
      </c>
      <c r="C4946" s="25" t="s">
        <v>4</v>
      </c>
      <c r="D4946" s="51">
        <v>3116395</v>
      </c>
    </row>
    <row r="4947" spans="1:4" x14ac:dyDescent="0.2">
      <c r="A4947" s="24">
        <v>45261</v>
      </c>
      <c r="B4947" s="25" t="s">
        <v>117</v>
      </c>
      <c r="C4947" s="25" t="s">
        <v>8</v>
      </c>
      <c r="D4947" s="51">
        <v>491772</v>
      </c>
    </row>
    <row r="4948" spans="1:4" x14ac:dyDescent="0.2">
      <c r="A4948" s="24">
        <v>45261</v>
      </c>
      <c r="B4948" s="25" t="s">
        <v>137</v>
      </c>
      <c r="C4948" s="25" t="s">
        <v>8</v>
      </c>
      <c r="D4948" s="51">
        <v>871206</v>
      </c>
    </row>
    <row r="4949" spans="1:4" x14ac:dyDescent="0.2">
      <c r="A4949" s="24">
        <v>45261</v>
      </c>
      <c r="B4949" s="25" t="s">
        <v>118</v>
      </c>
      <c r="C4949" s="25" t="s">
        <v>8</v>
      </c>
      <c r="D4949" s="51">
        <v>117082</v>
      </c>
    </row>
    <row r="4950" spans="1:4" x14ac:dyDescent="0.2">
      <c r="A4950" s="24">
        <v>45261</v>
      </c>
      <c r="B4950" s="25" t="s">
        <v>119</v>
      </c>
      <c r="C4950" s="25" t="s">
        <v>8</v>
      </c>
      <c r="D4950" s="51">
        <v>20165</v>
      </c>
    </row>
    <row r="4951" spans="1:4" x14ac:dyDescent="0.2">
      <c r="A4951" s="24">
        <v>45261</v>
      </c>
      <c r="B4951" s="25" t="s">
        <v>138</v>
      </c>
      <c r="C4951" s="25" t="s">
        <v>8</v>
      </c>
      <c r="D4951" s="51">
        <v>1</v>
      </c>
    </row>
    <row r="4952" spans="1:4" x14ac:dyDescent="0.2">
      <c r="A4952" s="24">
        <v>45261</v>
      </c>
      <c r="B4952" s="25" t="s">
        <v>139</v>
      </c>
      <c r="C4952" s="25" t="s">
        <v>8</v>
      </c>
      <c r="D4952" s="51">
        <v>54</v>
      </c>
    </row>
    <row r="4953" spans="1:4" x14ac:dyDescent="0.2">
      <c r="A4953" s="24">
        <v>45261</v>
      </c>
      <c r="B4953" s="25" t="s">
        <v>120</v>
      </c>
      <c r="C4953" s="25" t="s">
        <v>8</v>
      </c>
      <c r="D4953" s="51">
        <v>4786</v>
      </c>
    </row>
    <row r="4954" spans="1:4" x14ac:dyDescent="0.2">
      <c r="A4954" s="24">
        <v>45261</v>
      </c>
      <c r="B4954" s="25" t="s">
        <v>121</v>
      </c>
      <c r="C4954" s="25" t="s">
        <v>8</v>
      </c>
      <c r="D4954" s="51">
        <v>1937</v>
      </c>
    </row>
    <row r="4955" spans="1:4" x14ac:dyDescent="0.2">
      <c r="A4955" s="24">
        <v>45261</v>
      </c>
      <c r="B4955" s="25" t="s">
        <v>122</v>
      </c>
      <c r="C4955" s="25" t="s">
        <v>8</v>
      </c>
      <c r="D4955" s="51">
        <v>7817</v>
      </c>
    </row>
    <row r="4956" spans="1:4" x14ac:dyDescent="0.2">
      <c r="A4956" s="24">
        <v>45261</v>
      </c>
      <c r="B4956" s="25" t="s">
        <v>123</v>
      </c>
      <c r="C4956" s="25" t="s">
        <v>8</v>
      </c>
      <c r="D4956" s="51">
        <v>189510</v>
      </c>
    </row>
    <row r="4957" spans="1:4" x14ac:dyDescent="0.2">
      <c r="A4957" s="24">
        <v>45261</v>
      </c>
      <c r="B4957" s="25" t="s">
        <v>124</v>
      </c>
      <c r="C4957" s="25" t="s">
        <v>8</v>
      </c>
      <c r="D4957" s="51">
        <v>43482</v>
      </c>
    </row>
    <row r="4958" spans="1:4" x14ac:dyDescent="0.2">
      <c r="A4958" s="24">
        <v>45261</v>
      </c>
      <c r="B4958" s="25" t="s">
        <v>125</v>
      </c>
      <c r="C4958" s="25" t="s">
        <v>8</v>
      </c>
      <c r="D4958" s="51">
        <v>23980</v>
      </c>
    </row>
    <row r="4959" spans="1:4" x14ac:dyDescent="0.2">
      <c r="A4959" s="24">
        <v>45261</v>
      </c>
      <c r="B4959" s="25" t="s">
        <v>117</v>
      </c>
      <c r="C4959" s="25" t="s">
        <v>26</v>
      </c>
      <c r="D4959" s="51">
        <v>1307770</v>
      </c>
    </row>
    <row r="4960" spans="1:4" x14ac:dyDescent="0.2">
      <c r="A4960" s="24">
        <v>45261</v>
      </c>
      <c r="B4960" s="25" t="s">
        <v>137</v>
      </c>
      <c r="C4960" s="25" t="s">
        <v>26</v>
      </c>
      <c r="D4960" s="51">
        <v>1471476</v>
      </c>
    </row>
    <row r="4961" spans="1:4" x14ac:dyDescent="0.2">
      <c r="A4961" s="24">
        <v>45261</v>
      </c>
      <c r="B4961" s="25" t="s">
        <v>118</v>
      </c>
      <c r="C4961" s="25" t="s">
        <v>26</v>
      </c>
      <c r="D4961" s="51">
        <v>150385</v>
      </c>
    </row>
    <row r="4962" spans="1:4" x14ac:dyDescent="0.2">
      <c r="A4962" s="24">
        <v>45261</v>
      </c>
      <c r="B4962" s="25" t="s">
        <v>119</v>
      </c>
      <c r="C4962" s="25" t="s">
        <v>26</v>
      </c>
      <c r="D4962" s="51">
        <v>113096</v>
      </c>
    </row>
    <row r="4963" spans="1:4" x14ac:dyDescent="0.2">
      <c r="A4963" s="24">
        <v>45261</v>
      </c>
      <c r="B4963" s="25" t="s">
        <v>138</v>
      </c>
      <c r="C4963" s="25" t="s">
        <v>26</v>
      </c>
      <c r="D4963" s="51">
        <v>5</v>
      </c>
    </row>
    <row r="4964" spans="1:4" x14ac:dyDescent="0.2">
      <c r="A4964" s="24">
        <v>45261</v>
      </c>
      <c r="B4964" s="25" t="s">
        <v>139</v>
      </c>
      <c r="C4964" s="25" t="s">
        <v>26</v>
      </c>
      <c r="D4964" s="51">
        <v>62</v>
      </c>
    </row>
    <row r="4965" spans="1:4" x14ac:dyDescent="0.2">
      <c r="A4965" s="24">
        <v>45261</v>
      </c>
      <c r="B4965" s="25" t="s">
        <v>120</v>
      </c>
      <c r="C4965" s="25" t="s">
        <v>26</v>
      </c>
      <c r="D4965" s="51">
        <v>10667</v>
      </c>
    </row>
    <row r="4966" spans="1:4" x14ac:dyDescent="0.2">
      <c r="A4966" s="24">
        <v>45261</v>
      </c>
      <c r="B4966" s="25" t="s">
        <v>121</v>
      </c>
      <c r="C4966" s="25" t="s">
        <v>26</v>
      </c>
      <c r="D4966" s="51">
        <v>3228</v>
      </c>
    </row>
    <row r="4967" spans="1:4" x14ac:dyDescent="0.2">
      <c r="A4967" s="24">
        <v>45261</v>
      </c>
      <c r="B4967" s="25" t="s">
        <v>122</v>
      </c>
      <c r="C4967" s="25" t="s">
        <v>26</v>
      </c>
      <c r="D4967" s="51">
        <v>16331</v>
      </c>
    </row>
    <row r="4968" spans="1:4" x14ac:dyDescent="0.2">
      <c r="A4968" s="24">
        <v>45261</v>
      </c>
      <c r="B4968" s="25" t="s">
        <v>123</v>
      </c>
      <c r="C4968" s="25" t="s">
        <v>26</v>
      </c>
      <c r="D4968" s="51">
        <v>412941</v>
      </c>
    </row>
    <row r="4969" spans="1:4" x14ac:dyDescent="0.2">
      <c r="A4969" s="24">
        <v>45261</v>
      </c>
      <c r="B4969" s="25" t="s">
        <v>127</v>
      </c>
      <c r="C4969" s="25" t="s">
        <v>26</v>
      </c>
      <c r="D4969" s="51">
        <v>5543</v>
      </c>
    </row>
    <row r="4970" spans="1:4" x14ac:dyDescent="0.2">
      <c r="A4970" s="24">
        <v>45261</v>
      </c>
      <c r="B4970" s="25" t="s">
        <v>128</v>
      </c>
      <c r="C4970" s="25" t="s">
        <v>26</v>
      </c>
      <c r="D4970" s="51">
        <v>3046</v>
      </c>
    </row>
    <row r="4971" spans="1:4" x14ac:dyDescent="0.2">
      <c r="A4971" s="24">
        <v>45261</v>
      </c>
      <c r="B4971" s="25" t="s">
        <v>117</v>
      </c>
      <c r="C4971" s="25" t="s">
        <v>142</v>
      </c>
      <c r="D4971" s="51">
        <v>696546</v>
      </c>
    </row>
    <row r="4972" spans="1:4" x14ac:dyDescent="0.2">
      <c r="A4972" s="24">
        <v>45261</v>
      </c>
      <c r="B4972" s="25" t="s">
        <v>137</v>
      </c>
      <c r="C4972" s="25" t="s">
        <v>142</v>
      </c>
      <c r="D4972" s="51">
        <v>495827</v>
      </c>
    </row>
    <row r="4973" spans="1:4" x14ac:dyDescent="0.2">
      <c r="A4973" s="24">
        <v>45261</v>
      </c>
      <c r="B4973" s="25" t="s">
        <v>118</v>
      </c>
      <c r="C4973" s="25" t="s">
        <v>142</v>
      </c>
      <c r="D4973" s="51">
        <v>118165</v>
      </c>
    </row>
    <row r="4974" spans="1:4" x14ac:dyDescent="0.2">
      <c r="A4974" s="24">
        <v>45261</v>
      </c>
      <c r="B4974" s="25" t="s">
        <v>119</v>
      </c>
      <c r="C4974" s="25" t="s">
        <v>142</v>
      </c>
      <c r="D4974" s="51">
        <v>86504</v>
      </c>
    </row>
    <row r="4975" spans="1:4" x14ac:dyDescent="0.2">
      <c r="A4975" s="24">
        <v>45261</v>
      </c>
      <c r="B4975" s="25" t="s">
        <v>139</v>
      </c>
      <c r="C4975" s="25" t="s">
        <v>142</v>
      </c>
      <c r="D4975" s="51">
        <v>16</v>
      </c>
    </row>
    <row r="4976" spans="1:4" x14ac:dyDescent="0.2">
      <c r="A4976" s="24">
        <v>45261</v>
      </c>
      <c r="B4976" s="25" t="s">
        <v>120</v>
      </c>
      <c r="C4976" s="25" t="s">
        <v>142</v>
      </c>
      <c r="D4976" s="51">
        <v>8690</v>
      </c>
    </row>
    <row r="4977" spans="1:4" x14ac:dyDescent="0.2">
      <c r="A4977" s="24">
        <v>45261</v>
      </c>
      <c r="B4977" s="25" t="s">
        <v>121</v>
      </c>
      <c r="C4977" s="25" t="s">
        <v>142</v>
      </c>
      <c r="D4977" s="51">
        <v>1253</v>
      </c>
    </row>
    <row r="4978" spans="1:4" x14ac:dyDescent="0.2">
      <c r="A4978" s="24">
        <v>45261</v>
      </c>
      <c r="B4978" s="25" t="s">
        <v>122</v>
      </c>
      <c r="C4978" s="25" t="s">
        <v>142</v>
      </c>
      <c r="D4978" s="51">
        <v>67107</v>
      </c>
    </row>
    <row r="4979" spans="1:4" x14ac:dyDescent="0.2">
      <c r="A4979" s="24">
        <v>45261</v>
      </c>
      <c r="B4979" s="25" t="s">
        <v>123</v>
      </c>
      <c r="C4979" s="25" t="s">
        <v>142</v>
      </c>
      <c r="D4979" s="51">
        <v>133112</v>
      </c>
    </row>
    <row r="4980" spans="1:4" x14ac:dyDescent="0.2">
      <c r="A4980" s="24">
        <v>45261</v>
      </c>
      <c r="B4980" s="25" t="s">
        <v>129</v>
      </c>
      <c r="C4980" s="25" t="s">
        <v>142</v>
      </c>
      <c r="D4980" s="51">
        <v>5328</v>
      </c>
    </row>
    <row r="4981" spans="1:4" x14ac:dyDescent="0.2">
      <c r="A4981" s="24">
        <v>45261</v>
      </c>
      <c r="B4981" s="25" t="s">
        <v>130</v>
      </c>
      <c r="C4981" s="25" t="s">
        <v>142</v>
      </c>
      <c r="D4981" s="51">
        <v>6936</v>
      </c>
    </row>
    <row r="4982" spans="1:4" x14ac:dyDescent="0.2">
      <c r="A4982" s="24">
        <v>45261</v>
      </c>
      <c r="B4982" s="25" t="s">
        <v>117</v>
      </c>
      <c r="C4982" s="25" t="s">
        <v>2</v>
      </c>
      <c r="D4982" s="51">
        <v>10198973</v>
      </c>
    </row>
    <row r="4983" spans="1:4" x14ac:dyDescent="0.2">
      <c r="A4983" s="24">
        <v>45261</v>
      </c>
      <c r="B4983" s="25" t="s">
        <v>137</v>
      </c>
      <c r="C4983" s="25" t="s">
        <v>2</v>
      </c>
      <c r="D4983" s="51">
        <v>8647726</v>
      </c>
    </row>
    <row r="4984" spans="1:4" x14ac:dyDescent="0.2">
      <c r="A4984" s="24">
        <v>45261</v>
      </c>
      <c r="B4984" s="25" t="s">
        <v>118</v>
      </c>
      <c r="C4984" s="25" t="s">
        <v>2</v>
      </c>
      <c r="D4984" s="51">
        <v>837053</v>
      </c>
    </row>
    <row r="4985" spans="1:4" x14ac:dyDescent="0.2">
      <c r="A4985" s="24">
        <v>45261</v>
      </c>
      <c r="B4985" s="25" t="s">
        <v>119</v>
      </c>
      <c r="C4985" s="25" t="s">
        <v>2</v>
      </c>
      <c r="D4985" s="51">
        <v>757253</v>
      </c>
    </row>
    <row r="4986" spans="1:4" x14ac:dyDescent="0.2">
      <c r="A4986" s="24">
        <v>45261</v>
      </c>
      <c r="B4986" s="25" t="s">
        <v>138</v>
      </c>
      <c r="C4986" s="25" t="s">
        <v>2</v>
      </c>
      <c r="D4986" s="51">
        <v>20</v>
      </c>
    </row>
    <row r="4987" spans="1:4" x14ac:dyDescent="0.2">
      <c r="A4987" s="24">
        <v>45261</v>
      </c>
      <c r="B4987" s="25" t="s">
        <v>139</v>
      </c>
      <c r="C4987" s="25" t="s">
        <v>2</v>
      </c>
      <c r="D4987" s="51">
        <v>972</v>
      </c>
    </row>
    <row r="4988" spans="1:4" x14ac:dyDescent="0.2">
      <c r="A4988" s="24">
        <v>45261</v>
      </c>
      <c r="B4988" s="25" t="s">
        <v>120</v>
      </c>
      <c r="C4988" s="25" t="s">
        <v>2</v>
      </c>
      <c r="D4988" s="51">
        <v>225374</v>
      </c>
    </row>
    <row r="4989" spans="1:4" x14ac:dyDescent="0.2">
      <c r="A4989" s="24">
        <v>45261</v>
      </c>
      <c r="B4989" s="25" t="s">
        <v>121</v>
      </c>
      <c r="C4989" s="25" t="s">
        <v>2</v>
      </c>
      <c r="D4989" s="51">
        <v>20970</v>
      </c>
    </row>
    <row r="4990" spans="1:4" x14ac:dyDescent="0.2">
      <c r="A4990" s="24">
        <v>45261</v>
      </c>
      <c r="B4990" s="25" t="s">
        <v>122</v>
      </c>
      <c r="C4990" s="25" t="s">
        <v>2</v>
      </c>
      <c r="D4990" s="51">
        <v>394784</v>
      </c>
    </row>
    <row r="4991" spans="1:4" x14ac:dyDescent="0.2">
      <c r="A4991" s="24">
        <v>45261</v>
      </c>
      <c r="B4991" s="25" t="s">
        <v>123</v>
      </c>
      <c r="C4991" s="25" t="s">
        <v>2</v>
      </c>
      <c r="D4991" s="51">
        <v>2286113</v>
      </c>
    </row>
    <row r="4992" spans="1:4" x14ac:dyDescent="0.2">
      <c r="A4992" s="24">
        <v>45261</v>
      </c>
      <c r="B4992" s="25" t="s">
        <v>129</v>
      </c>
      <c r="C4992" s="25" t="s">
        <v>2</v>
      </c>
      <c r="D4992" s="51">
        <v>114217</v>
      </c>
    </row>
    <row r="4993" spans="1:4" x14ac:dyDescent="0.2">
      <c r="A4993" s="24">
        <v>45261</v>
      </c>
      <c r="B4993" s="25" t="s">
        <v>130</v>
      </c>
      <c r="C4993" s="25" t="s">
        <v>2</v>
      </c>
      <c r="D4993" s="51">
        <v>70483</v>
      </c>
    </row>
    <row r="4994" spans="1:4" x14ac:dyDescent="0.2">
      <c r="A4994" s="24">
        <v>45383</v>
      </c>
      <c r="B4994" s="25" t="s">
        <v>117</v>
      </c>
      <c r="C4994" s="25" t="s">
        <v>4</v>
      </c>
      <c r="D4994" s="51">
        <v>6775154</v>
      </c>
    </row>
    <row r="4995" spans="1:4" x14ac:dyDescent="0.2">
      <c r="A4995" s="24">
        <v>45383</v>
      </c>
      <c r="B4995" s="25" t="s">
        <v>117</v>
      </c>
      <c r="C4995" s="25" t="s">
        <v>8</v>
      </c>
      <c r="D4995" s="51">
        <v>412245</v>
      </c>
    </row>
    <row r="4996" spans="1:4" x14ac:dyDescent="0.2">
      <c r="A4996" s="24">
        <v>45383</v>
      </c>
      <c r="B4996" s="25" t="s">
        <v>117</v>
      </c>
      <c r="C4996" s="25" t="s">
        <v>26</v>
      </c>
      <c r="D4996" s="51">
        <v>1223563</v>
      </c>
    </row>
    <row r="4997" spans="1:4" x14ac:dyDescent="0.2">
      <c r="A4997" s="24">
        <v>45383</v>
      </c>
      <c r="B4997" s="25" t="s">
        <v>117</v>
      </c>
      <c r="C4997" s="25" t="s">
        <v>142</v>
      </c>
      <c r="D4997" s="51">
        <v>791620.84</v>
      </c>
    </row>
    <row r="4998" spans="1:4" x14ac:dyDescent="0.2">
      <c r="A4998" s="24">
        <v>45383</v>
      </c>
      <c r="B4998" s="25" t="s">
        <v>117</v>
      </c>
      <c r="C4998" s="25" t="s">
        <v>2</v>
      </c>
      <c r="D4998" s="51">
        <v>10678496.050000001</v>
      </c>
    </row>
    <row r="4999" spans="1:4" x14ac:dyDescent="0.2">
      <c r="A4999" s="24">
        <v>45383</v>
      </c>
      <c r="B4999" s="25" t="s">
        <v>117</v>
      </c>
      <c r="C4999" s="25" t="s">
        <v>143</v>
      </c>
      <c r="D4999" s="51">
        <v>3</v>
      </c>
    </row>
    <row r="5000" spans="1:4" x14ac:dyDescent="0.2">
      <c r="A5000" s="24">
        <v>45383</v>
      </c>
      <c r="B5000" s="25" t="s">
        <v>137</v>
      </c>
      <c r="C5000" s="25" t="s">
        <v>4</v>
      </c>
      <c r="D5000" s="51">
        <v>6993234</v>
      </c>
    </row>
    <row r="5001" spans="1:4" x14ac:dyDescent="0.2">
      <c r="A5001" s="24">
        <v>45383</v>
      </c>
      <c r="B5001" s="25" t="s">
        <v>137</v>
      </c>
      <c r="C5001" s="25" t="s">
        <v>8</v>
      </c>
      <c r="D5001" s="51">
        <v>752230</v>
      </c>
    </row>
    <row r="5002" spans="1:4" x14ac:dyDescent="0.2">
      <c r="A5002" s="24">
        <v>45383</v>
      </c>
      <c r="B5002" s="25" t="s">
        <v>137</v>
      </c>
      <c r="C5002" s="25" t="s">
        <v>26</v>
      </c>
      <c r="D5002" s="51">
        <v>1452810</v>
      </c>
    </row>
    <row r="5003" spans="1:4" x14ac:dyDescent="0.2">
      <c r="A5003" s="24">
        <v>45383</v>
      </c>
      <c r="B5003" s="25" t="s">
        <v>137</v>
      </c>
      <c r="C5003" s="25" t="s">
        <v>142</v>
      </c>
      <c r="D5003" s="51">
        <v>594538.66</v>
      </c>
    </row>
    <row r="5004" spans="1:4" x14ac:dyDescent="0.2">
      <c r="A5004" s="24">
        <v>45383</v>
      </c>
      <c r="B5004" s="25" t="s">
        <v>137</v>
      </c>
      <c r="C5004" s="25" t="s">
        <v>2</v>
      </c>
      <c r="D5004" s="51">
        <v>9404460.1199999992</v>
      </c>
    </row>
    <row r="5005" spans="1:4" x14ac:dyDescent="0.2">
      <c r="A5005" s="24">
        <v>45383</v>
      </c>
      <c r="B5005" s="25" t="s">
        <v>137</v>
      </c>
      <c r="C5005" s="25" t="s">
        <v>143</v>
      </c>
      <c r="D5005" s="51">
        <v>2</v>
      </c>
    </row>
    <row r="5006" spans="1:4" x14ac:dyDescent="0.2">
      <c r="A5006" s="24">
        <v>45383</v>
      </c>
      <c r="B5006" s="25" t="s">
        <v>118</v>
      </c>
      <c r="C5006" s="25" t="s">
        <v>4</v>
      </c>
      <c r="D5006" s="51">
        <v>786103</v>
      </c>
    </row>
    <row r="5007" spans="1:4" x14ac:dyDescent="0.2">
      <c r="A5007" s="24">
        <v>45383</v>
      </c>
      <c r="B5007" s="25" t="s">
        <v>118</v>
      </c>
      <c r="C5007" s="25" t="s">
        <v>8</v>
      </c>
      <c r="D5007" s="51">
        <v>114058</v>
      </c>
    </row>
    <row r="5008" spans="1:4" x14ac:dyDescent="0.2">
      <c r="A5008" s="24">
        <v>45383</v>
      </c>
      <c r="B5008" s="25" t="s">
        <v>118</v>
      </c>
      <c r="C5008" s="25" t="s">
        <v>26</v>
      </c>
      <c r="D5008" s="51">
        <v>137895</v>
      </c>
    </row>
    <row r="5009" spans="1:4" x14ac:dyDescent="0.2">
      <c r="A5009" s="24">
        <v>45383</v>
      </c>
      <c r="B5009" s="25" t="s">
        <v>118</v>
      </c>
      <c r="C5009" s="25" t="s">
        <v>142</v>
      </c>
      <c r="D5009" s="51">
        <v>119336.3</v>
      </c>
    </row>
    <row r="5010" spans="1:4" x14ac:dyDescent="0.2">
      <c r="A5010" s="24">
        <v>45383</v>
      </c>
      <c r="B5010" s="25" t="s">
        <v>118</v>
      </c>
      <c r="C5010" s="25" t="s">
        <v>2</v>
      </c>
      <c r="D5010" s="51">
        <v>842225.86</v>
      </c>
    </row>
    <row r="5011" spans="1:4" x14ac:dyDescent="0.2">
      <c r="A5011" s="24">
        <v>45383</v>
      </c>
      <c r="B5011" s="25" t="s">
        <v>118</v>
      </c>
      <c r="C5011" s="25" t="s">
        <v>143</v>
      </c>
      <c r="D5011" s="51">
        <v>2</v>
      </c>
    </row>
    <row r="5012" spans="1:4" x14ac:dyDescent="0.2">
      <c r="A5012" s="24">
        <v>45383</v>
      </c>
      <c r="B5012" s="25" t="s">
        <v>119</v>
      </c>
      <c r="C5012" s="25" t="s">
        <v>4</v>
      </c>
      <c r="D5012" s="51">
        <v>920390</v>
      </c>
    </row>
    <row r="5013" spans="1:4" x14ac:dyDescent="0.2">
      <c r="A5013" s="24">
        <v>45383</v>
      </c>
      <c r="B5013" s="25" t="s">
        <v>119</v>
      </c>
      <c r="C5013" s="25" t="s">
        <v>8</v>
      </c>
      <c r="D5013" s="51">
        <v>22489</v>
      </c>
    </row>
    <row r="5014" spans="1:4" x14ac:dyDescent="0.2">
      <c r="A5014" s="24">
        <v>45383</v>
      </c>
      <c r="B5014" s="25" t="s">
        <v>119</v>
      </c>
      <c r="C5014" s="25" t="s">
        <v>26</v>
      </c>
      <c r="D5014" s="51">
        <v>294086</v>
      </c>
    </row>
    <row r="5015" spans="1:4" x14ac:dyDescent="0.2">
      <c r="A5015" s="24">
        <v>45383</v>
      </c>
      <c r="B5015" s="25" t="s">
        <v>119</v>
      </c>
      <c r="C5015" s="25" t="s">
        <v>142</v>
      </c>
      <c r="D5015" s="51">
        <v>170192.73</v>
      </c>
    </row>
    <row r="5016" spans="1:4" x14ac:dyDescent="0.2">
      <c r="A5016" s="24">
        <v>45383</v>
      </c>
      <c r="B5016" s="25" t="s">
        <v>119</v>
      </c>
      <c r="C5016" s="25" t="s">
        <v>2</v>
      </c>
      <c r="D5016" s="51">
        <v>1385525.44</v>
      </c>
    </row>
    <row r="5017" spans="1:4" x14ac:dyDescent="0.2">
      <c r="A5017" s="24">
        <v>45383</v>
      </c>
      <c r="B5017" s="25" t="s">
        <v>138</v>
      </c>
      <c r="C5017" s="25" t="s">
        <v>4</v>
      </c>
      <c r="D5017" s="51">
        <v>53</v>
      </c>
    </row>
    <row r="5018" spans="1:4" x14ac:dyDescent="0.2">
      <c r="A5018" s="24">
        <v>45383</v>
      </c>
      <c r="B5018" s="25" t="s">
        <v>138</v>
      </c>
      <c r="C5018" s="25" t="s">
        <v>8</v>
      </c>
      <c r="D5018" s="51">
        <v>2</v>
      </c>
    </row>
    <row r="5019" spans="1:4" x14ac:dyDescent="0.2">
      <c r="A5019" s="24">
        <v>45383</v>
      </c>
      <c r="B5019" s="25" t="s">
        <v>138</v>
      </c>
      <c r="C5019" s="25" t="s">
        <v>26</v>
      </c>
      <c r="D5019" s="51">
        <v>5</v>
      </c>
    </row>
    <row r="5020" spans="1:4" x14ac:dyDescent="0.2">
      <c r="A5020" s="24">
        <v>45383</v>
      </c>
      <c r="B5020" s="25" t="s">
        <v>138</v>
      </c>
      <c r="C5020" s="25" t="s">
        <v>2</v>
      </c>
      <c r="D5020" s="51">
        <v>26</v>
      </c>
    </row>
    <row r="5021" spans="1:4" x14ac:dyDescent="0.2">
      <c r="A5021" s="24">
        <v>45383</v>
      </c>
      <c r="B5021" s="25" t="s">
        <v>139</v>
      </c>
      <c r="C5021" s="25" t="s">
        <v>4</v>
      </c>
      <c r="D5021" s="51">
        <v>1078</v>
      </c>
    </row>
    <row r="5022" spans="1:4" x14ac:dyDescent="0.2">
      <c r="A5022" s="24">
        <v>45383</v>
      </c>
      <c r="B5022" s="25" t="s">
        <v>139</v>
      </c>
      <c r="C5022" s="25" t="s">
        <v>8</v>
      </c>
      <c r="D5022" s="51">
        <v>34</v>
      </c>
    </row>
    <row r="5023" spans="1:4" x14ac:dyDescent="0.2">
      <c r="A5023" s="24">
        <v>45383</v>
      </c>
      <c r="B5023" s="25" t="s">
        <v>139</v>
      </c>
      <c r="C5023" s="25" t="s">
        <v>26</v>
      </c>
      <c r="D5023" s="51">
        <v>61</v>
      </c>
    </row>
    <row r="5024" spans="1:4" x14ac:dyDescent="0.2">
      <c r="A5024" s="24">
        <v>45383</v>
      </c>
      <c r="B5024" s="25" t="s">
        <v>139</v>
      </c>
      <c r="C5024" s="25" t="s">
        <v>142</v>
      </c>
      <c r="D5024" s="51">
        <v>8.4</v>
      </c>
    </row>
    <row r="5025" spans="1:4" x14ac:dyDescent="0.2">
      <c r="A5025" s="24">
        <v>45383</v>
      </c>
      <c r="B5025" s="25" t="s">
        <v>139</v>
      </c>
      <c r="C5025" s="25" t="s">
        <v>2</v>
      </c>
      <c r="D5025" s="51">
        <v>909.6</v>
      </c>
    </row>
    <row r="5026" spans="1:4" x14ac:dyDescent="0.2">
      <c r="A5026" s="24">
        <v>45383</v>
      </c>
      <c r="B5026" s="25" t="s">
        <v>120</v>
      </c>
      <c r="C5026" s="25" t="s">
        <v>4</v>
      </c>
      <c r="D5026" s="51">
        <v>63375</v>
      </c>
    </row>
    <row r="5027" spans="1:4" x14ac:dyDescent="0.2">
      <c r="A5027" s="24">
        <v>45383</v>
      </c>
      <c r="B5027" s="25" t="s">
        <v>120</v>
      </c>
      <c r="C5027" s="25" t="s">
        <v>8</v>
      </c>
      <c r="D5027" s="51">
        <v>4565</v>
      </c>
    </row>
    <row r="5028" spans="1:4" x14ac:dyDescent="0.2">
      <c r="A5028" s="24">
        <v>45383</v>
      </c>
      <c r="B5028" s="25" t="s">
        <v>120</v>
      </c>
      <c r="C5028" s="25" t="s">
        <v>26</v>
      </c>
      <c r="D5028" s="51">
        <v>9662</v>
      </c>
    </row>
    <row r="5029" spans="1:4" x14ac:dyDescent="0.2">
      <c r="A5029" s="24">
        <v>45383</v>
      </c>
      <c r="B5029" s="25" t="s">
        <v>120</v>
      </c>
      <c r="C5029" s="25" t="s">
        <v>142</v>
      </c>
      <c r="D5029" s="51">
        <v>8121.53</v>
      </c>
    </row>
    <row r="5030" spans="1:4" x14ac:dyDescent="0.2">
      <c r="A5030" s="24">
        <v>45383</v>
      </c>
      <c r="B5030" s="25" t="s">
        <v>120</v>
      </c>
      <c r="C5030" s="25" t="s">
        <v>2</v>
      </c>
      <c r="D5030" s="51">
        <v>190294.89</v>
      </c>
    </row>
    <row r="5031" spans="1:4" x14ac:dyDescent="0.2">
      <c r="A5031" s="24">
        <v>45383</v>
      </c>
      <c r="B5031" s="25" t="s">
        <v>120</v>
      </c>
      <c r="C5031" s="25" t="s">
        <v>143</v>
      </c>
      <c r="D5031" s="51">
        <v>1</v>
      </c>
    </row>
    <row r="5032" spans="1:4" x14ac:dyDescent="0.2">
      <c r="A5032" s="24">
        <v>45383</v>
      </c>
      <c r="B5032" s="25" t="s">
        <v>121</v>
      </c>
      <c r="C5032" s="25" t="s">
        <v>4</v>
      </c>
      <c r="D5032" s="51">
        <v>27880</v>
      </c>
    </row>
    <row r="5033" spans="1:4" x14ac:dyDescent="0.2">
      <c r="A5033" s="24">
        <v>45383</v>
      </c>
      <c r="B5033" s="25" t="s">
        <v>121</v>
      </c>
      <c r="C5033" s="25" t="s">
        <v>8</v>
      </c>
      <c r="D5033" s="51">
        <v>1919</v>
      </c>
    </row>
    <row r="5034" spans="1:4" x14ac:dyDescent="0.2">
      <c r="A5034" s="24">
        <v>45383</v>
      </c>
      <c r="B5034" s="25" t="s">
        <v>121</v>
      </c>
      <c r="C5034" s="25" t="s">
        <v>26</v>
      </c>
      <c r="D5034" s="51">
        <v>3246</v>
      </c>
    </row>
    <row r="5035" spans="1:4" x14ac:dyDescent="0.2">
      <c r="A5035" s="24">
        <v>45383</v>
      </c>
      <c r="B5035" s="25" t="s">
        <v>121</v>
      </c>
      <c r="C5035" s="25" t="s">
        <v>142</v>
      </c>
      <c r="D5035" s="51">
        <v>1467.2</v>
      </c>
    </row>
    <row r="5036" spans="1:4" x14ac:dyDescent="0.2">
      <c r="A5036" s="24">
        <v>45383</v>
      </c>
      <c r="B5036" s="25" t="s">
        <v>121</v>
      </c>
      <c r="C5036" s="25" t="s">
        <v>2</v>
      </c>
      <c r="D5036" s="51">
        <v>24357.119999999999</v>
      </c>
    </row>
    <row r="5037" spans="1:4" x14ac:dyDescent="0.2">
      <c r="A5037" s="24">
        <v>45383</v>
      </c>
      <c r="B5037" s="25" t="s">
        <v>140</v>
      </c>
      <c r="C5037" s="25" t="s">
        <v>4</v>
      </c>
      <c r="D5037" s="51">
        <v>21270</v>
      </c>
    </row>
    <row r="5038" spans="1:4" x14ac:dyDescent="0.2">
      <c r="A5038" s="24">
        <v>45383</v>
      </c>
      <c r="B5038" s="25" t="s">
        <v>122</v>
      </c>
      <c r="C5038" s="25" t="s">
        <v>4</v>
      </c>
      <c r="D5038" s="51">
        <v>655809</v>
      </c>
    </row>
    <row r="5039" spans="1:4" x14ac:dyDescent="0.2">
      <c r="A5039" s="24">
        <v>45383</v>
      </c>
      <c r="B5039" s="25" t="s">
        <v>122</v>
      </c>
      <c r="C5039" s="25" t="s">
        <v>8</v>
      </c>
      <c r="D5039" s="51">
        <v>5517</v>
      </c>
    </row>
    <row r="5040" spans="1:4" x14ac:dyDescent="0.2">
      <c r="A5040" s="24">
        <v>45383</v>
      </c>
      <c r="B5040" s="25" t="s">
        <v>122</v>
      </c>
      <c r="C5040" s="25" t="s">
        <v>26</v>
      </c>
      <c r="D5040" s="51">
        <v>22162</v>
      </c>
    </row>
    <row r="5041" spans="1:4" x14ac:dyDescent="0.2">
      <c r="A5041" s="24">
        <v>45383</v>
      </c>
      <c r="B5041" s="25" t="s">
        <v>122</v>
      </c>
      <c r="C5041" s="25" t="s">
        <v>142</v>
      </c>
      <c r="D5041" s="51">
        <v>81285.23</v>
      </c>
    </row>
    <row r="5042" spans="1:4" x14ac:dyDescent="0.2">
      <c r="A5042" s="24">
        <v>45383</v>
      </c>
      <c r="B5042" s="25" t="s">
        <v>122</v>
      </c>
      <c r="C5042" s="25" t="s">
        <v>2</v>
      </c>
      <c r="D5042" s="51">
        <v>476402.87</v>
      </c>
    </row>
    <row r="5043" spans="1:4" x14ac:dyDescent="0.2">
      <c r="A5043" s="24">
        <v>45383</v>
      </c>
      <c r="B5043" s="25" t="s">
        <v>123</v>
      </c>
      <c r="C5043" s="25" t="s">
        <v>4</v>
      </c>
      <c r="D5043" s="51">
        <v>3157857</v>
      </c>
    </row>
    <row r="5044" spans="1:4" x14ac:dyDescent="0.2">
      <c r="A5044" s="24">
        <v>45383</v>
      </c>
      <c r="B5044" s="25" t="s">
        <v>123</v>
      </c>
      <c r="C5044" s="25" t="s">
        <v>8</v>
      </c>
      <c r="D5044" s="51">
        <v>196066</v>
      </c>
    </row>
    <row r="5045" spans="1:4" x14ac:dyDescent="0.2">
      <c r="A5045" s="24">
        <v>45383</v>
      </c>
      <c r="B5045" s="25" t="s">
        <v>123</v>
      </c>
      <c r="C5045" s="25" t="s">
        <v>26</v>
      </c>
      <c r="D5045" s="51">
        <v>405015</v>
      </c>
    </row>
    <row r="5046" spans="1:4" x14ac:dyDescent="0.2">
      <c r="A5046" s="24">
        <v>45383</v>
      </c>
      <c r="B5046" s="25" t="s">
        <v>123</v>
      </c>
      <c r="C5046" s="25" t="s">
        <v>142</v>
      </c>
      <c r="D5046" s="51">
        <v>137204.21</v>
      </c>
    </row>
    <row r="5047" spans="1:4" x14ac:dyDescent="0.2">
      <c r="A5047" s="24">
        <v>45383</v>
      </c>
      <c r="B5047" s="25" t="s">
        <v>123</v>
      </c>
      <c r="C5047" s="25" t="s">
        <v>2</v>
      </c>
      <c r="D5047" s="51">
        <v>2335545.64</v>
      </c>
    </row>
    <row r="5048" spans="1:4" x14ac:dyDescent="0.2">
      <c r="A5048" s="24">
        <v>45383</v>
      </c>
      <c r="B5048" s="25" t="s">
        <v>124</v>
      </c>
      <c r="C5048" s="25" t="s">
        <v>8</v>
      </c>
      <c r="D5048" s="51">
        <v>26513</v>
      </c>
    </row>
    <row r="5049" spans="1:4" x14ac:dyDescent="0.2">
      <c r="A5049" s="24">
        <v>45383</v>
      </c>
      <c r="B5049" s="25" t="s">
        <v>125</v>
      </c>
      <c r="C5049" s="25" t="s">
        <v>8</v>
      </c>
      <c r="D5049" s="51">
        <v>17666</v>
      </c>
    </row>
    <row r="5050" spans="1:4" x14ac:dyDescent="0.2">
      <c r="A5050" s="24">
        <v>45383</v>
      </c>
      <c r="B5050" s="25" t="s">
        <v>127</v>
      </c>
      <c r="C5050" s="25" t="s">
        <v>26</v>
      </c>
      <c r="D5050" s="51">
        <v>3925</v>
      </c>
    </row>
    <row r="5051" spans="1:4" x14ac:dyDescent="0.2">
      <c r="A5051" s="24">
        <v>45383</v>
      </c>
      <c r="B5051" s="25" t="s">
        <v>128</v>
      </c>
      <c r="C5051" s="25" t="s">
        <v>26</v>
      </c>
      <c r="D5051" s="51">
        <v>2461</v>
      </c>
    </row>
    <row r="5052" spans="1:4" x14ac:dyDescent="0.2">
      <c r="A5052" s="24">
        <v>45383</v>
      </c>
      <c r="B5052" s="25" t="s">
        <v>129</v>
      </c>
      <c r="C5052" s="25" t="s">
        <v>142</v>
      </c>
      <c r="D5052" s="51">
        <v>3807.47</v>
      </c>
    </row>
    <row r="5053" spans="1:4" x14ac:dyDescent="0.2">
      <c r="A5053" s="24">
        <v>45383</v>
      </c>
      <c r="B5053" s="25" t="s">
        <v>129</v>
      </c>
      <c r="C5053" s="25" t="s">
        <v>2</v>
      </c>
      <c r="D5053" s="51">
        <v>81105.78</v>
      </c>
    </row>
    <row r="5054" spans="1:4" x14ac:dyDescent="0.2">
      <c r="A5054" s="24">
        <v>45383</v>
      </c>
      <c r="B5054" s="25" t="s">
        <v>129</v>
      </c>
      <c r="C5054" s="25" t="s">
        <v>143</v>
      </c>
      <c r="D5054" s="51">
        <v>1</v>
      </c>
    </row>
    <row r="5055" spans="1:4" x14ac:dyDescent="0.2">
      <c r="A5055" s="24">
        <v>45383</v>
      </c>
      <c r="B5055" s="25" t="s">
        <v>130</v>
      </c>
      <c r="C5055" s="25" t="s">
        <v>142</v>
      </c>
      <c r="D5055" s="51">
        <v>6167.17</v>
      </c>
    </row>
    <row r="5056" spans="1:4" x14ac:dyDescent="0.2">
      <c r="A5056" s="24">
        <v>45383</v>
      </c>
      <c r="B5056" s="25" t="s">
        <v>130</v>
      </c>
      <c r="C5056" s="25" t="s">
        <v>2</v>
      </c>
      <c r="D5056" s="51">
        <v>56796.91</v>
      </c>
    </row>
    <row r="5057" spans="1:4" x14ac:dyDescent="0.2">
      <c r="A5057" s="24">
        <v>45383</v>
      </c>
      <c r="B5057" s="25" t="s">
        <v>130</v>
      </c>
      <c r="C5057" s="25" t="s">
        <v>143</v>
      </c>
      <c r="D5057" s="51">
        <v>1</v>
      </c>
    </row>
    <row r="5058" spans="1:4" x14ac:dyDescent="0.2">
      <c r="A5058" s="24">
        <v>45383</v>
      </c>
      <c r="B5058" s="25" t="s">
        <v>144</v>
      </c>
      <c r="C5058" s="25" t="s">
        <v>4</v>
      </c>
      <c r="D5058" s="51">
        <v>144</v>
      </c>
    </row>
    <row r="5059" spans="1:4" x14ac:dyDescent="0.2">
      <c r="A5059" s="24">
        <v>45383</v>
      </c>
      <c r="B5059" s="25" t="s">
        <v>144</v>
      </c>
      <c r="C5059" s="25" t="s">
        <v>8</v>
      </c>
      <c r="D5059" s="51">
        <v>1</v>
      </c>
    </row>
    <row r="5060" spans="1:4" x14ac:dyDescent="0.2">
      <c r="A5060" s="24">
        <v>45383</v>
      </c>
      <c r="B5060" s="25" t="s">
        <v>144</v>
      </c>
      <c r="C5060" s="25" t="s">
        <v>26</v>
      </c>
      <c r="D5060" s="51">
        <v>2</v>
      </c>
    </row>
    <row r="5061" spans="1:4" x14ac:dyDescent="0.2">
      <c r="A5061" s="24">
        <v>45383</v>
      </c>
      <c r="B5061" s="25" t="s">
        <v>144</v>
      </c>
      <c r="C5061" s="25" t="s">
        <v>142</v>
      </c>
      <c r="D5061" s="51">
        <v>19</v>
      </c>
    </row>
    <row r="5062" spans="1:4" x14ac:dyDescent="0.2">
      <c r="A5062" s="24">
        <v>45383</v>
      </c>
      <c r="B5062" s="25" t="s">
        <v>144</v>
      </c>
      <c r="C5062" s="25" t="s">
        <v>2</v>
      </c>
      <c r="D5062" s="51">
        <v>145</v>
      </c>
    </row>
    <row r="5063" spans="1:4" x14ac:dyDescent="0.2">
      <c r="A5063" s="24">
        <v>45748</v>
      </c>
      <c r="B5063" s="25" t="s">
        <v>117</v>
      </c>
      <c r="C5063" s="25" t="s">
        <v>4</v>
      </c>
      <c r="D5063" s="51">
        <v>6181583</v>
      </c>
    </row>
    <row r="5064" spans="1:4" x14ac:dyDescent="0.2">
      <c r="A5064" s="24">
        <v>45748</v>
      </c>
      <c r="B5064" s="25" t="s">
        <v>117</v>
      </c>
      <c r="C5064" s="25" t="s">
        <v>8</v>
      </c>
      <c r="D5064" s="51">
        <v>384257</v>
      </c>
    </row>
    <row r="5065" spans="1:4" x14ac:dyDescent="0.2">
      <c r="A5065" s="24">
        <v>45748</v>
      </c>
      <c r="B5065" s="25" t="s">
        <v>117</v>
      </c>
      <c r="C5065" s="25" t="s">
        <v>26</v>
      </c>
      <c r="D5065" s="51">
        <v>1279221</v>
      </c>
    </row>
    <row r="5066" spans="1:4" x14ac:dyDescent="0.2">
      <c r="A5066" s="24">
        <v>45748</v>
      </c>
      <c r="B5066" s="25" t="s">
        <v>117</v>
      </c>
      <c r="C5066" s="25" t="s">
        <v>142</v>
      </c>
      <c r="D5066" s="51">
        <v>2176537.96</v>
      </c>
    </row>
    <row r="5067" spans="1:4" x14ac:dyDescent="0.2">
      <c r="A5067" s="24">
        <v>45748</v>
      </c>
      <c r="B5067" s="25" t="s">
        <v>117</v>
      </c>
      <c r="C5067" s="25" t="s">
        <v>2</v>
      </c>
      <c r="D5067" s="51">
        <v>9004743.5700000003</v>
      </c>
    </row>
    <row r="5068" spans="1:4" x14ac:dyDescent="0.2">
      <c r="A5068" s="24">
        <v>45748</v>
      </c>
      <c r="B5068" s="25" t="s">
        <v>137</v>
      </c>
      <c r="C5068" s="25" t="s">
        <v>4</v>
      </c>
      <c r="D5068" s="51">
        <v>7511778</v>
      </c>
    </row>
    <row r="5069" spans="1:4" x14ac:dyDescent="0.2">
      <c r="A5069" s="24">
        <v>45748</v>
      </c>
      <c r="B5069" s="25" t="s">
        <v>137</v>
      </c>
      <c r="C5069" s="25" t="s">
        <v>8</v>
      </c>
      <c r="D5069" s="51">
        <v>888316</v>
      </c>
    </row>
    <row r="5070" spans="1:4" x14ac:dyDescent="0.2">
      <c r="A5070" s="24">
        <v>45748</v>
      </c>
      <c r="B5070" s="25" t="s">
        <v>137</v>
      </c>
      <c r="C5070" s="25" t="s">
        <v>26</v>
      </c>
      <c r="D5070" s="51">
        <v>1715511</v>
      </c>
    </row>
    <row r="5071" spans="1:4" x14ac:dyDescent="0.2">
      <c r="A5071" s="24">
        <v>45748</v>
      </c>
      <c r="B5071" s="25" t="s">
        <v>137</v>
      </c>
      <c r="C5071" s="25" t="s">
        <v>142</v>
      </c>
      <c r="D5071" s="51">
        <v>2349744.16</v>
      </c>
    </row>
    <row r="5072" spans="1:4" x14ac:dyDescent="0.2">
      <c r="A5072" s="24">
        <v>45748</v>
      </c>
      <c r="B5072" s="25" t="s">
        <v>137</v>
      </c>
      <c r="C5072" s="25" t="s">
        <v>2</v>
      </c>
      <c r="D5072" s="51">
        <v>8960501.8000000007</v>
      </c>
    </row>
    <row r="5073" spans="1:4" x14ac:dyDescent="0.2">
      <c r="A5073" s="24">
        <v>45748</v>
      </c>
      <c r="B5073" s="25" t="s">
        <v>118</v>
      </c>
      <c r="C5073" s="25" t="s">
        <v>4</v>
      </c>
      <c r="D5073" s="51">
        <v>728464</v>
      </c>
    </row>
    <row r="5074" spans="1:4" x14ac:dyDescent="0.2">
      <c r="A5074" s="24">
        <v>45748</v>
      </c>
      <c r="B5074" s="25" t="s">
        <v>118</v>
      </c>
      <c r="C5074" s="25" t="s">
        <v>8</v>
      </c>
      <c r="D5074" s="51">
        <v>108722</v>
      </c>
    </row>
    <row r="5075" spans="1:4" x14ac:dyDescent="0.2">
      <c r="A5075" s="24">
        <v>45748</v>
      </c>
      <c r="B5075" s="25" t="s">
        <v>118</v>
      </c>
      <c r="C5075" s="25" t="s">
        <v>26</v>
      </c>
      <c r="D5075" s="51">
        <v>155656</v>
      </c>
    </row>
    <row r="5076" spans="1:4" x14ac:dyDescent="0.2">
      <c r="A5076" s="24">
        <v>45748</v>
      </c>
      <c r="B5076" s="25" t="s">
        <v>118</v>
      </c>
      <c r="C5076" s="25" t="s">
        <v>142</v>
      </c>
      <c r="D5076" s="51">
        <v>271922.31</v>
      </c>
    </row>
    <row r="5077" spans="1:4" x14ac:dyDescent="0.2">
      <c r="A5077" s="24">
        <v>45748</v>
      </c>
      <c r="B5077" s="25" t="s">
        <v>118</v>
      </c>
      <c r="C5077" s="25" t="s">
        <v>2</v>
      </c>
      <c r="D5077" s="51">
        <v>766391.43</v>
      </c>
    </row>
    <row r="5078" spans="1:4" x14ac:dyDescent="0.2">
      <c r="A5078" s="24">
        <v>45748</v>
      </c>
      <c r="B5078" s="25" t="s">
        <v>119</v>
      </c>
      <c r="C5078" s="25" t="s">
        <v>4</v>
      </c>
      <c r="D5078" s="51">
        <v>1055684</v>
      </c>
    </row>
    <row r="5079" spans="1:4" x14ac:dyDescent="0.2">
      <c r="A5079" s="24">
        <v>45748</v>
      </c>
      <c r="B5079" s="25" t="s">
        <v>119</v>
      </c>
      <c r="C5079" s="25" t="s">
        <v>8</v>
      </c>
      <c r="D5079" s="51">
        <v>27316</v>
      </c>
    </row>
    <row r="5080" spans="1:4" x14ac:dyDescent="0.2">
      <c r="A5080" s="24">
        <v>45748</v>
      </c>
      <c r="B5080" s="25" t="s">
        <v>119</v>
      </c>
      <c r="C5080" s="25" t="s">
        <v>26</v>
      </c>
      <c r="D5080" s="51">
        <v>360012</v>
      </c>
    </row>
    <row r="5081" spans="1:4" x14ac:dyDescent="0.2">
      <c r="A5081" s="24">
        <v>45748</v>
      </c>
      <c r="B5081" s="25" t="s">
        <v>119</v>
      </c>
      <c r="C5081" s="25" t="s">
        <v>142</v>
      </c>
      <c r="D5081" s="51">
        <v>447576.63</v>
      </c>
    </row>
    <row r="5082" spans="1:4" x14ac:dyDescent="0.2">
      <c r="A5082" s="24">
        <v>45748</v>
      </c>
      <c r="B5082" s="25" t="s">
        <v>119</v>
      </c>
      <c r="C5082" s="25" t="s">
        <v>2</v>
      </c>
      <c r="D5082" s="51">
        <v>1370899.1</v>
      </c>
    </row>
    <row r="5083" spans="1:4" x14ac:dyDescent="0.2">
      <c r="A5083" s="24">
        <v>45748</v>
      </c>
      <c r="B5083" s="25" t="s">
        <v>138</v>
      </c>
      <c r="C5083" s="25" t="s">
        <v>4</v>
      </c>
      <c r="D5083" s="51">
        <v>7</v>
      </c>
    </row>
    <row r="5084" spans="1:4" x14ac:dyDescent="0.2">
      <c r="A5084" s="24">
        <v>45748</v>
      </c>
      <c r="B5084" s="25" t="s">
        <v>138</v>
      </c>
      <c r="C5084" s="25" t="s">
        <v>8</v>
      </c>
      <c r="D5084" s="51">
        <v>1</v>
      </c>
    </row>
    <row r="5085" spans="1:4" x14ac:dyDescent="0.2">
      <c r="A5085" s="24">
        <v>45748</v>
      </c>
      <c r="B5085" s="25" t="s">
        <v>138</v>
      </c>
      <c r="C5085" s="25" t="s">
        <v>26</v>
      </c>
      <c r="D5085" s="51">
        <v>4</v>
      </c>
    </row>
    <row r="5086" spans="1:4" x14ac:dyDescent="0.2">
      <c r="A5086" s="24">
        <v>45748</v>
      </c>
      <c r="B5086" s="25" t="s">
        <v>138</v>
      </c>
      <c r="C5086" s="25" t="s">
        <v>142</v>
      </c>
      <c r="D5086" s="51">
        <v>8</v>
      </c>
    </row>
    <row r="5087" spans="1:4" x14ac:dyDescent="0.2">
      <c r="A5087" s="24">
        <v>45748</v>
      </c>
      <c r="B5087" s="25" t="s">
        <v>138</v>
      </c>
      <c r="C5087" s="25" t="s">
        <v>2</v>
      </c>
      <c r="D5087" s="51">
        <v>34</v>
      </c>
    </row>
    <row r="5088" spans="1:4" x14ac:dyDescent="0.2">
      <c r="A5088" s="24">
        <v>45748</v>
      </c>
      <c r="B5088" s="25" t="s">
        <v>139</v>
      </c>
      <c r="C5088" s="25" t="s">
        <v>4</v>
      </c>
      <c r="D5088" s="51">
        <v>918</v>
      </c>
    </row>
    <row r="5089" spans="1:4" x14ac:dyDescent="0.2">
      <c r="A5089" s="24">
        <v>45748</v>
      </c>
      <c r="B5089" s="25" t="s">
        <v>139</v>
      </c>
      <c r="C5089" s="25" t="s">
        <v>8</v>
      </c>
      <c r="D5089" s="51">
        <v>43</v>
      </c>
    </row>
    <row r="5090" spans="1:4" x14ac:dyDescent="0.2">
      <c r="A5090" s="24">
        <v>45748</v>
      </c>
      <c r="B5090" s="25" t="s">
        <v>139</v>
      </c>
      <c r="C5090" s="25" t="s">
        <v>26</v>
      </c>
      <c r="D5090" s="51">
        <v>69</v>
      </c>
    </row>
    <row r="5091" spans="1:4" x14ac:dyDescent="0.2">
      <c r="A5091" s="24">
        <v>45748</v>
      </c>
      <c r="B5091" s="25" t="s">
        <v>139</v>
      </c>
      <c r="C5091" s="25" t="s">
        <v>142</v>
      </c>
      <c r="D5091" s="51">
        <v>50.82</v>
      </c>
    </row>
    <row r="5092" spans="1:4" x14ac:dyDescent="0.2">
      <c r="A5092" s="24">
        <v>45748</v>
      </c>
      <c r="B5092" s="25" t="s">
        <v>139</v>
      </c>
      <c r="C5092" s="25" t="s">
        <v>2</v>
      </c>
      <c r="D5092" s="51">
        <v>915.58</v>
      </c>
    </row>
    <row r="5093" spans="1:4" x14ac:dyDescent="0.2">
      <c r="A5093" s="24">
        <v>45748</v>
      </c>
      <c r="B5093" s="25" t="s">
        <v>120</v>
      </c>
      <c r="C5093" s="25" t="s">
        <v>4</v>
      </c>
      <c r="D5093" s="51">
        <v>74306</v>
      </c>
    </row>
    <row r="5094" spans="1:4" x14ac:dyDescent="0.2">
      <c r="A5094" s="24">
        <v>45748</v>
      </c>
      <c r="B5094" s="25" t="s">
        <v>120</v>
      </c>
      <c r="C5094" s="25" t="s">
        <v>8</v>
      </c>
      <c r="D5094" s="51">
        <v>5064</v>
      </c>
    </row>
    <row r="5095" spans="1:4" x14ac:dyDescent="0.2">
      <c r="A5095" s="24">
        <v>45748</v>
      </c>
      <c r="B5095" s="25" t="s">
        <v>120</v>
      </c>
      <c r="C5095" s="25" t="s">
        <v>26</v>
      </c>
      <c r="D5095" s="51">
        <v>13476</v>
      </c>
    </row>
    <row r="5096" spans="1:4" x14ac:dyDescent="0.2">
      <c r="A5096" s="24">
        <v>45748</v>
      </c>
      <c r="B5096" s="25" t="s">
        <v>120</v>
      </c>
      <c r="C5096" s="25" t="s">
        <v>142</v>
      </c>
      <c r="D5096" s="51">
        <v>34437.85</v>
      </c>
    </row>
    <row r="5097" spans="1:4" x14ac:dyDescent="0.2">
      <c r="A5097" s="24">
        <v>45748</v>
      </c>
      <c r="B5097" s="25" t="s">
        <v>120</v>
      </c>
      <c r="C5097" s="25" t="s">
        <v>2</v>
      </c>
      <c r="D5097" s="51">
        <v>176170.89</v>
      </c>
    </row>
    <row r="5098" spans="1:4" x14ac:dyDescent="0.2">
      <c r="A5098" s="24">
        <v>45748</v>
      </c>
      <c r="B5098" s="25" t="s">
        <v>121</v>
      </c>
      <c r="C5098" s="25" t="s">
        <v>4</v>
      </c>
      <c r="D5098" s="51">
        <v>27513</v>
      </c>
    </row>
    <row r="5099" spans="1:4" x14ac:dyDescent="0.2">
      <c r="A5099" s="24">
        <v>45748</v>
      </c>
      <c r="B5099" s="25" t="s">
        <v>121</v>
      </c>
      <c r="C5099" s="25" t="s">
        <v>8</v>
      </c>
      <c r="D5099" s="51">
        <v>1930</v>
      </c>
    </row>
    <row r="5100" spans="1:4" x14ac:dyDescent="0.2">
      <c r="A5100" s="24">
        <v>45748</v>
      </c>
      <c r="B5100" s="25" t="s">
        <v>121</v>
      </c>
      <c r="C5100" s="25" t="s">
        <v>26</v>
      </c>
      <c r="D5100" s="51">
        <v>3677</v>
      </c>
    </row>
    <row r="5101" spans="1:4" x14ac:dyDescent="0.2">
      <c r="A5101" s="24">
        <v>45748</v>
      </c>
      <c r="B5101" s="25" t="s">
        <v>121</v>
      </c>
      <c r="C5101" s="25" t="s">
        <v>142</v>
      </c>
      <c r="D5101" s="51">
        <v>5104.33</v>
      </c>
    </row>
    <row r="5102" spans="1:4" x14ac:dyDescent="0.2">
      <c r="A5102" s="24">
        <v>45748</v>
      </c>
      <c r="B5102" s="25" t="s">
        <v>121</v>
      </c>
      <c r="C5102" s="25" t="s">
        <v>2</v>
      </c>
      <c r="D5102" s="51">
        <v>22150.87</v>
      </c>
    </row>
    <row r="5103" spans="1:4" x14ac:dyDescent="0.2">
      <c r="A5103" s="24">
        <v>45748</v>
      </c>
      <c r="B5103" s="25" t="s">
        <v>140</v>
      </c>
      <c r="C5103" s="25" t="s">
        <v>4</v>
      </c>
      <c r="D5103" s="51">
        <v>16330</v>
      </c>
    </row>
    <row r="5104" spans="1:4" x14ac:dyDescent="0.2">
      <c r="A5104" s="24">
        <v>45748</v>
      </c>
      <c r="B5104" s="25" t="s">
        <v>122</v>
      </c>
      <c r="C5104" s="25" t="s">
        <v>4</v>
      </c>
      <c r="D5104" s="51">
        <v>716898</v>
      </c>
    </row>
    <row r="5105" spans="1:4" x14ac:dyDescent="0.2">
      <c r="A5105" s="24">
        <v>45748</v>
      </c>
      <c r="B5105" s="25" t="s">
        <v>122</v>
      </c>
      <c r="C5105" s="25" t="s">
        <v>8</v>
      </c>
      <c r="D5105" s="51">
        <v>6000</v>
      </c>
    </row>
    <row r="5106" spans="1:4" x14ac:dyDescent="0.2">
      <c r="A5106" s="24">
        <v>45748</v>
      </c>
      <c r="B5106" s="25" t="s">
        <v>122</v>
      </c>
      <c r="C5106" s="25" t="s">
        <v>26</v>
      </c>
      <c r="D5106" s="51">
        <v>28712</v>
      </c>
    </row>
    <row r="5107" spans="1:4" x14ac:dyDescent="0.2">
      <c r="A5107" s="24">
        <v>45748</v>
      </c>
      <c r="B5107" s="25" t="s">
        <v>122</v>
      </c>
      <c r="C5107" s="25" t="s">
        <v>142</v>
      </c>
      <c r="D5107" s="51">
        <v>156573.73000000001</v>
      </c>
    </row>
    <row r="5108" spans="1:4" x14ac:dyDescent="0.2">
      <c r="A5108" s="24">
        <v>45748</v>
      </c>
      <c r="B5108" s="25" t="s">
        <v>122</v>
      </c>
      <c r="C5108" s="25" t="s">
        <v>2</v>
      </c>
      <c r="D5108" s="51">
        <v>472462.72</v>
      </c>
    </row>
    <row r="5109" spans="1:4" x14ac:dyDescent="0.2">
      <c r="A5109" s="24">
        <v>45748</v>
      </c>
      <c r="B5109" s="25" t="s">
        <v>123</v>
      </c>
      <c r="C5109" s="25" t="s">
        <v>4</v>
      </c>
      <c r="D5109" s="51">
        <v>3134836</v>
      </c>
    </row>
    <row r="5110" spans="1:4" x14ac:dyDescent="0.2">
      <c r="A5110" s="24">
        <v>45748</v>
      </c>
      <c r="B5110" s="25" t="s">
        <v>123</v>
      </c>
      <c r="C5110" s="25" t="s">
        <v>8</v>
      </c>
      <c r="D5110" s="51">
        <v>194436</v>
      </c>
    </row>
    <row r="5111" spans="1:4" x14ac:dyDescent="0.2">
      <c r="A5111" s="24">
        <v>45748</v>
      </c>
      <c r="B5111" s="25" t="s">
        <v>123</v>
      </c>
      <c r="C5111" s="25" t="s">
        <v>26</v>
      </c>
      <c r="D5111" s="51">
        <v>474695</v>
      </c>
    </row>
    <row r="5112" spans="1:4" x14ac:dyDescent="0.2">
      <c r="A5112" s="24">
        <v>45748</v>
      </c>
      <c r="B5112" s="25" t="s">
        <v>123</v>
      </c>
      <c r="C5112" s="25" t="s">
        <v>142</v>
      </c>
      <c r="D5112" s="51">
        <v>435647.21</v>
      </c>
    </row>
    <row r="5113" spans="1:4" x14ac:dyDescent="0.2">
      <c r="A5113" s="24">
        <v>45748</v>
      </c>
      <c r="B5113" s="25" t="s">
        <v>123</v>
      </c>
      <c r="C5113" s="25" t="s">
        <v>2</v>
      </c>
      <c r="D5113" s="51">
        <v>2272153.88</v>
      </c>
    </row>
    <row r="5114" spans="1:4" x14ac:dyDescent="0.2">
      <c r="A5114" s="24">
        <v>45748</v>
      </c>
      <c r="B5114" s="25" t="s">
        <v>124</v>
      </c>
      <c r="C5114" s="25" t="s">
        <v>8</v>
      </c>
      <c r="D5114" s="51">
        <v>27713</v>
      </c>
    </row>
    <row r="5115" spans="1:4" x14ac:dyDescent="0.2">
      <c r="A5115" s="24">
        <v>45748</v>
      </c>
      <c r="B5115" s="25" t="s">
        <v>125</v>
      </c>
      <c r="C5115" s="25" t="s">
        <v>8</v>
      </c>
      <c r="D5115" s="51">
        <v>18420</v>
      </c>
    </row>
    <row r="5116" spans="1:4" x14ac:dyDescent="0.2">
      <c r="A5116" s="24">
        <v>45748</v>
      </c>
      <c r="B5116" s="25" t="s">
        <v>127</v>
      </c>
      <c r="C5116" s="25" t="s">
        <v>26</v>
      </c>
      <c r="D5116" s="51">
        <v>4096</v>
      </c>
    </row>
    <row r="5117" spans="1:4" x14ac:dyDescent="0.2">
      <c r="A5117" s="24">
        <v>45748</v>
      </c>
      <c r="B5117" s="25" t="s">
        <v>128</v>
      </c>
      <c r="C5117" s="25" t="s">
        <v>26</v>
      </c>
      <c r="D5117" s="51">
        <v>2727</v>
      </c>
    </row>
    <row r="5118" spans="1:4" x14ac:dyDescent="0.2">
      <c r="A5118" s="24">
        <v>45748</v>
      </c>
      <c r="B5118" s="25" t="s">
        <v>129</v>
      </c>
      <c r="C5118" s="25" t="s">
        <v>142</v>
      </c>
      <c r="D5118" s="51">
        <v>11053.64</v>
      </c>
    </row>
    <row r="5119" spans="1:4" x14ac:dyDescent="0.2">
      <c r="A5119" s="24">
        <v>45748</v>
      </c>
      <c r="B5119" s="25" t="s">
        <v>129</v>
      </c>
      <c r="C5119" s="25" t="s">
        <v>2</v>
      </c>
      <c r="D5119" s="51">
        <v>70526.36</v>
      </c>
    </row>
    <row r="5120" spans="1:4" x14ac:dyDescent="0.2">
      <c r="A5120" s="24">
        <v>45748</v>
      </c>
      <c r="B5120" s="25" t="s">
        <v>130</v>
      </c>
      <c r="C5120" s="25" t="s">
        <v>142</v>
      </c>
      <c r="D5120" s="51">
        <v>15592.32</v>
      </c>
    </row>
    <row r="5121" spans="1:4" x14ac:dyDescent="0.2">
      <c r="A5121" s="24">
        <v>45748</v>
      </c>
      <c r="B5121" s="25" t="s">
        <v>130</v>
      </c>
      <c r="C5121" s="25" t="s">
        <v>2</v>
      </c>
      <c r="D5121" s="51">
        <v>56154.8</v>
      </c>
    </row>
    <row r="5122" spans="1:4" x14ac:dyDescent="0.2">
      <c r="A5122" s="24">
        <v>45748</v>
      </c>
      <c r="B5122" s="25" t="s">
        <v>144</v>
      </c>
      <c r="C5122" s="25" t="s">
        <v>4</v>
      </c>
      <c r="D5122" s="51">
        <v>66</v>
      </c>
    </row>
    <row r="5123" spans="1:4" x14ac:dyDescent="0.2">
      <c r="A5123" s="24">
        <v>45748</v>
      </c>
      <c r="B5123" s="25" t="s">
        <v>144</v>
      </c>
      <c r="C5123" s="25" t="s">
        <v>8</v>
      </c>
      <c r="D5123" s="51">
        <v>12</v>
      </c>
    </row>
    <row r="5124" spans="1:4" x14ac:dyDescent="0.2">
      <c r="A5124" s="24">
        <v>45748</v>
      </c>
      <c r="B5124" s="25" t="s">
        <v>144</v>
      </c>
      <c r="C5124" s="25" t="s">
        <v>26</v>
      </c>
      <c r="D5124" s="51">
        <v>8</v>
      </c>
    </row>
    <row r="5125" spans="1:4" x14ac:dyDescent="0.2">
      <c r="A5125" s="24">
        <v>45748</v>
      </c>
      <c r="B5125" s="25" t="s">
        <v>144</v>
      </c>
      <c r="C5125" s="25" t="s">
        <v>142</v>
      </c>
      <c r="D5125" s="51">
        <v>2.11</v>
      </c>
    </row>
    <row r="5126" spans="1:4" x14ac:dyDescent="0.2">
      <c r="A5126" s="24">
        <v>45748</v>
      </c>
      <c r="B5126" s="25" t="s">
        <v>144</v>
      </c>
      <c r="C5126" s="25" t="s">
        <v>2</v>
      </c>
      <c r="D5126" s="51">
        <v>71</v>
      </c>
    </row>
    <row r="5127" spans="1:4" x14ac:dyDescent="0.2">
      <c r="A5127" s="24">
        <v>45505</v>
      </c>
      <c r="B5127" s="25" t="s">
        <v>117</v>
      </c>
      <c r="C5127" s="25" t="s">
        <v>4</v>
      </c>
      <c r="D5127" s="51">
        <v>7133317</v>
      </c>
    </row>
    <row r="5128" spans="1:4" x14ac:dyDescent="0.2">
      <c r="A5128" s="24">
        <v>45505</v>
      </c>
      <c r="B5128" s="25" t="s">
        <v>117</v>
      </c>
      <c r="C5128" s="25" t="s">
        <v>8</v>
      </c>
      <c r="D5128" s="51">
        <v>362762</v>
      </c>
    </row>
    <row r="5129" spans="1:4" x14ac:dyDescent="0.2">
      <c r="A5129" s="24">
        <v>45505</v>
      </c>
      <c r="B5129" s="25" t="s">
        <v>117</v>
      </c>
      <c r="C5129" s="25" t="s">
        <v>26</v>
      </c>
      <c r="D5129" s="51">
        <v>1267089</v>
      </c>
    </row>
    <row r="5130" spans="1:4" x14ac:dyDescent="0.2">
      <c r="A5130" s="24">
        <v>45505</v>
      </c>
      <c r="B5130" s="25" t="s">
        <v>117</v>
      </c>
      <c r="C5130" s="25" t="s">
        <v>142</v>
      </c>
      <c r="D5130" s="51">
        <v>1514414.91</v>
      </c>
    </row>
    <row r="5131" spans="1:4" x14ac:dyDescent="0.2">
      <c r="A5131" s="24">
        <v>45505</v>
      </c>
      <c r="B5131" s="25" t="s">
        <v>117</v>
      </c>
      <c r="C5131" s="25" t="s">
        <v>2</v>
      </c>
      <c r="D5131" s="51">
        <v>11522067.68</v>
      </c>
    </row>
    <row r="5132" spans="1:4" x14ac:dyDescent="0.2">
      <c r="A5132" s="24">
        <v>45505</v>
      </c>
      <c r="B5132" s="25" t="s">
        <v>137</v>
      </c>
      <c r="C5132" s="25" t="s">
        <v>4</v>
      </c>
      <c r="D5132" s="51">
        <v>7234374</v>
      </c>
    </row>
    <row r="5133" spans="1:4" x14ac:dyDescent="0.2">
      <c r="A5133" s="24">
        <v>45505</v>
      </c>
      <c r="B5133" s="25" t="s">
        <v>137</v>
      </c>
      <c r="C5133" s="25" t="s">
        <v>8</v>
      </c>
      <c r="D5133" s="51">
        <v>634998</v>
      </c>
    </row>
    <row r="5134" spans="1:4" x14ac:dyDescent="0.2">
      <c r="A5134" s="24">
        <v>45505</v>
      </c>
      <c r="B5134" s="25" t="s">
        <v>137</v>
      </c>
      <c r="C5134" s="25" t="s">
        <v>26</v>
      </c>
      <c r="D5134" s="51">
        <v>1483846</v>
      </c>
    </row>
    <row r="5135" spans="1:4" x14ac:dyDescent="0.2">
      <c r="A5135" s="24">
        <v>45505</v>
      </c>
      <c r="B5135" s="25" t="s">
        <v>137</v>
      </c>
      <c r="C5135" s="25" t="s">
        <v>142</v>
      </c>
      <c r="D5135" s="51">
        <v>1368611.17</v>
      </c>
    </row>
    <row r="5136" spans="1:4" x14ac:dyDescent="0.2">
      <c r="A5136" s="24">
        <v>45505</v>
      </c>
      <c r="B5136" s="25" t="s">
        <v>137</v>
      </c>
      <c r="C5136" s="25" t="s">
        <v>2</v>
      </c>
      <c r="D5136" s="51">
        <v>10090564.949999999</v>
      </c>
    </row>
    <row r="5137" spans="1:4" x14ac:dyDescent="0.2">
      <c r="A5137" s="24">
        <v>45505</v>
      </c>
      <c r="B5137" s="25" t="s">
        <v>118</v>
      </c>
      <c r="C5137" s="25" t="s">
        <v>4</v>
      </c>
      <c r="D5137" s="51">
        <v>635475</v>
      </c>
    </row>
    <row r="5138" spans="1:4" x14ac:dyDescent="0.2">
      <c r="A5138" s="24">
        <v>45505</v>
      </c>
      <c r="B5138" s="25" t="s">
        <v>118</v>
      </c>
      <c r="C5138" s="25" t="s">
        <v>8</v>
      </c>
      <c r="D5138" s="51">
        <v>64954</v>
      </c>
    </row>
    <row r="5139" spans="1:4" x14ac:dyDescent="0.2">
      <c r="A5139" s="24">
        <v>45505</v>
      </c>
      <c r="B5139" s="25" t="s">
        <v>118</v>
      </c>
      <c r="C5139" s="25" t="s">
        <v>26</v>
      </c>
      <c r="D5139" s="51">
        <v>102834</v>
      </c>
    </row>
    <row r="5140" spans="1:4" x14ac:dyDescent="0.2">
      <c r="A5140" s="24">
        <v>45505</v>
      </c>
      <c r="B5140" s="25" t="s">
        <v>118</v>
      </c>
      <c r="C5140" s="25" t="s">
        <v>142</v>
      </c>
      <c r="D5140" s="51">
        <v>149909.13</v>
      </c>
    </row>
    <row r="5141" spans="1:4" x14ac:dyDescent="0.2">
      <c r="A5141" s="24">
        <v>45505</v>
      </c>
      <c r="B5141" s="25" t="s">
        <v>118</v>
      </c>
      <c r="C5141" s="25" t="s">
        <v>2</v>
      </c>
      <c r="D5141" s="51">
        <v>636391.04</v>
      </c>
    </row>
    <row r="5142" spans="1:4" x14ac:dyDescent="0.2">
      <c r="A5142" s="24">
        <v>45505</v>
      </c>
      <c r="B5142" s="25" t="s">
        <v>119</v>
      </c>
      <c r="C5142" s="25" t="s">
        <v>4</v>
      </c>
      <c r="D5142" s="51">
        <v>1100388</v>
      </c>
    </row>
    <row r="5143" spans="1:4" x14ac:dyDescent="0.2">
      <c r="A5143" s="24">
        <v>45505</v>
      </c>
      <c r="B5143" s="25" t="s">
        <v>119</v>
      </c>
      <c r="C5143" s="25" t="s">
        <v>8</v>
      </c>
      <c r="D5143" s="51">
        <v>23687</v>
      </c>
    </row>
    <row r="5144" spans="1:4" x14ac:dyDescent="0.2">
      <c r="A5144" s="24">
        <v>45505</v>
      </c>
      <c r="B5144" s="25" t="s">
        <v>119</v>
      </c>
      <c r="C5144" s="25" t="s">
        <v>26</v>
      </c>
      <c r="D5144" s="51">
        <v>236167</v>
      </c>
    </row>
    <row r="5145" spans="1:4" x14ac:dyDescent="0.2">
      <c r="A5145" s="24">
        <v>45505</v>
      </c>
      <c r="B5145" s="25" t="s">
        <v>119</v>
      </c>
      <c r="C5145" s="25" t="s">
        <v>142</v>
      </c>
      <c r="D5145" s="51">
        <v>337739.59</v>
      </c>
    </row>
    <row r="5146" spans="1:4" x14ac:dyDescent="0.2">
      <c r="A5146" s="24">
        <v>45505</v>
      </c>
      <c r="B5146" s="25" t="s">
        <v>119</v>
      </c>
      <c r="C5146" s="25" t="s">
        <v>2</v>
      </c>
      <c r="D5146" s="51">
        <v>1617591.46</v>
      </c>
    </row>
    <row r="5147" spans="1:4" x14ac:dyDescent="0.2">
      <c r="A5147" s="24">
        <v>45505</v>
      </c>
      <c r="B5147" s="25" t="s">
        <v>138</v>
      </c>
      <c r="C5147" s="25" t="s">
        <v>4</v>
      </c>
      <c r="D5147" s="51">
        <v>10</v>
      </c>
    </row>
    <row r="5148" spans="1:4" x14ac:dyDescent="0.2">
      <c r="A5148" s="24">
        <v>45505</v>
      </c>
      <c r="B5148" s="25" t="s">
        <v>138</v>
      </c>
      <c r="C5148" s="25" t="s">
        <v>8</v>
      </c>
      <c r="D5148" s="51">
        <v>58</v>
      </c>
    </row>
    <row r="5149" spans="1:4" x14ac:dyDescent="0.2">
      <c r="A5149" s="24">
        <v>45505</v>
      </c>
      <c r="B5149" s="25" t="s">
        <v>138</v>
      </c>
      <c r="C5149" s="25" t="s">
        <v>26</v>
      </c>
      <c r="D5149" s="51">
        <v>17</v>
      </c>
    </row>
    <row r="5150" spans="1:4" x14ac:dyDescent="0.2">
      <c r="A5150" s="24">
        <v>45505</v>
      </c>
      <c r="B5150" s="25" t="s">
        <v>138</v>
      </c>
      <c r="C5150" s="25" t="s">
        <v>142</v>
      </c>
      <c r="D5150" s="51">
        <v>2</v>
      </c>
    </row>
    <row r="5151" spans="1:4" x14ac:dyDescent="0.2">
      <c r="A5151" s="24">
        <v>45505</v>
      </c>
      <c r="B5151" s="25" t="s">
        <v>138</v>
      </c>
      <c r="C5151" s="25" t="s">
        <v>2</v>
      </c>
      <c r="D5151" s="51">
        <v>292</v>
      </c>
    </row>
    <row r="5152" spans="1:4" x14ac:dyDescent="0.2">
      <c r="A5152" s="24">
        <v>45505</v>
      </c>
      <c r="B5152" s="25" t="s">
        <v>139</v>
      </c>
      <c r="C5152" s="25" t="s">
        <v>4</v>
      </c>
      <c r="D5152" s="51">
        <v>1219</v>
      </c>
    </row>
    <row r="5153" spans="1:4" x14ac:dyDescent="0.2">
      <c r="A5153" s="24">
        <v>45505</v>
      </c>
      <c r="B5153" s="25" t="s">
        <v>139</v>
      </c>
      <c r="C5153" s="25" t="s">
        <v>8</v>
      </c>
      <c r="D5153" s="51">
        <v>50</v>
      </c>
    </row>
    <row r="5154" spans="1:4" x14ac:dyDescent="0.2">
      <c r="A5154" s="24">
        <v>45505</v>
      </c>
      <c r="B5154" s="25" t="s">
        <v>139</v>
      </c>
      <c r="C5154" s="25" t="s">
        <v>26</v>
      </c>
      <c r="D5154" s="51">
        <v>74</v>
      </c>
    </row>
    <row r="5155" spans="1:4" x14ac:dyDescent="0.2">
      <c r="A5155" s="24">
        <v>45505</v>
      </c>
      <c r="B5155" s="25" t="s">
        <v>139</v>
      </c>
      <c r="C5155" s="25" t="s">
        <v>142</v>
      </c>
      <c r="D5155" s="51">
        <v>32.44</v>
      </c>
    </row>
    <row r="5156" spans="1:4" x14ac:dyDescent="0.2">
      <c r="A5156" s="24">
        <v>45505</v>
      </c>
      <c r="B5156" s="25" t="s">
        <v>139</v>
      </c>
      <c r="C5156" s="25" t="s">
        <v>2</v>
      </c>
      <c r="D5156" s="51">
        <v>974.6</v>
      </c>
    </row>
    <row r="5157" spans="1:4" x14ac:dyDescent="0.2">
      <c r="A5157" s="24">
        <v>45505</v>
      </c>
      <c r="B5157" s="25" t="s">
        <v>120</v>
      </c>
      <c r="C5157" s="25" t="s">
        <v>4</v>
      </c>
      <c r="D5157" s="51">
        <v>76526</v>
      </c>
    </row>
    <row r="5158" spans="1:4" x14ac:dyDescent="0.2">
      <c r="A5158" s="24">
        <v>45505</v>
      </c>
      <c r="B5158" s="25" t="s">
        <v>120</v>
      </c>
      <c r="C5158" s="25" t="s">
        <v>8</v>
      </c>
      <c r="D5158" s="51">
        <v>4368</v>
      </c>
    </row>
    <row r="5159" spans="1:4" x14ac:dyDescent="0.2">
      <c r="A5159" s="24">
        <v>45505</v>
      </c>
      <c r="B5159" s="25" t="s">
        <v>120</v>
      </c>
      <c r="C5159" s="25" t="s">
        <v>26</v>
      </c>
      <c r="D5159" s="51">
        <v>11051</v>
      </c>
    </row>
    <row r="5160" spans="1:4" x14ac:dyDescent="0.2">
      <c r="A5160" s="24">
        <v>45505</v>
      </c>
      <c r="B5160" s="25" t="s">
        <v>120</v>
      </c>
      <c r="C5160" s="25" t="s">
        <v>142</v>
      </c>
      <c r="D5160" s="51">
        <v>21640.27</v>
      </c>
    </row>
    <row r="5161" spans="1:4" x14ac:dyDescent="0.2">
      <c r="A5161" s="24">
        <v>45505</v>
      </c>
      <c r="B5161" s="25" t="s">
        <v>120</v>
      </c>
      <c r="C5161" s="25" t="s">
        <v>2</v>
      </c>
      <c r="D5161" s="51">
        <v>212160.53</v>
      </c>
    </row>
    <row r="5162" spans="1:4" x14ac:dyDescent="0.2">
      <c r="A5162" s="24">
        <v>45505</v>
      </c>
      <c r="B5162" s="25" t="s">
        <v>121</v>
      </c>
      <c r="C5162" s="25" t="s">
        <v>4</v>
      </c>
      <c r="D5162" s="51">
        <v>30146</v>
      </c>
    </row>
    <row r="5163" spans="1:4" x14ac:dyDescent="0.2">
      <c r="A5163" s="24">
        <v>45505</v>
      </c>
      <c r="B5163" s="25" t="s">
        <v>121</v>
      </c>
      <c r="C5163" s="25" t="s">
        <v>8</v>
      </c>
      <c r="D5163" s="51">
        <v>1784</v>
      </c>
    </row>
    <row r="5164" spans="1:4" x14ac:dyDescent="0.2">
      <c r="A5164" s="24">
        <v>45505</v>
      </c>
      <c r="B5164" s="25" t="s">
        <v>121</v>
      </c>
      <c r="C5164" s="25" t="s">
        <v>26</v>
      </c>
      <c r="D5164" s="51">
        <v>3512</v>
      </c>
    </row>
    <row r="5165" spans="1:4" x14ac:dyDescent="0.2">
      <c r="A5165" s="24">
        <v>45505</v>
      </c>
      <c r="B5165" s="25" t="s">
        <v>121</v>
      </c>
      <c r="C5165" s="25" t="s">
        <v>142</v>
      </c>
      <c r="D5165" s="51">
        <v>4203.08</v>
      </c>
    </row>
    <row r="5166" spans="1:4" x14ac:dyDescent="0.2">
      <c r="A5166" s="24">
        <v>45505</v>
      </c>
      <c r="B5166" s="25" t="s">
        <v>121</v>
      </c>
      <c r="C5166" s="25" t="s">
        <v>2</v>
      </c>
      <c r="D5166" s="51">
        <v>26000.04</v>
      </c>
    </row>
    <row r="5167" spans="1:4" x14ac:dyDescent="0.2">
      <c r="A5167" s="24">
        <v>45505</v>
      </c>
      <c r="B5167" s="25" t="s">
        <v>140</v>
      </c>
      <c r="C5167" s="25" t="s">
        <v>4</v>
      </c>
      <c r="D5167" s="51">
        <v>18237</v>
      </c>
    </row>
    <row r="5168" spans="1:4" x14ac:dyDescent="0.2">
      <c r="A5168" s="24">
        <v>45505</v>
      </c>
      <c r="B5168" s="25" t="s">
        <v>122</v>
      </c>
      <c r="C5168" s="25" t="s">
        <v>4</v>
      </c>
      <c r="D5168" s="51">
        <v>1410956</v>
      </c>
    </row>
    <row r="5169" spans="1:4" x14ac:dyDescent="0.2">
      <c r="A5169" s="24">
        <v>45505</v>
      </c>
      <c r="B5169" s="25" t="s">
        <v>122</v>
      </c>
      <c r="C5169" s="25" t="s">
        <v>8</v>
      </c>
      <c r="D5169" s="51">
        <v>10335</v>
      </c>
    </row>
    <row r="5170" spans="1:4" x14ac:dyDescent="0.2">
      <c r="A5170" s="24">
        <v>45505</v>
      </c>
      <c r="B5170" s="25" t="s">
        <v>122</v>
      </c>
      <c r="C5170" s="25" t="s">
        <v>26</v>
      </c>
      <c r="D5170" s="51">
        <v>40717</v>
      </c>
    </row>
    <row r="5171" spans="1:4" x14ac:dyDescent="0.2">
      <c r="A5171" s="24">
        <v>45505</v>
      </c>
      <c r="B5171" s="25" t="s">
        <v>122</v>
      </c>
      <c r="C5171" s="25" t="s">
        <v>142</v>
      </c>
      <c r="D5171" s="51">
        <v>231151.12</v>
      </c>
    </row>
    <row r="5172" spans="1:4" x14ac:dyDescent="0.2">
      <c r="A5172" s="24">
        <v>45505</v>
      </c>
      <c r="B5172" s="25" t="s">
        <v>122</v>
      </c>
      <c r="C5172" s="25" t="s">
        <v>2</v>
      </c>
      <c r="D5172" s="51">
        <v>1039430.46</v>
      </c>
    </row>
    <row r="5173" spans="1:4" x14ac:dyDescent="0.2">
      <c r="A5173" s="24">
        <v>45505</v>
      </c>
      <c r="B5173" s="25" t="s">
        <v>123</v>
      </c>
      <c r="C5173" s="25" t="s">
        <v>4</v>
      </c>
      <c r="D5173" s="51">
        <v>3401132</v>
      </c>
    </row>
    <row r="5174" spans="1:4" x14ac:dyDescent="0.2">
      <c r="A5174" s="24">
        <v>45505</v>
      </c>
      <c r="B5174" s="25" t="s">
        <v>123</v>
      </c>
      <c r="C5174" s="25" t="s">
        <v>8</v>
      </c>
      <c r="D5174" s="51">
        <v>175547</v>
      </c>
    </row>
    <row r="5175" spans="1:4" x14ac:dyDescent="0.2">
      <c r="A5175" s="24">
        <v>45505</v>
      </c>
      <c r="B5175" s="25" t="s">
        <v>123</v>
      </c>
      <c r="C5175" s="25" t="s">
        <v>26</v>
      </c>
      <c r="D5175" s="51">
        <v>422349</v>
      </c>
    </row>
    <row r="5176" spans="1:4" x14ac:dyDescent="0.2">
      <c r="A5176" s="24">
        <v>45505</v>
      </c>
      <c r="B5176" s="25" t="s">
        <v>123</v>
      </c>
      <c r="C5176" s="25" t="s">
        <v>142</v>
      </c>
      <c r="D5176" s="51">
        <v>355339.91</v>
      </c>
    </row>
    <row r="5177" spans="1:4" x14ac:dyDescent="0.2">
      <c r="A5177" s="24">
        <v>45505</v>
      </c>
      <c r="B5177" s="25" t="s">
        <v>123</v>
      </c>
      <c r="C5177" s="25" t="s">
        <v>2</v>
      </c>
      <c r="D5177" s="51">
        <v>2609523.08</v>
      </c>
    </row>
    <row r="5178" spans="1:4" x14ac:dyDescent="0.2">
      <c r="A5178" s="24">
        <v>45505</v>
      </c>
      <c r="B5178" s="25" t="s">
        <v>124</v>
      </c>
      <c r="C5178" s="25" t="s">
        <v>8</v>
      </c>
      <c r="D5178" s="51">
        <v>19857</v>
      </c>
    </row>
    <row r="5179" spans="1:4" x14ac:dyDescent="0.2">
      <c r="A5179" s="24">
        <v>45505</v>
      </c>
      <c r="B5179" s="25" t="s">
        <v>125</v>
      </c>
      <c r="C5179" s="25" t="s">
        <v>8</v>
      </c>
      <c r="D5179" s="51">
        <v>10279</v>
      </c>
    </row>
    <row r="5180" spans="1:4" x14ac:dyDescent="0.2">
      <c r="A5180" s="24">
        <v>45505</v>
      </c>
      <c r="B5180" s="25" t="s">
        <v>127</v>
      </c>
      <c r="C5180" s="25" t="s">
        <v>26</v>
      </c>
      <c r="D5180" s="51">
        <v>4327</v>
      </c>
    </row>
    <row r="5181" spans="1:4" x14ac:dyDescent="0.2">
      <c r="A5181" s="24">
        <v>45505</v>
      </c>
      <c r="B5181" s="25" t="s">
        <v>128</v>
      </c>
      <c r="C5181" s="25" t="s">
        <v>26</v>
      </c>
      <c r="D5181" s="51">
        <v>2286</v>
      </c>
    </row>
    <row r="5182" spans="1:4" x14ac:dyDescent="0.2">
      <c r="A5182" s="24">
        <v>45505</v>
      </c>
      <c r="B5182" s="25" t="s">
        <v>129</v>
      </c>
      <c r="C5182" s="25" t="s">
        <v>142</v>
      </c>
      <c r="D5182" s="51">
        <v>6489.19</v>
      </c>
    </row>
    <row r="5183" spans="1:4" x14ac:dyDescent="0.2">
      <c r="A5183" s="24">
        <v>45505</v>
      </c>
      <c r="B5183" s="25" t="s">
        <v>129</v>
      </c>
      <c r="C5183" s="25" t="s">
        <v>2</v>
      </c>
      <c r="D5183" s="51">
        <v>77568.83</v>
      </c>
    </row>
    <row r="5184" spans="1:4" x14ac:dyDescent="0.2">
      <c r="A5184" s="24">
        <v>45505</v>
      </c>
      <c r="B5184" s="25" t="s">
        <v>130</v>
      </c>
      <c r="C5184" s="25" t="s">
        <v>142</v>
      </c>
      <c r="D5184" s="51">
        <v>8214.9699999999993</v>
      </c>
    </row>
    <row r="5185" spans="1:4" x14ac:dyDescent="0.2">
      <c r="A5185" s="24">
        <v>45505</v>
      </c>
      <c r="B5185" s="25" t="s">
        <v>130</v>
      </c>
      <c r="C5185" s="25" t="s">
        <v>2</v>
      </c>
      <c r="D5185" s="51">
        <v>43136.94</v>
      </c>
    </row>
    <row r="5186" spans="1:4" x14ac:dyDescent="0.2">
      <c r="A5186" s="24">
        <v>45505</v>
      </c>
      <c r="B5186" s="25" t="s">
        <v>144</v>
      </c>
      <c r="C5186" s="25" t="s">
        <v>4</v>
      </c>
      <c r="D5186" s="51">
        <v>150</v>
      </c>
    </row>
    <row r="5187" spans="1:4" x14ac:dyDescent="0.2">
      <c r="A5187" s="24">
        <v>45505</v>
      </c>
      <c r="B5187" s="25" t="s">
        <v>144</v>
      </c>
      <c r="C5187" s="25" t="s">
        <v>8</v>
      </c>
      <c r="D5187" s="51">
        <v>25</v>
      </c>
    </row>
    <row r="5188" spans="1:4" x14ac:dyDescent="0.2">
      <c r="A5188" s="24">
        <v>45505</v>
      </c>
      <c r="B5188" s="25" t="s">
        <v>144</v>
      </c>
      <c r="C5188" s="25" t="s">
        <v>26</v>
      </c>
      <c r="D5188" s="51">
        <v>2</v>
      </c>
    </row>
    <row r="5189" spans="1:4" x14ac:dyDescent="0.2">
      <c r="A5189" s="24">
        <v>45505</v>
      </c>
      <c r="B5189" s="25" t="s">
        <v>144</v>
      </c>
      <c r="C5189" s="25" t="s">
        <v>142</v>
      </c>
      <c r="D5189" s="51">
        <v>13.98</v>
      </c>
    </row>
    <row r="5190" spans="1:4" x14ac:dyDescent="0.2">
      <c r="A5190" s="24">
        <v>45505</v>
      </c>
      <c r="B5190" s="25" t="s">
        <v>144</v>
      </c>
      <c r="C5190" s="25" t="s">
        <v>2</v>
      </c>
      <c r="D5190" s="51">
        <v>168</v>
      </c>
    </row>
    <row r="5191" spans="1:4" x14ac:dyDescent="0.2">
      <c r="A5191" s="24">
        <v>45870</v>
      </c>
      <c r="B5191" s="25" t="s">
        <v>117</v>
      </c>
      <c r="C5191" s="25" t="s">
        <v>4</v>
      </c>
      <c r="D5191" s="51">
        <v>6271101</v>
      </c>
    </row>
    <row r="5192" spans="1:4" x14ac:dyDescent="0.2">
      <c r="A5192" s="24">
        <v>45870</v>
      </c>
      <c r="B5192" s="25" t="s">
        <v>117</v>
      </c>
      <c r="C5192" s="25" t="s">
        <v>8</v>
      </c>
      <c r="D5192" s="51">
        <v>288151</v>
      </c>
    </row>
    <row r="5193" spans="1:4" x14ac:dyDescent="0.2">
      <c r="A5193" s="24">
        <v>45870</v>
      </c>
      <c r="B5193" s="25" t="s">
        <v>117</v>
      </c>
      <c r="C5193" s="25" t="s">
        <v>26</v>
      </c>
      <c r="D5193" s="51">
        <v>1222300</v>
      </c>
    </row>
    <row r="5194" spans="1:4" x14ac:dyDescent="0.2">
      <c r="A5194" s="24">
        <v>45870</v>
      </c>
      <c r="B5194" s="25" t="s">
        <v>117</v>
      </c>
      <c r="C5194" s="25" t="s">
        <v>142</v>
      </c>
      <c r="D5194" s="51">
        <v>2224364.34</v>
      </c>
    </row>
    <row r="5195" spans="1:4" x14ac:dyDescent="0.2">
      <c r="A5195" s="24">
        <v>45870</v>
      </c>
      <c r="B5195" s="25" t="s">
        <v>117</v>
      </c>
      <c r="C5195" s="25" t="s">
        <v>2</v>
      </c>
      <c r="D5195" s="51">
        <v>9176932.5299999993</v>
      </c>
    </row>
    <row r="5196" spans="1:4" x14ac:dyDescent="0.2">
      <c r="A5196" s="24">
        <v>45870</v>
      </c>
      <c r="B5196" s="25" t="s">
        <v>137</v>
      </c>
      <c r="C5196" s="25" t="s">
        <v>4</v>
      </c>
      <c r="D5196" s="51">
        <v>7692095</v>
      </c>
    </row>
    <row r="5197" spans="1:4" x14ac:dyDescent="0.2">
      <c r="A5197" s="24">
        <v>45870</v>
      </c>
      <c r="B5197" s="25" t="s">
        <v>137</v>
      </c>
      <c r="C5197" s="25" t="s">
        <v>8</v>
      </c>
      <c r="D5197" s="51">
        <v>693304</v>
      </c>
    </row>
    <row r="5198" spans="1:4" x14ac:dyDescent="0.2">
      <c r="A5198" s="24">
        <v>45870</v>
      </c>
      <c r="B5198" s="25" t="s">
        <v>137</v>
      </c>
      <c r="C5198" s="25" t="s">
        <v>26</v>
      </c>
      <c r="D5198" s="51">
        <v>1689488</v>
      </c>
    </row>
    <row r="5199" spans="1:4" x14ac:dyDescent="0.2">
      <c r="A5199" s="24">
        <v>45870</v>
      </c>
      <c r="B5199" s="25" t="s">
        <v>137</v>
      </c>
      <c r="C5199" s="25" t="s">
        <v>142</v>
      </c>
      <c r="D5199" s="51">
        <v>2462086.0699999998</v>
      </c>
    </row>
    <row r="5200" spans="1:4" x14ac:dyDescent="0.2">
      <c r="A5200" s="24">
        <v>45870</v>
      </c>
      <c r="B5200" s="25" t="s">
        <v>137</v>
      </c>
      <c r="C5200" s="25" t="s">
        <v>2</v>
      </c>
      <c r="D5200" s="51">
        <v>9433004.2899999991</v>
      </c>
    </row>
    <row r="5201" spans="1:4" x14ac:dyDescent="0.2">
      <c r="A5201" s="24">
        <v>45870</v>
      </c>
      <c r="B5201" s="25" t="s">
        <v>118</v>
      </c>
      <c r="C5201" s="25" t="s">
        <v>4</v>
      </c>
      <c r="D5201" s="51">
        <v>551175</v>
      </c>
    </row>
    <row r="5202" spans="1:4" x14ac:dyDescent="0.2">
      <c r="A5202" s="24">
        <v>45870</v>
      </c>
      <c r="B5202" s="25" t="s">
        <v>118</v>
      </c>
      <c r="C5202" s="25" t="s">
        <v>8</v>
      </c>
      <c r="D5202" s="51">
        <v>56127</v>
      </c>
    </row>
    <row r="5203" spans="1:4" x14ac:dyDescent="0.2">
      <c r="A5203" s="24">
        <v>45870</v>
      </c>
      <c r="B5203" s="25" t="s">
        <v>118</v>
      </c>
      <c r="C5203" s="25" t="s">
        <v>26</v>
      </c>
      <c r="D5203" s="51">
        <v>104220</v>
      </c>
    </row>
    <row r="5204" spans="1:4" x14ac:dyDescent="0.2">
      <c r="A5204" s="24">
        <v>45870</v>
      </c>
      <c r="B5204" s="25" t="s">
        <v>118</v>
      </c>
      <c r="C5204" s="25" t="s">
        <v>142</v>
      </c>
      <c r="D5204" s="51">
        <v>179360.66</v>
      </c>
    </row>
    <row r="5205" spans="1:4" x14ac:dyDescent="0.2">
      <c r="A5205" s="24">
        <v>45870</v>
      </c>
      <c r="B5205" s="25" t="s">
        <v>118</v>
      </c>
      <c r="C5205" s="25" t="s">
        <v>2</v>
      </c>
      <c r="D5205" s="51">
        <v>547636.94999999995</v>
      </c>
    </row>
    <row r="5206" spans="1:4" x14ac:dyDescent="0.2">
      <c r="A5206" s="24">
        <v>45870</v>
      </c>
      <c r="B5206" s="25" t="s">
        <v>119</v>
      </c>
      <c r="C5206" s="25" t="s">
        <v>4</v>
      </c>
      <c r="D5206" s="51">
        <v>1072141</v>
      </c>
    </row>
    <row r="5207" spans="1:4" x14ac:dyDescent="0.2">
      <c r="A5207" s="24">
        <v>45870</v>
      </c>
      <c r="B5207" s="25" t="s">
        <v>119</v>
      </c>
      <c r="C5207" s="25" t="s">
        <v>8</v>
      </c>
      <c r="D5207" s="51">
        <v>20653</v>
      </c>
    </row>
    <row r="5208" spans="1:4" x14ac:dyDescent="0.2">
      <c r="A5208" s="24">
        <v>45870</v>
      </c>
      <c r="B5208" s="25" t="s">
        <v>119</v>
      </c>
      <c r="C5208" s="25" t="s">
        <v>26</v>
      </c>
      <c r="D5208" s="51">
        <v>290544</v>
      </c>
    </row>
    <row r="5209" spans="1:4" x14ac:dyDescent="0.2">
      <c r="A5209" s="24">
        <v>45870</v>
      </c>
      <c r="B5209" s="25" t="s">
        <v>119</v>
      </c>
      <c r="C5209" s="25" t="s">
        <v>142</v>
      </c>
      <c r="D5209" s="51">
        <v>491077.95</v>
      </c>
    </row>
    <row r="5210" spans="1:4" x14ac:dyDescent="0.2">
      <c r="A5210" s="24">
        <v>45870</v>
      </c>
      <c r="B5210" s="25" t="s">
        <v>119</v>
      </c>
      <c r="C5210" s="25" t="s">
        <v>2</v>
      </c>
      <c r="D5210" s="51">
        <v>1420424.2</v>
      </c>
    </row>
    <row r="5211" spans="1:4" x14ac:dyDescent="0.2">
      <c r="A5211" s="24">
        <v>45870</v>
      </c>
      <c r="B5211" s="25" t="s">
        <v>138</v>
      </c>
      <c r="C5211" s="25" t="s">
        <v>4</v>
      </c>
      <c r="D5211" s="51">
        <v>11</v>
      </c>
    </row>
    <row r="5212" spans="1:4" x14ac:dyDescent="0.2">
      <c r="A5212" s="24">
        <v>45870</v>
      </c>
      <c r="B5212" s="25" t="s">
        <v>138</v>
      </c>
      <c r="C5212" s="25" t="s">
        <v>8</v>
      </c>
      <c r="D5212" s="51">
        <v>55</v>
      </c>
    </row>
    <row r="5213" spans="1:4" x14ac:dyDescent="0.2">
      <c r="A5213" s="24">
        <v>45870</v>
      </c>
      <c r="B5213" s="25" t="s">
        <v>138</v>
      </c>
      <c r="C5213" s="25" t="s">
        <v>26</v>
      </c>
      <c r="D5213" s="51">
        <v>91</v>
      </c>
    </row>
    <row r="5214" spans="1:4" x14ac:dyDescent="0.2">
      <c r="A5214" s="24">
        <v>45870</v>
      </c>
      <c r="B5214" s="25" t="s">
        <v>138</v>
      </c>
      <c r="C5214" s="25" t="s">
        <v>142</v>
      </c>
      <c r="D5214" s="51">
        <v>1</v>
      </c>
    </row>
    <row r="5215" spans="1:4" x14ac:dyDescent="0.2">
      <c r="A5215" s="24">
        <v>45870</v>
      </c>
      <c r="B5215" s="25" t="s">
        <v>138</v>
      </c>
      <c r="C5215" s="25" t="s">
        <v>2</v>
      </c>
      <c r="D5215" s="51">
        <v>324</v>
      </c>
    </row>
    <row r="5216" spans="1:4" x14ac:dyDescent="0.2">
      <c r="A5216" s="24">
        <v>45870</v>
      </c>
      <c r="B5216" s="25" t="s">
        <v>139</v>
      </c>
      <c r="C5216" s="25" t="s">
        <v>4</v>
      </c>
      <c r="D5216" s="51">
        <v>1190</v>
      </c>
    </row>
    <row r="5217" spans="1:4" x14ac:dyDescent="0.2">
      <c r="A5217" s="24">
        <v>45870</v>
      </c>
      <c r="B5217" s="25" t="s">
        <v>139</v>
      </c>
      <c r="C5217" s="25" t="s">
        <v>8</v>
      </c>
      <c r="D5217" s="51">
        <v>38</v>
      </c>
    </row>
    <row r="5218" spans="1:4" x14ac:dyDescent="0.2">
      <c r="A5218" s="24">
        <v>45870</v>
      </c>
      <c r="B5218" s="25" t="s">
        <v>139</v>
      </c>
      <c r="C5218" s="25" t="s">
        <v>26</v>
      </c>
      <c r="D5218" s="51">
        <v>170</v>
      </c>
    </row>
    <row r="5219" spans="1:4" x14ac:dyDescent="0.2">
      <c r="A5219" s="24">
        <v>45870</v>
      </c>
      <c r="B5219" s="25" t="s">
        <v>139</v>
      </c>
      <c r="C5219" s="25" t="s">
        <v>142</v>
      </c>
      <c r="D5219" s="51">
        <v>43.41</v>
      </c>
    </row>
    <row r="5220" spans="1:4" x14ac:dyDescent="0.2">
      <c r="A5220" s="24">
        <v>45870</v>
      </c>
      <c r="B5220" s="25" t="s">
        <v>139</v>
      </c>
      <c r="C5220" s="25" t="s">
        <v>2</v>
      </c>
      <c r="D5220" s="51">
        <v>1211.5999999999999</v>
      </c>
    </row>
    <row r="5221" spans="1:4" x14ac:dyDescent="0.2">
      <c r="A5221" s="24">
        <v>45870</v>
      </c>
      <c r="B5221" s="25" t="s">
        <v>120</v>
      </c>
      <c r="C5221" s="25" t="s">
        <v>4</v>
      </c>
      <c r="D5221" s="51">
        <v>78993</v>
      </c>
    </row>
    <row r="5222" spans="1:4" x14ac:dyDescent="0.2">
      <c r="A5222" s="24">
        <v>45870</v>
      </c>
      <c r="B5222" s="25" t="s">
        <v>120</v>
      </c>
      <c r="C5222" s="25" t="s">
        <v>8</v>
      </c>
      <c r="D5222" s="51">
        <v>3816</v>
      </c>
    </row>
    <row r="5223" spans="1:4" x14ac:dyDescent="0.2">
      <c r="A5223" s="24">
        <v>45870</v>
      </c>
      <c r="B5223" s="25" t="s">
        <v>120</v>
      </c>
      <c r="C5223" s="25" t="s">
        <v>26</v>
      </c>
      <c r="D5223" s="51">
        <v>12936</v>
      </c>
    </row>
    <row r="5224" spans="1:4" x14ac:dyDescent="0.2">
      <c r="A5224" s="24">
        <v>45870</v>
      </c>
      <c r="B5224" s="25" t="s">
        <v>120</v>
      </c>
      <c r="C5224" s="25" t="s">
        <v>142</v>
      </c>
      <c r="D5224" s="51">
        <v>36960.639999999999</v>
      </c>
    </row>
    <row r="5225" spans="1:4" x14ac:dyDescent="0.2">
      <c r="A5225" s="24">
        <v>45870</v>
      </c>
      <c r="B5225" s="25" t="s">
        <v>120</v>
      </c>
      <c r="C5225" s="25" t="s">
        <v>2</v>
      </c>
      <c r="D5225" s="51">
        <v>178433.9</v>
      </c>
    </row>
    <row r="5226" spans="1:4" x14ac:dyDescent="0.2">
      <c r="A5226" s="24">
        <v>45870</v>
      </c>
      <c r="B5226" s="25" t="s">
        <v>121</v>
      </c>
      <c r="C5226" s="25" t="s">
        <v>4</v>
      </c>
      <c r="D5226" s="51">
        <v>28295</v>
      </c>
    </row>
    <row r="5227" spans="1:4" x14ac:dyDescent="0.2">
      <c r="A5227" s="24">
        <v>45870</v>
      </c>
      <c r="B5227" s="25" t="s">
        <v>121</v>
      </c>
      <c r="C5227" s="25" t="s">
        <v>8</v>
      </c>
      <c r="D5227" s="51">
        <v>1649</v>
      </c>
    </row>
    <row r="5228" spans="1:4" x14ac:dyDescent="0.2">
      <c r="A5228" s="24">
        <v>45870</v>
      </c>
      <c r="B5228" s="25" t="s">
        <v>121</v>
      </c>
      <c r="C5228" s="25" t="s">
        <v>26</v>
      </c>
      <c r="D5228" s="51">
        <v>3475</v>
      </c>
    </row>
    <row r="5229" spans="1:4" x14ac:dyDescent="0.2">
      <c r="A5229" s="24">
        <v>45870</v>
      </c>
      <c r="B5229" s="25" t="s">
        <v>121</v>
      </c>
      <c r="C5229" s="25" t="s">
        <v>142</v>
      </c>
      <c r="D5229" s="51">
        <v>5346.73</v>
      </c>
    </row>
    <row r="5230" spans="1:4" x14ac:dyDescent="0.2">
      <c r="A5230" s="24">
        <v>45870</v>
      </c>
      <c r="B5230" s="25" t="s">
        <v>121</v>
      </c>
      <c r="C5230" s="25" t="s">
        <v>2</v>
      </c>
      <c r="D5230" s="51">
        <v>22955.51</v>
      </c>
    </row>
    <row r="5231" spans="1:4" x14ac:dyDescent="0.2">
      <c r="A5231" s="24">
        <v>45870</v>
      </c>
      <c r="B5231" s="25" t="s">
        <v>140</v>
      </c>
      <c r="C5231" s="25" t="s">
        <v>4</v>
      </c>
      <c r="D5231" s="51">
        <v>590</v>
      </c>
    </row>
    <row r="5232" spans="1:4" x14ac:dyDescent="0.2">
      <c r="A5232" s="24">
        <v>45870</v>
      </c>
      <c r="B5232" s="25" t="s">
        <v>122</v>
      </c>
      <c r="C5232" s="25" t="s">
        <v>4</v>
      </c>
      <c r="D5232" s="51">
        <v>1203883</v>
      </c>
    </row>
    <row r="5233" spans="1:4" x14ac:dyDescent="0.2">
      <c r="A5233" s="24">
        <v>45870</v>
      </c>
      <c r="B5233" s="25" t="s">
        <v>122</v>
      </c>
      <c r="C5233" s="25" t="s">
        <v>8</v>
      </c>
      <c r="D5233" s="51">
        <v>8314</v>
      </c>
    </row>
    <row r="5234" spans="1:4" x14ac:dyDescent="0.2">
      <c r="A5234" s="24">
        <v>45870</v>
      </c>
      <c r="B5234" s="25" t="s">
        <v>122</v>
      </c>
      <c r="C5234" s="25" t="s">
        <v>26</v>
      </c>
      <c r="D5234" s="51">
        <v>47568</v>
      </c>
    </row>
    <row r="5235" spans="1:4" x14ac:dyDescent="0.2">
      <c r="A5235" s="24">
        <v>45870</v>
      </c>
      <c r="B5235" s="25" t="s">
        <v>122</v>
      </c>
      <c r="C5235" s="25" t="s">
        <v>142</v>
      </c>
      <c r="D5235" s="51">
        <v>293391.08</v>
      </c>
    </row>
    <row r="5236" spans="1:4" x14ac:dyDescent="0.2">
      <c r="A5236" s="24">
        <v>45870</v>
      </c>
      <c r="B5236" s="25" t="s">
        <v>122</v>
      </c>
      <c r="C5236" s="25" t="s">
        <v>2</v>
      </c>
      <c r="D5236" s="51">
        <v>818559.86</v>
      </c>
    </row>
    <row r="5237" spans="1:4" x14ac:dyDescent="0.2">
      <c r="A5237" s="24">
        <v>45870</v>
      </c>
      <c r="B5237" s="25" t="s">
        <v>123</v>
      </c>
      <c r="C5237" s="25" t="s">
        <v>4</v>
      </c>
      <c r="D5237" s="51">
        <v>3085325</v>
      </c>
    </row>
    <row r="5238" spans="1:4" x14ac:dyDescent="0.2">
      <c r="A5238" s="24">
        <v>45870</v>
      </c>
      <c r="B5238" s="25" t="s">
        <v>123</v>
      </c>
      <c r="C5238" s="25" t="s">
        <v>8</v>
      </c>
      <c r="D5238" s="51">
        <v>152005</v>
      </c>
    </row>
    <row r="5239" spans="1:4" x14ac:dyDescent="0.2">
      <c r="A5239" s="24">
        <v>45870</v>
      </c>
      <c r="B5239" s="25" t="s">
        <v>123</v>
      </c>
      <c r="C5239" s="25" t="s">
        <v>26</v>
      </c>
      <c r="D5239" s="51">
        <v>436976</v>
      </c>
    </row>
    <row r="5240" spans="1:4" x14ac:dyDescent="0.2">
      <c r="A5240" s="24">
        <v>45870</v>
      </c>
      <c r="B5240" s="25" t="s">
        <v>123</v>
      </c>
      <c r="C5240" s="25" t="s">
        <v>142</v>
      </c>
      <c r="D5240" s="51">
        <v>437648.61</v>
      </c>
    </row>
    <row r="5241" spans="1:4" x14ac:dyDescent="0.2">
      <c r="A5241" s="24">
        <v>45870</v>
      </c>
      <c r="B5241" s="25" t="s">
        <v>123</v>
      </c>
      <c r="C5241" s="25" t="s">
        <v>2</v>
      </c>
      <c r="D5241" s="51">
        <v>2275321.9500000002</v>
      </c>
    </row>
    <row r="5242" spans="1:4" x14ac:dyDescent="0.2">
      <c r="A5242" s="24">
        <v>45870</v>
      </c>
      <c r="B5242" s="25" t="s">
        <v>124</v>
      </c>
      <c r="C5242" s="25" t="s">
        <v>8</v>
      </c>
      <c r="D5242" s="51">
        <v>19618</v>
      </c>
    </row>
    <row r="5243" spans="1:4" x14ac:dyDescent="0.2">
      <c r="A5243" s="24">
        <v>45870</v>
      </c>
      <c r="B5243" s="25" t="s">
        <v>125</v>
      </c>
      <c r="C5243" s="25" t="s">
        <v>8</v>
      </c>
      <c r="D5243" s="51">
        <v>9116</v>
      </c>
    </row>
    <row r="5244" spans="1:4" x14ac:dyDescent="0.2">
      <c r="A5244" s="24">
        <v>45870</v>
      </c>
      <c r="B5244" s="25" t="s">
        <v>127</v>
      </c>
      <c r="C5244" s="25" t="s">
        <v>26</v>
      </c>
      <c r="D5244" s="51">
        <v>3478</v>
      </c>
    </row>
    <row r="5245" spans="1:4" x14ac:dyDescent="0.2">
      <c r="A5245" s="24">
        <v>45870</v>
      </c>
      <c r="B5245" s="25" t="s">
        <v>128</v>
      </c>
      <c r="C5245" s="25" t="s">
        <v>26</v>
      </c>
      <c r="D5245" s="51">
        <v>1935</v>
      </c>
    </row>
    <row r="5246" spans="1:4" x14ac:dyDescent="0.2">
      <c r="A5246" s="24">
        <v>45870</v>
      </c>
      <c r="B5246" s="25" t="s">
        <v>129</v>
      </c>
      <c r="C5246" s="25" t="s">
        <v>142</v>
      </c>
      <c r="D5246" s="51">
        <v>10006.25</v>
      </c>
    </row>
    <row r="5247" spans="1:4" x14ac:dyDescent="0.2">
      <c r="A5247" s="24">
        <v>45870</v>
      </c>
      <c r="B5247" s="25" t="s">
        <v>129</v>
      </c>
      <c r="C5247" s="25" t="s">
        <v>2</v>
      </c>
      <c r="D5247" s="51">
        <v>62546.74</v>
      </c>
    </row>
    <row r="5248" spans="1:4" x14ac:dyDescent="0.2">
      <c r="A5248" s="24">
        <v>45870</v>
      </c>
      <c r="B5248" s="25" t="s">
        <v>130</v>
      </c>
      <c r="C5248" s="25" t="s">
        <v>142</v>
      </c>
      <c r="D5248" s="51">
        <v>10743.86</v>
      </c>
    </row>
    <row r="5249" spans="1:4" x14ac:dyDescent="0.2">
      <c r="A5249" s="24">
        <v>45870</v>
      </c>
      <c r="B5249" s="25" t="s">
        <v>130</v>
      </c>
      <c r="C5249" s="25" t="s">
        <v>2</v>
      </c>
      <c r="D5249" s="51">
        <v>36529.379999999997</v>
      </c>
    </row>
    <row r="5250" spans="1:4" x14ac:dyDescent="0.2">
      <c r="A5250" s="24">
        <v>45870</v>
      </c>
      <c r="B5250" s="25" t="s">
        <v>144</v>
      </c>
      <c r="C5250" s="25" t="s">
        <v>4</v>
      </c>
      <c r="D5250" s="51">
        <v>10</v>
      </c>
    </row>
    <row r="5251" spans="1:4" x14ac:dyDescent="0.2">
      <c r="A5251" s="24">
        <v>45870</v>
      </c>
      <c r="B5251" s="25" t="s">
        <v>144</v>
      </c>
      <c r="C5251" s="25" t="s">
        <v>26</v>
      </c>
      <c r="D5251" s="51">
        <v>2</v>
      </c>
    </row>
    <row r="5252" spans="1:4" x14ac:dyDescent="0.2">
      <c r="A5252" s="24">
        <v>45870</v>
      </c>
      <c r="B5252" s="25" t="s">
        <v>144</v>
      </c>
      <c r="C5252" s="25" t="s">
        <v>142</v>
      </c>
      <c r="D5252" s="51">
        <v>0</v>
      </c>
    </row>
    <row r="5253" spans="1:4" x14ac:dyDescent="0.2">
      <c r="A5253" s="24">
        <v>45870</v>
      </c>
      <c r="B5253" s="25" t="s">
        <v>144</v>
      </c>
      <c r="C5253" s="25" t="s">
        <v>2</v>
      </c>
      <c r="D5253" s="51">
        <v>31</v>
      </c>
    </row>
    <row r="5254" spans="1:4" x14ac:dyDescent="0.2">
      <c r="A5254" s="24">
        <v>45627</v>
      </c>
      <c r="B5254" s="25" t="s">
        <v>117</v>
      </c>
      <c r="C5254" s="25" t="s">
        <v>4</v>
      </c>
      <c r="D5254" s="51">
        <v>6251661</v>
      </c>
    </row>
    <row r="5255" spans="1:4" x14ac:dyDescent="0.2">
      <c r="A5255" s="24">
        <v>45627</v>
      </c>
      <c r="B5255" s="25" t="s">
        <v>117</v>
      </c>
      <c r="C5255" s="25" t="s">
        <v>8</v>
      </c>
      <c r="D5255" s="51">
        <v>439177</v>
      </c>
    </row>
    <row r="5256" spans="1:4" x14ac:dyDescent="0.2">
      <c r="A5256" s="24">
        <v>45627</v>
      </c>
      <c r="B5256" s="25" t="s">
        <v>117</v>
      </c>
      <c r="C5256" s="25" t="s">
        <v>26</v>
      </c>
      <c r="D5256" s="51">
        <v>1177408</v>
      </c>
    </row>
    <row r="5257" spans="1:4" x14ac:dyDescent="0.2">
      <c r="A5257" s="24">
        <v>45627</v>
      </c>
      <c r="B5257" s="25" t="s">
        <v>117</v>
      </c>
      <c r="C5257" s="25" t="s">
        <v>142</v>
      </c>
      <c r="D5257" s="51">
        <v>2022626.11</v>
      </c>
    </row>
    <row r="5258" spans="1:4" x14ac:dyDescent="0.2">
      <c r="A5258" s="24">
        <v>45627</v>
      </c>
      <c r="B5258" s="25" t="s">
        <v>117</v>
      </c>
      <c r="C5258" s="25" t="s">
        <v>2</v>
      </c>
      <c r="D5258" s="51">
        <v>8944757.9399999995</v>
      </c>
    </row>
    <row r="5259" spans="1:4" x14ac:dyDescent="0.2">
      <c r="A5259" s="24">
        <v>45627</v>
      </c>
      <c r="B5259" s="25" t="s">
        <v>137</v>
      </c>
      <c r="C5259" s="25" t="s">
        <v>4</v>
      </c>
      <c r="D5259" s="51">
        <v>7274067</v>
      </c>
    </row>
    <row r="5260" spans="1:4" x14ac:dyDescent="0.2">
      <c r="A5260" s="24">
        <v>45627</v>
      </c>
      <c r="B5260" s="25" t="s">
        <v>137</v>
      </c>
      <c r="C5260" s="25" t="s">
        <v>8</v>
      </c>
      <c r="D5260" s="51">
        <v>997118</v>
      </c>
    </row>
    <row r="5261" spans="1:4" x14ac:dyDescent="0.2">
      <c r="A5261" s="24">
        <v>45627</v>
      </c>
      <c r="B5261" s="25" t="s">
        <v>137</v>
      </c>
      <c r="C5261" s="25" t="s">
        <v>26</v>
      </c>
      <c r="D5261" s="51">
        <v>1558377</v>
      </c>
    </row>
    <row r="5262" spans="1:4" x14ac:dyDescent="0.2">
      <c r="A5262" s="24">
        <v>45627</v>
      </c>
      <c r="B5262" s="25" t="s">
        <v>137</v>
      </c>
      <c r="C5262" s="25" t="s">
        <v>142</v>
      </c>
      <c r="D5262" s="51">
        <v>2132477.06</v>
      </c>
    </row>
    <row r="5263" spans="1:4" x14ac:dyDescent="0.2">
      <c r="A5263" s="24">
        <v>45627</v>
      </c>
      <c r="B5263" s="25" t="s">
        <v>137</v>
      </c>
      <c r="C5263" s="25" t="s">
        <v>2</v>
      </c>
      <c r="D5263" s="51">
        <v>8547228.9600000009</v>
      </c>
    </row>
    <row r="5264" spans="1:4" x14ac:dyDescent="0.2">
      <c r="A5264" s="24">
        <v>45627</v>
      </c>
      <c r="B5264" s="25" t="s">
        <v>118</v>
      </c>
      <c r="C5264" s="25" t="s">
        <v>4</v>
      </c>
      <c r="D5264" s="51">
        <v>729805</v>
      </c>
    </row>
    <row r="5265" spans="1:4" x14ac:dyDescent="0.2">
      <c r="A5265" s="24">
        <v>45627</v>
      </c>
      <c r="B5265" s="25" t="s">
        <v>118</v>
      </c>
      <c r="C5265" s="25" t="s">
        <v>8</v>
      </c>
      <c r="D5265" s="51">
        <v>116138</v>
      </c>
    </row>
    <row r="5266" spans="1:4" x14ac:dyDescent="0.2">
      <c r="A5266" s="24">
        <v>45627</v>
      </c>
      <c r="B5266" s="25" t="s">
        <v>118</v>
      </c>
      <c r="C5266" s="25" t="s">
        <v>26</v>
      </c>
      <c r="D5266" s="51">
        <v>143011</v>
      </c>
    </row>
    <row r="5267" spans="1:4" x14ac:dyDescent="0.2">
      <c r="A5267" s="24">
        <v>45627</v>
      </c>
      <c r="B5267" s="25" t="s">
        <v>118</v>
      </c>
      <c r="C5267" s="25" t="s">
        <v>142</v>
      </c>
      <c r="D5267" s="51">
        <v>262402.02</v>
      </c>
    </row>
    <row r="5268" spans="1:4" x14ac:dyDescent="0.2">
      <c r="A5268" s="24">
        <v>45627</v>
      </c>
      <c r="B5268" s="25" t="s">
        <v>118</v>
      </c>
      <c r="C5268" s="25" t="s">
        <v>2</v>
      </c>
      <c r="D5268" s="51">
        <v>745774.52</v>
      </c>
    </row>
    <row r="5269" spans="1:4" x14ac:dyDescent="0.2">
      <c r="A5269" s="24">
        <v>45627</v>
      </c>
      <c r="B5269" s="25" t="s">
        <v>119</v>
      </c>
      <c r="C5269" s="25" t="s">
        <v>4</v>
      </c>
      <c r="D5269" s="51">
        <v>639889</v>
      </c>
    </row>
    <row r="5270" spans="1:4" x14ac:dyDescent="0.2">
      <c r="A5270" s="24">
        <v>45627</v>
      </c>
      <c r="B5270" s="25" t="s">
        <v>119</v>
      </c>
      <c r="C5270" s="25" t="s">
        <v>8</v>
      </c>
      <c r="D5270" s="51">
        <v>24023</v>
      </c>
    </row>
    <row r="5271" spans="1:4" x14ac:dyDescent="0.2">
      <c r="A5271" s="24">
        <v>45627</v>
      </c>
      <c r="B5271" s="25" t="s">
        <v>119</v>
      </c>
      <c r="C5271" s="25" t="s">
        <v>26</v>
      </c>
      <c r="D5271" s="51">
        <v>113431</v>
      </c>
    </row>
    <row r="5272" spans="1:4" x14ac:dyDescent="0.2">
      <c r="A5272" s="24">
        <v>45627</v>
      </c>
      <c r="B5272" s="25" t="s">
        <v>119</v>
      </c>
      <c r="C5272" s="25" t="s">
        <v>142</v>
      </c>
      <c r="D5272" s="51">
        <v>244179.41</v>
      </c>
    </row>
    <row r="5273" spans="1:4" x14ac:dyDescent="0.2">
      <c r="A5273" s="24">
        <v>45627</v>
      </c>
      <c r="B5273" s="25" t="s">
        <v>119</v>
      </c>
      <c r="C5273" s="25" t="s">
        <v>2</v>
      </c>
      <c r="D5273" s="51">
        <v>768937.31</v>
      </c>
    </row>
    <row r="5274" spans="1:4" x14ac:dyDescent="0.2">
      <c r="A5274" s="24">
        <v>45627</v>
      </c>
      <c r="B5274" s="25" t="s">
        <v>138</v>
      </c>
      <c r="C5274" s="25" t="s">
        <v>4</v>
      </c>
      <c r="D5274" s="51">
        <v>134</v>
      </c>
    </row>
    <row r="5275" spans="1:4" x14ac:dyDescent="0.2">
      <c r="A5275" s="24">
        <v>45627</v>
      </c>
      <c r="B5275" s="25" t="s">
        <v>138</v>
      </c>
      <c r="C5275" s="25" t="s">
        <v>8</v>
      </c>
      <c r="D5275" s="51">
        <v>37</v>
      </c>
    </row>
    <row r="5276" spans="1:4" x14ac:dyDescent="0.2">
      <c r="A5276" s="24">
        <v>45627</v>
      </c>
      <c r="B5276" s="25" t="s">
        <v>138</v>
      </c>
      <c r="C5276" s="25" t="s">
        <v>26</v>
      </c>
      <c r="D5276" s="51">
        <v>22</v>
      </c>
    </row>
    <row r="5277" spans="1:4" x14ac:dyDescent="0.2">
      <c r="A5277" s="24">
        <v>45627</v>
      </c>
      <c r="B5277" s="25" t="s">
        <v>138</v>
      </c>
      <c r="C5277" s="25" t="s">
        <v>142</v>
      </c>
      <c r="D5277" s="51">
        <v>78</v>
      </c>
    </row>
    <row r="5278" spans="1:4" x14ac:dyDescent="0.2">
      <c r="A5278" s="24">
        <v>45627</v>
      </c>
      <c r="B5278" s="25" t="s">
        <v>138</v>
      </c>
      <c r="C5278" s="25" t="s">
        <v>2</v>
      </c>
      <c r="D5278" s="51">
        <v>77</v>
      </c>
    </row>
    <row r="5279" spans="1:4" x14ac:dyDescent="0.2">
      <c r="A5279" s="24">
        <v>45627</v>
      </c>
      <c r="B5279" s="25" t="s">
        <v>139</v>
      </c>
      <c r="C5279" s="25" t="s">
        <v>4</v>
      </c>
      <c r="D5279" s="51">
        <v>837</v>
      </c>
    </row>
    <row r="5280" spans="1:4" x14ac:dyDescent="0.2">
      <c r="A5280" s="24">
        <v>45627</v>
      </c>
      <c r="B5280" s="25" t="s">
        <v>139</v>
      </c>
      <c r="C5280" s="25" t="s">
        <v>8</v>
      </c>
      <c r="D5280" s="51">
        <v>55</v>
      </c>
    </row>
    <row r="5281" spans="1:4" x14ac:dyDescent="0.2">
      <c r="A5281" s="24">
        <v>45627</v>
      </c>
      <c r="B5281" s="25" t="s">
        <v>139</v>
      </c>
      <c r="C5281" s="25" t="s">
        <v>26</v>
      </c>
      <c r="D5281" s="51">
        <v>53</v>
      </c>
    </row>
    <row r="5282" spans="1:4" x14ac:dyDescent="0.2">
      <c r="A5282" s="24">
        <v>45627</v>
      </c>
      <c r="B5282" s="25" t="s">
        <v>139</v>
      </c>
      <c r="C5282" s="25" t="s">
        <v>142</v>
      </c>
      <c r="D5282" s="51">
        <v>68.94</v>
      </c>
    </row>
    <row r="5283" spans="1:4" x14ac:dyDescent="0.2">
      <c r="A5283" s="24">
        <v>45627</v>
      </c>
      <c r="B5283" s="25" t="s">
        <v>139</v>
      </c>
      <c r="C5283" s="25" t="s">
        <v>2</v>
      </c>
      <c r="D5283" s="51">
        <v>804.41</v>
      </c>
    </row>
    <row r="5284" spans="1:4" x14ac:dyDescent="0.2">
      <c r="A5284" s="24">
        <v>45627</v>
      </c>
      <c r="B5284" s="25" t="s">
        <v>120</v>
      </c>
      <c r="C5284" s="25" t="s">
        <v>4</v>
      </c>
      <c r="D5284" s="51">
        <v>75397</v>
      </c>
    </row>
    <row r="5285" spans="1:4" x14ac:dyDescent="0.2">
      <c r="A5285" s="24">
        <v>45627</v>
      </c>
      <c r="B5285" s="25" t="s">
        <v>120</v>
      </c>
      <c r="C5285" s="25" t="s">
        <v>8</v>
      </c>
      <c r="D5285" s="51">
        <v>5455</v>
      </c>
    </row>
    <row r="5286" spans="1:4" x14ac:dyDescent="0.2">
      <c r="A5286" s="24">
        <v>45627</v>
      </c>
      <c r="B5286" s="25" t="s">
        <v>120</v>
      </c>
      <c r="C5286" s="25" t="s">
        <v>26</v>
      </c>
      <c r="D5286" s="51">
        <v>12887</v>
      </c>
    </row>
    <row r="5287" spans="1:4" x14ac:dyDescent="0.2">
      <c r="A5287" s="24">
        <v>45627</v>
      </c>
      <c r="B5287" s="25" t="s">
        <v>120</v>
      </c>
      <c r="C5287" s="25" t="s">
        <v>142</v>
      </c>
      <c r="D5287" s="51">
        <v>39374.400000000001</v>
      </c>
    </row>
    <row r="5288" spans="1:4" x14ac:dyDescent="0.2">
      <c r="A5288" s="24">
        <v>45627</v>
      </c>
      <c r="B5288" s="25" t="s">
        <v>120</v>
      </c>
      <c r="C5288" s="25" t="s">
        <v>2</v>
      </c>
      <c r="D5288" s="51">
        <v>186692.89</v>
      </c>
    </row>
    <row r="5289" spans="1:4" x14ac:dyDescent="0.2">
      <c r="A5289" s="24">
        <v>45627</v>
      </c>
      <c r="B5289" s="25" t="s">
        <v>121</v>
      </c>
      <c r="C5289" s="25" t="s">
        <v>4</v>
      </c>
      <c r="D5289" s="51">
        <v>28280</v>
      </c>
    </row>
    <row r="5290" spans="1:4" x14ac:dyDescent="0.2">
      <c r="A5290" s="24">
        <v>45627</v>
      </c>
      <c r="B5290" s="25" t="s">
        <v>121</v>
      </c>
      <c r="C5290" s="25" t="s">
        <v>8</v>
      </c>
      <c r="D5290" s="51">
        <v>1965</v>
      </c>
    </row>
    <row r="5291" spans="1:4" x14ac:dyDescent="0.2">
      <c r="A5291" s="24">
        <v>45627</v>
      </c>
      <c r="B5291" s="25" t="s">
        <v>121</v>
      </c>
      <c r="C5291" s="25" t="s">
        <v>26</v>
      </c>
      <c r="D5291" s="51">
        <v>3316</v>
      </c>
    </row>
    <row r="5292" spans="1:4" x14ac:dyDescent="0.2">
      <c r="A5292" s="24">
        <v>45627</v>
      </c>
      <c r="B5292" s="25" t="s">
        <v>121</v>
      </c>
      <c r="C5292" s="25" t="s">
        <v>142</v>
      </c>
      <c r="D5292" s="51">
        <v>4889.28</v>
      </c>
    </row>
    <row r="5293" spans="1:4" x14ac:dyDescent="0.2">
      <c r="A5293" s="24">
        <v>45627</v>
      </c>
      <c r="B5293" s="25" t="s">
        <v>121</v>
      </c>
      <c r="C5293" s="25" t="s">
        <v>2</v>
      </c>
      <c r="D5293" s="51">
        <v>21484.51</v>
      </c>
    </row>
    <row r="5294" spans="1:4" x14ac:dyDescent="0.2">
      <c r="A5294" s="24">
        <v>45627</v>
      </c>
      <c r="B5294" s="25" t="s">
        <v>140</v>
      </c>
      <c r="C5294" s="25" t="s">
        <v>4</v>
      </c>
      <c r="D5294" s="51">
        <v>99</v>
      </c>
    </row>
    <row r="5295" spans="1:4" x14ac:dyDescent="0.2">
      <c r="A5295" s="24">
        <v>45627</v>
      </c>
      <c r="B5295" s="25" t="s">
        <v>122</v>
      </c>
      <c r="C5295" s="25" t="s">
        <v>4</v>
      </c>
      <c r="D5295" s="51">
        <v>580623</v>
      </c>
    </row>
    <row r="5296" spans="1:4" x14ac:dyDescent="0.2">
      <c r="A5296" s="24">
        <v>45627</v>
      </c>
      <c r="B5296" s="25" t="s">
        <v>122</v>
      </c>
      <c r="C5296" s="25" t="s">
        <v>8</v>
      </c>
      <c r="D5296" s="51">
        <v>9330</v>
      </c>
    </row>
    <row r="5297" spans="1:4" x14ac:dyDescent="0.2">
      <c r="A5297" s="24">
        <v>45627</v>
      </c>
      <c r="B5297" s="25" t="s">
        <v>122</v>
      </c>
      <c r="C5297" s="25" t="s">
        <v>26</v>
      </c>
      <c r="D5297" s="51">
        <v>18806</v>
      </c>
    </row>
    <row r="5298" spans="1:4" x14ac:dyDescent="0.2">
      <c r="A5298" s="24">
        <v>45627</v>
      </c>
      <c r="B5298" s="25" t="s">
        <v>122</v>
      </c>
      <c r="C5298" s="25" t="s">
        <v>142</v>
      </c>
      <c r="D5298" s="51">
        <v>129950.52</v>
      </c>
    </row>
    <row r="5299" spans="1:4" x14ac:dyDescent="0.2">
      <c r="A5299" s="24">
        <v>45627</v>
      </c>
      <c r="B5299" s="25" t="s">
        <v>122</v>
      </c>
      <c r="C5299" s="25" t="s">
        <v>2</v>
      </c>
      <c r="D5299" s="51">
        <v>404778.77</v>
      </c>
    </row>
    <row r="5300" spans="1:4" x14ac:dyDescent="0.2">
      <c r="A5300" s="24">
        <v>45627</v>
      </c>
      <c r="B5300" s="25" t="s">
        <v>123</v>
      </c>
      <c r="C5300" s="25" t="s">
        <v>4</v>
      </c>
      <c r="D5300" s="51">
        <v>3298999</v>
      </c>
    </row>
    <row r="5301" spans="1:4" x14ac:dyDescent="0.2">
      <c r="A5301" s="24">
        <v>45627</v>
      </c>
      <c r="B5301" s="25" t="s">
        <v>123</v>
      </c>
      <c r="C5301" s="25" t="s">
        <v>8</v>
      </c>
      <c r="D5301" s="51">
        <v>197594</v>
      </c>
    </row>
    <row r="5302" spans="1:4" x14ac:dyDescent="0.2">
      <c r="A5302" s="24">
        <v>45627</v>
      </c>
      <c r="B5302" s="25" t="s">
        <v>123</v>
      </c>
      <c r="C5302" s="25" t="s">
        <v>26</v>
      </c>
      <c r="D5302" s="51">
        <v>447318</v>
      </c>
    </row>
    <row r="5303" spans="1:4" x14ac:dyDescent="0.2">
      <c r="A5303" s="24">
        <v>45627</v>
      </c>
      <c r="B5303" s="25" t="s">
        <v>123</v>
      </c>
      <c r="C5303" s="25" t="s">
        <v>142</v>
      </c>
      <c r="D5303" s="51">
        <v>442860.89</v>
      </c>
    </row>
    <row r="5304" spans="1:4" x14ac:dyDescent="0.2">
      <c r="A5304" s="24">
        <v>45627</v>
      </c>
      <c r="B5304" s="25" t="s">
        <v>123</v>
      </c>
      <c r="C5304" s="25" t="s">
        <v>2</v>
      </c>
      <c r="D5304" s="51">
        <v>2280444.4900000002</v>
      </c>
    </row>
    <row r="5305" spans="1:4" x14ac:dyDescent="0.2">
      <c r="A5305" s="24">
        <v>45627</v>
      </c>
      <c r="B5305" s="25" t="s">
        <v>124</v>
      </c>
      <c r="C5305" s="25" t="s">
        <v>8</v>
      </c>
      <c r="D5305" s="51">
        <v>38059</v>
      </c>
    </row>
    <row r="5306" spans="1:4" x14ac:dyDescent="0.2">
      <c r="A5306" s="24">
        <v>45627</v>
      </c>
      <c r="B5306" s="25" t="s">
        <v>125</v>
      </c>
      <c r="C5306" s="25" t="s">
        <v>8</v>
      </c>
      <c r="D5306" s="51">
        <v>22023</v>
      </c>
    </row>
    <row r="5307" spans="1:4" x14ac:dyDescent="0.2">
      <c r="A5307" s="24">
        <v>45627</v>
      </c>
      <c r="B5307" s="25" t="s">
        <v>127</v>
      </c>
      <c r="C5307" s="25" t="s">
        <v>26</v>
      </c>
      <c r="D5307" s="51">
        <v>5484</v>
      </c>
    </row>
    <row r="5308" spans="1:4" x14ac:dyDescent="0.2">
      <c r="A5308" s="24">
        <v>45627</v>
      </c>
      <c r="B5308" s="25" t="s">
        <v>128</v>
      </c>
      <c r="C5308" s="25" t="s">
        <v>26</v>
      </c>
      <c r="D5308" s="51">
        <v>3135</v>
      </c>
    </row>
    <row r="5309" spans="1:4" x14ac:dyDescent="0.2">
      <c r="A5309" s="24">
        <v>45627</v>
      </c>
      <c r="B5309" s="25" t="s">
        <v>129</v>
      </c>
      <c r="C5309" s="25" t="s">
        <v>142</v>
      </c>
      <c r="D5309" s="51">
        <v>15324.57</v>
      </c>
    </row>
    <row r="5310" spans="1:4" x14ac:dyDescent="0.2">
      <c r="A5310" s="24">
        <v>45627</v>
      </c>
      <c r="B5310" s="25" t="s">
        <v>129</v>
      </c>
      <c r="C5310" s="25" t="s">
        <v>2</v>
      </c>
      <c r="D5310" s="51">
        <v>88107.29</v>
      </c>
    </row>
    <row r="5311" spans="1:4" x14ac:dyDescent="0.2">
      <c r="A5311" s="24">
        <v>45627</v>
      </c>
      <c r="B5311" s="25" t="s">
        <v>130</v>
      </c>
      <c r="C5311" s="25" t="s">
        <v>142</v>
      </c>
      <c r="D5311" s="51">
        <v>19561.189999999999</v>
      </c>
    </row>
    <row r="5312" spans="1:4" x14ac:dyDescent="0.2">
      <c r="A5312" s="24">
        <v>45627</v>
      </c>
      <c r="B5312" s="25" t="s">
        <v>130</v>
      </c>
      <c r="C5312" s="25" t="s">
        <v>2</v>
      </c>
      <c r="D5312" s="51">
        <v>58962.28</v>
      </c>
    </row>
    <row r="5313" spans="1:4" x14ac:dyDescent="0.2">
      <c r="A5313" s="24">
        <v>45627</v>
      </c>
      <c r="B5313" s="25" t="s">
        <v>144</v>
      </c>
      <c r="C5313" s="25" t="s">
        <v>4</v>
      </c>
      <c r="D5313" s="51">
        <v>25</v>
      </c>
    </row>
    <row r="5314" spans="1:4" x14ac:dyDescent="0.2">
      <c r="A5314" s="24">
        <v>45627</v>
      </c>
      <c r="B5314" s="25" t="s">
        <v>144</v>
      </c>
      <c r="C5314" s="25" t="s">
        <v>8</v>
      </c>
      <c r="D5314" s="51">
        <v>2</v>
      </c>
    </row>
    <row r="5315" spans="1:4" x14ac:dyDescent="0.2">
      <c r="A5315" s="24">
        <v>45627</v>
      </c>
      <c r="B5315" s="25" t="s">
        <v>144</v>
      </c>
      <c r="C5315" s="25" t="s">
        <v>26</v>
      </c>
      <c r="D5315" s="51">
        <v>5</v>
      </c>
    </row>
    <row r="5316" spans="1:4" x14ac:dyDescent="0.2">
      <c r="A5316" s="24">
        <v>45627</v>
      </c>
      <c r="B5316" s="25" t="s">
        <v>144</v>
      </c>
      <c r="C5316" s="25" t="s">
        <v>142</v>
      </c>
      <c r="D5316" s="51">
        <v>26.88</v>
      </c>
    </row>
    <row r="5317" spans="1:4" x14ac:dyDescent="0.2">
      <c r="A5317" s="24">
        <v>45627</v>
      </c>
      <c r="B5317" s="25" t="s">
        <v>144</v>
      </c>
      <c r="C5317" s="25" t="s">
        <v>2</v>
      </c>
      <c r="D5317" s="51">
        <v>185.36</v>
      </c>
    </row>
    <row r="5318" spans="1:4" x14ac:dyDescent="0.2">
      <c r="A5318" s="24">
        <v>45323</v>
      </c>
      <c r="B5318" s="25" t="s">
        <v>117</v>
      </c>
      <c r="C5318" s="25" t="s">
        <v>4</v>
      </c>
      <c r="D5318" s="51">
        <v>7224476</v>
      </c>
    </row>
    <row r="5319" spans="1:4" x14ac:dyDescent="0.2">
      <c r="A5319" s="24">
        <v>45323</v>
      </c>
      <c r="B5319" s="25" t="s">
        <v>117</v>
      </c>
      <c r="C5319" s="25" t="s">
        <v>8</v>
      </c>
      <c r="D5319" s="51">
        <v>439905</v>
      </c>
    </row>
    <row r="5320" spans="1:4" x14ac:dyDescent="0.2">
      <c r="A5320" s="24">
        <v>45323</v>
      </c>
      <c r="B5320" s="25" t="s">
        <v>117</v>
      </c>
      <c r="C5320" s="25" t="s">
        <v>26</v>
      </c>
      <c r="D5320" s="51">
        <v>1338746</v>
      </c>
    </row>
    <row r="5321" spans="1:4" x14ac:dyDescent="0.2">
      <c r="A5321" s="24">
        <v>45323</v>
      </c>
      <c r="B5321" s="25" t="s">
        <v>117</v>
      </c>
      <c r="C5321" s="25" t="s">
        <v>142</v>
      </c>
      <c r="D5321" s="51">
        <v>827154.05</v>
      </c>
    </row>
    <row r="5322" spans="1:4" x14ac:dyDescent="0.2">
      <c r="A5322" s="24">
        <v>45323</v>
      </c>
      <c r="B5322" s="25" t="s">
        <v>117</v>
      </c>
      <c r="C5322" s="25" t="s">
        <v>2</v>
      </c>
      <c r="D5322" s="51">
        <v>11363762.050000001</v>
      </c>
    </row>
    <row r="5323" spans="1:4" x14ac:dyDescent="0.2">
      <c r="A5323" s="24">
        <v>45323</v>
      </c>
      <c r="B5323" s="25" t="s">
        <v>117</v>
      </c>
      <c r="C5323" s="25" t="s">
        <v>143</v>
      </c>
      <c r="D5323" s="51">
        <v>2</v>
      </c>
    </row>
    <row r="5324" spans="1:4" x14ac:dyDescent="0.2">
      <c r="A5324" s="24">
        <v>45323</v>
      </c>
      <c r="B5324" s="25" t="s">
        <v>137</v>
      </c>
      <c r="C5324" s="25" t="s">
        <v>4</v>
      </c>
      <c r="D5324" s="51">
        <v>7202865</v>
      </c>
    </row>
    <row r="5325" spans="1:4" x14ac:dyDescent="0.2">
      <c r="A5325" s="24">
        <v>45323</v>
      </c>
      <c r="B5325" s="25" t="s">
        <v>137</v>
      </c>
      <c r="C5325" s="25" t="s">
        <v>8</v>
      </c>
      <c r="D5325" s="51">
        <v>834026</v>
      </c>
    </row>
    <row r="5326" spans="1:4" x14ac:dyDescent="0.2">
      <c r="A5326" s="24">
        <v>45323</v>
      </c>
      <c r="B5326" s="25" t="s">
        <v>137</v>
      </c>
      <c r="C5326" s="25" t="s">
        <v>26</v>
      </c>
      <c r="D5326" s="51">
        <v>1560849</v>
      </c>
    </row>
    <row r="5327" spans="1:4" x14ac:dyDescent="0.2">
      <c r="A5327" s="24">
        <v>45323</v>
      </c>
      <c r="B5327" s="25" t="s">
        <v>137</v>
      </c>
      <c r="C5327" s="25" t="s">
        <v>142</v>
      </c>
      <c r="D5327" s="51">
        <v>601447.17000000004</v>
      </c>
    </row>
    <row r="5328" spans="1:4" x14ac:dyDescent="0.2">
      <c r="A5328" s="24">
        <v>45323</v>
      </c>
      <c r="B5328" s="25" t="s">
        <v>137</v>
      </c>
      <c r="C5328" s="25" t="s">
        <v>2</v>
      </c>
      <c r="D5328" s="51">
        <v>9947792.8499999996</v>
      </c>
    </row>
    <row r="5329" spans="1:4" x14ac:dyDescent="0.2">
      <c r="A5329" s="24">
        <v>45323</v>
      </c>
      <c r="B5329" s="25" t="s">
        <v>137</v>
      </c>
      <c r="C5329" s="25" t="s">
        <v>143</v>
      </c>
      <c r="D5329" s="51">
        <v>1</v>
      </c>
    </row>
    <row r="5330" spans="1:4" x14ac:dyDescent="0.2">
      <c r="A5330" s="24">
        <v>45323</v>
      </c>
      <c r="B5330" s="25" t="s">
        <v>118</v>
      </c>
      <c r="C5330" s="25" t="s">
        <v>4</v>
      </c>
      <c r="D5330" s="51">
        <v>731310</v>
      </c>
    </row>
    <row r="5331" spans="1:4" x14ac:dyDescent="0.2">
      <c r="A5331" s="24">
        <v>45323</v>
      </c>
      <c r="B5331" s="25" t="s">
        <v>118</v>
      </c>
      <c r="C5331" s="25" t="s">
        <v>8</v>
      </c>
      <c r="D5331" s="51">
        <v>62341</v>
      </c>
    </row>
    <row r="5332" spans="1:4" x14ac:dyDescent="0.2">
      <c r="A5332" s="24">
        <v>45323</v>
      </c>
      <c r="B5332" s="25" t="s">
        <v>118</v>
      </c>
      <c r="C5332" s="25" t="s">
        <v>26</v>
      </c>
      <c r="D5332" s="51">
        <v>118847</v>
      </c>
    </row>
    <row r="5333" spans="1:4" x14ac:dyDescent="0.2">
      <c r="A5333" s="24">
        <v>45323</v>
      </c>
      <c r="B5333" s="25" t="s">
        <v>118</v>
      </c>
      <c r="C5333" s="25" t="s">
        <v>142</v>
      </c>
      <c r="D5333" s="51">
        <v>92914.72</v>
      </c>
    </row>
    <row r="5334" spans="1:4" x14ac:dyDescent="0.2">
      <c r="A5334" s="24">
        <v>45323</v>
      </c>
      <c r="B5334" s="25" t="s">
        <v>118</v>
      </c>
      <c r="C5334" s="25" t="s">
        <v>2</v>
      </c>
      <c r="D5334" s="51">
        <v>691902.55</v>
      </c>
    </row>
    <row r="5335" spans="1:4" x14ac:dyDescent="0.2">
      <c r="A5335" s="24">
        <v>45323</v>
      </c>
      <c r="B5335" s="25" t="s">
        <v>119</v>
      </c>
      <c r="C5335" s="25" t="s">
        <v>4</v>
      </c>
      <c r="D5335" s="51">
        <v>845692</v>
      </c>
    </row>
    <row r="5336" spans="1:4" x14ac:dyDescent="0.2">
      <c r="A5336" s="24">
        <v>45323</v>
      </c>
      <c r="B5336" s="25" t="s">
        <v>119</v>
      </c>
      <c r="C5336" s="25" t="s">
        <v>8</v>
      </c>
      <c r="D5336" s="51">
        <v>20326</v>
      </c>
    </row>
    <row r="5337" spans="1:4" x14ac:dyDescent="0.2">
      <c r="A5337" s="24">
        <v>45323</v>
      </c>
      <c r="B5337" s="25" t="s">
        <v>119</v>
      </c>
      <c r="C5337" s="25" t="s">
        <v>26</v>
      </c>
      <c r="D5337" s="51">
        <v>288433</v>
      </c>
    </row>
    <row r="5338" spans="1:4" x14ac:dyDescent="0.2">
      <c r="A5338" s="24">
        <v>45323</v>
      </c>
      <c r="B5338" s="25" t="s">
        <v>119</v>
      </c>
      <c r="C5338" s="25" t="s">
        <v>142</v>
      </c>
      <c r="D5338" s="51">
        <v>154549.54999999999</v>
      </c>
    </row>
    <row r="5339" spans="1:4" x14ac:dyDescent="0.2">
      <c r="A5339" s="24">
        <v>45323</v>
      </c>
      <c r="B5339" s="25" t="s">
        <v>119</v>
      </c>
      <c r="C5339" s="25" t="s">
        <v>2</v>
      </c>
      <c r="D5339" s="51">
        <v>1270833.71</v>
      </c>
    </row>
    <row r="5340" spans="1:4" x14ac:dyDescent="0.2">
      <c r="A5340" s="24">
        <v>45323</v>
      </c>
      <c r="B5340" s="25" t="s">
        <v>138</v>
      </c>
      <c r="C5340" s="25" t="s">
        <v>4</v>
      </c>
      <c r="D5340" s="51">
        <v>10</v>
      </c>
    </row>
    <row r="5341" spans="1:4" x14ac:dyDescent="0.2">
      <c r="A5341" s="24">
        <v>45323</v>
      </c>
      <c r="B5341" s="25" t="s">
        <v>138</v>
      </c>
      <c r="C5341" s="25" t="s">
        <v>2</v>
      </c>
      <c r="D5341" s="51">
        <v>16</v>
      </c>
    </row>
    <row r="5342" spans="1:4" x14ac:dyDescent="0.2">
      <c r="A5342" s="24">
        <v>45323</v>
      </c>
      <c r="B5342" s="25" t="s">
        <v>139</v>
      </c>
      <c r="C5342" s="25" t="s">
        <v>4</v>
      </c>
      <c r="D5342" s="51">
        <v>1200</v>
      </c>
    </row>
    <row r="5343" spans="1:4" x14ac:dyDescent="0.2">
      <c r="A5343" s="24">
        <v>45323</v>
      </c>
      <c r="B5343" s="25" t="s">
        <v>139</v>
      </c>
      <c r="C5343" s="25" t="s">
        <v>8</v>
      </c>
      <c r="D5343" s="51">
        <v>47</v>
      </c>
    </row>
    <row r="5344" spans="1:4" x14ac:dyDescent="0.2">
      <c r="A5344" s="24">
        <v>45323</v>
      </c>
      <c r="B5344" s="25" t="s">
        <v>139</v>
      </c>
      <c r="C5344" s="25" t="s">
        <v>26</v>
      </c>
      <c r="D5344" s="51">
        <v>63</v>
      </c>
    </row>
    <row r="5345" spans="1:4" x14ac:dyDescent="0.2">
      <c r="A5345" s="24">
        <v>45323</v>
      </c>
      <c r="B5345" s="25" t="s">
        <v>139</v>
      </c>
      <c r="C5345" s="25" t="s">
        <v>142</v>
      </c>
      <c r="D5345" s="51">
        <v>13</v>
      </c>
    </row>
    <row r="5346" spans="1:4" x14ac:dyDescent="0.2">
      <c r="A5346" s="24">
        <v>45323</v>
      </c>
      <c r="B5346" s="25" t="s">
        <v>139</v>
      </c>
      <c r="C5346" s="25" t="s">
        <v>2</v>
      </c>
      <c r="D5346" s="51">
        <v>1125</v>
      </c>
    </row>
    <row r="5347" spans="1:4" x14ac:dyDescent="0.2">
      <c r="A5347" s="24">
        <v>45323</v>
      </c>
      <c r="B5347" s="25" t="s">
        <v>120</v>
      </c>
      <c r="C5347" s="25" t="s">
        <v>4</v>
      </c>
      <c r="D5347" s="51">
        <v>58844</v>
      </c>
    </row>
    <row r="5348" spans="1:4" x14ac:dyDescent="0.2">
      <c r="A5348" s="24">
        <v>45323</v>
      </c>
      <c r="B5348" s="25" t="s">
        <v>120</v>
      </c>
      <c r="C5348" s="25" t="s">
        <v>8</v>
      </c>
      <c r="D5348" s="51">
        <v>4041</v>
      </c>
    </row>
    <row r="5349" spans="1:4" x14ac:dyDescent="0.2">
      <c r="A5349" s="24">
        <v>45323</v>
      </c>
      <c r="B5349" s="25" t="s">
        <v>120</v>
      </c>
      <c r="C5349" s="25" t="s">
        <v>26</v>
      </c>
      <c r="D5349" s="51">
        <v>9118</v>
      </c>
    </row>
    <row r="5350" spans="1:4" x14ac:dyDescent="0.2">
      <c r="A5350" s="24">
        <v>45323</v>
      </c>
      <c r="B5350" s="25" t="s">
        <v>120</v>
      </c>
      <c r="C5350" s="25" t="s">
        <v>142</v>
      </c>
      <c r="D5350" s="51">
        <v>7950.3</v>
      </c>
    </row>
    <row r="5351" spans="1:4" x14ac:dyDescent="0.2">
      <c r="A5351" s="24">
        <v>45323</v>
      </c>
      <c r="B5351" s="25" t="s">
        <v>120</v>
      </c>
      <c r="C5351" s="25" t="s">
        <v>2</v>
      </c>
      <c r="D5351" s="51">
        <v>190308.95</v>
      </c>
    </row>
    <row r="5352" spans="1:4" x14ac:dyDescent="0.2">
      <c r="A5352" s="24">
        <v>45323</v>
      </c>
      <c r="B5352" s="25" t="s">
        <v>121</v>
      </c>
      <c r="C5352" s="25" t="s">
        <v>4</v>
      </c>
      <c r="D5352" s="51">
        <v>27690</v>
      </c>
    </row>
    <row r="5353" spans="1:4" x14ac:dyDescent="0.2">
      <c r="A5353" s="24">
        <v>45323</v>
      </c>
      <c r="B5353" s="25" t="s">
        <v>121</v>
      </c>
      <c r="C5353" s="25" t="s">
        <v>8</v>
      </c>
      <c r="D5353" s="51">
        <v>1703</v>
      </c>
    </row>
    <row r="5354" spans="1:4" x14ac:dyDescent="0.2">
      <c r="A5354" s="24">
        <v>45323</v>
      </c>
      <c r="B5354" s="25" t="s">
        <v>121</v>
      </c>
      <c r="C5354" s="25" t="s">
        <v>26</v>
      </c>
      <c r="D5354" s="51">
        <v>3157</v>
      </c>
    </row>
    <row r="5355" spans="1:4" x14ac:dyDescent="0.2">
      <c r="A5355" s="24">
        <v>45323</v>
      </c>
      <c r="B5355" s="25" t="s">
        <v>121</v>
      </c>
      <c r="C5355" s="25" t="s">
        <v>142</v>
      </c>
      <c r="D5355" s="51">
        <v>1474.84</v>
      </c>
    </row>
    <row r="5356" spans="1:4" x14ac:dyDescent="0.2">
      <c r="A5356" s="24">
        <v>45323</v>
      </c>
      <c r="B5356" s="25" t="s">
        <v>121</v>
      </c>
      <c r="C5356" s="25" t="s">
        <v>2</v>
      </c>
      <c r="D5356" s="51">
        <v>23645.95</v>
      </c>
    </row>
    <row r="5357" spans="1:4" x14ac:dyDescent="0.2">
      <c r="A5357" s="24">
        <v>45323</v>
      </c>
      <c r="B5357" s="25" t="s">
        <v>140</v>
      </c>
      <c r="C5357" s="25" t="s">
        <v>4</v>
      </c>
      <c r="D5357" s="51">
        <v>22073</v>
      </c>
    </row>
    <row r="5358" spans="1:4" x14ac:dyDescent="0.2">
      <c r="A5358" s="24">
        <v>45323</v>
      </c>
      <c r="B5358" s="25" t="s">
        <v>122</v>
      </c>
      <c r="C5358" s="25" t="s">
        <v>4</v>
      </c>
      <c r="D5358" s="51">
        <v>1528527</v>
      </c>
    </row>
    <row r="5359" spans="1:4" x14ac:dyDescent="0.2">
      <c r="A5359" s="24">
        <v>45323</v>
      </c>
      <c r="B5359" s="25" t="s">
        <v>122</v>
      </c>
      <c r="C5359" s="25" t="s">
        <v>8</v>
      </c>
      <c r="D5359" s="51">
        <v>10853</v>
      </c>
    </row>
    <row r="5360" spans="1:4" x14ac:dyDescent="0.2">
      <c r="A5360" s="24">
        <v>45323</v>
      </c>
      <c r="B5360" s="25" t="s">
        <v>122</v>
      </c>
      <c r="C5360" s="25" t="s">
        <v>26</v>
      </c>
      <c r="D5360" s="51">
        <v>46434</v>
      </c>
    </row>
    <row r="5361" spans="1:4" x14ac:dyDescent="0.2">
      <c r="A5361" s="24">
        <v>45323</v>
      </c>
      <c r="B5361" s="25" t="s">
        <v>122</v>
      </c>
      <c r="C5361" s="25" t="s">
        <v>142</v>
      </c>
      <c r="D5361" s="51">
        <v>169822.16</v>
      </c>
    </row>
    <row r="5362" spans="1:4" x14ac:dyDescent="0.2">
      <c r="A5362" s="24">
        <v>45323</v>
      </c>
      <c r="B5362" s="25" t="s">
        <v>122</v>
      </c>
      <c r="C5362" s="25" t="s">
        <v>2</v>
      </c>
      <c r="D5362" s="51">
        <v>1039094.93</v>
      </c>
    </row>
    <row r="5363" spans="1:4" x14ac:dyDescent="0.2">
      <c r="A5363" s="24">
        <v>45323</v>
      </c>
      <c r="B5363" s="25" t="s">
        <v>123</v>
      </c>
      <c r="C5363" s="25" t="s">
        <v>4</v>
      </c>
      <c r="D5363" s="51">
        <v>3152858</v>
      </c>
    </row>
    <row r="5364" spans="1:4" x14ac:dyDescent="0.2">
      <c r="A5364" s="24">
        <v>45323</v>
      </c>
      <c r="B5364" s="25" t="s">
        <v>123</v>
      </c>
      <c r="C5364" s="25" t="s">
        <v>8</v>
      </c>
      <c r="D5364" s="51">
        <v>182373</v>
      </c>
    </row>
    <row r="5365" spans="1:4" x14ac:dyDescent="0.2">
      <c r="A5365" s="24">
        <v>45323</v>
      </c>
      <c r="B5365" s="25" t="s">
        <v>123</v>
      </c>
      <c r="C5365" s="25" t="s">
        <v>26</v>
      </c>
      <c r="D5365" s="51">
        <v>394978</v>
      </c>
    </row>
    <row r="5366" spans="1:4" x14ac:dyDescent="0.2">
      <c r="A5366" s="24">
        <v>45323</v>
      </c>
      <c r="B5366" s="25" t="s">
        <v>123</v>
      </c>
      <c r="C5366" s="25" t="s">
        <v>142</v>
      </c>
      <c r="D5366" s="51">
        <v>135537.4</v>
      </c>
    </row>
    <row r="5367" spans="1:4" x14ac:dyDescent="0.2">
      <c r="A5367" s="24">
        <v>45323</v>
      </c>
      <c r="B5367" s="25" t="s">
        <v>123</v>
      </c>
      <c r="C5367" s="25" t="s">
        <v>2</v>
      </c>
      <c r="D5367" s="51">
        <v>2360824.73</v>
      </c>
    </row>
    <row r="5368" spans="1:4" x14ac:dyDescent="0.2">
      <c r="A5368" s="24">
        <v>45323</v>
      </c>
      <c r="B5368" s="25" t="s">
        <v>124</v>
      </c>
      <c r="C5368" s="25" t="s">
        <v>8</v>
      </c>
      <c r="D5368" s="51">
        <v>30903</v>
      </c>
    </row>
    <row r="5369" spans="1:4" x14ac:dyDescent="0.2">
      <c r="A5369" s="24">
        <v>45323</v>
      </c>
      <c r="B5369" s="25" t="s">
        <v>125</v>
      </c>
      <c r="C5369" s="25" t="s">
        <v>8</v>
      </c>
      <c r="D5369" s="51">
        <v>10222</v>
      </c>
    </row>
    <row r="5370" spans="1:4" x14ac:dyDescent="0.2">
      <c r="A5370" s="24">
        <v>45323</v>
      </c>
      <c r="B5370" s="25" t="s">
        <v>127</v>
      </c>
      <c r="C5370" s="25" t="s">
        <v>26</v>
      </c>
      <c r="D5370" s="51">
        <v>4945</v>
      </c>
    </row>
    <row r="5371" spans="1:4" x14ac:dyDescent="0.2">
      <c r="A5371" s="24">
        <v>45323</v>
      </c>
      <c r="B5371" s="25" t="s">
        <v>128</v>
      </c>
      <c r="C5371" s="25" t="s">
        <v>26</v>
      </c>
      <c r="D5371" s="51">
        <v>1848</v>
      </c>
    </row>
    <row r="5372" spans="1:4" x14ac:dyDescent="0.2">
      <c r="A5372" s="24">
        <v>45323</v>
      </c>
      <c r="B5372" s="25" t="s">
        <v>129</v>
      </c>
      <c r="C5372" s="25" t="s">
        <v>142</v>
      </c>
      <c r="D5372" s="51">
        <v>4160.2700000000004</v>
      </c>
    </row>
    <row r="5373" spans="1:4" x14ac:dyDescent="0.2">
      <c r="A5373" s="24">
        <v>45323</v>
      </c>
      <c r="B5373" s="25" t="s">
        <v>129</v>
      </c>
      <c r="C5373" s="25" t="s">
        <v>2</v>
      </c>
      <c r="D5373" s="51">
        <v>100991.17</v>
      </c>
    </row>
    <row r="5374" spans="1:4" x14ac:dyDescent="0.2">
      <c r="A5374" s="24">
        <v>45323</v>
      </c>
      <c r="B5374" s="25" t="s">
        <v>130</v>
      </c>
      <c r="C5374" s="25" t="s">
        <v>142</v>
      </c>
      <c r="D5374" s="51">
        <v>3917.25</v>
      </c>
    </row>
    <row r="5375" spans="1:4" x14ac:dyDescent="0.2">
      <c r="A5375" s="24">
        <v>45323</v>
      </c>
      <c r="B5375" s="25" t="s">
        <v>130</v>
      </c>
      <c r="C5375" s="25" t="s">
        <v>2</v>
      </c>
      <c r="D5375" s="51">
        <v>42363.77</v>
      </c>
    </row>
    <row r="5376" spans="1:4" x14ac:dyDescent="0.2">
      <c r="A5376" s="24">
        <v>45323</v>
      </c>
      <c r="B5376" s="25" t="s">
        <v>144</v>
      </c>
      <c r="C5376" s="25" t="s">
        <v>4</v>
      </c>
      <c r="D5376" s="51">
        <v>223</v>
      </c>
    </row>
    <row r="5377" spans="1:4" x14ac:dyDescent="0.2">
      <c r="A5377" s="24">
        <v>45323</v>
      </c>
      <c r="B5377" s="25" t="s">
        <v>144</v>
      </c>
      <c r="C5377" s="25" t="s">
        <v>8</v>
      </c>
      <c r="D5377" s="51">
        <v>1</v>
      </c>
    </row>
    <row r="5378" spans="1:4" x14ac:dyDescent="0.2">
      <c r="A5378" s="24">
        <v>45323</v>
      </c>
      <c r="B5378" s="25" t="s">
        <v>144</v>
      </c>
      <c r="C5378" s="25" t="s">
        <v>26</v>
      </c>
      <c r="D5378" s="51">
        <v>15</v>
      </c>
    </row>
    <row r="5379" spans="1:4" x14ac:dyDescent="0.2">
      <c r="A5379" s="24">
        <v>45323</v>
      </c>
      <c r="B5379" s="25" t="s">
        <v>144</v>
      </c>
      <c r="C5379" s="25" t="s">
        <v>142</v>
      </c>
      <c r="D5379" s="51">
        <v>37.020000000000003</v>
      </c>
    </row>
    <row r="5380" spans="1:4" x14ac:dyDescent="0.2">
      <c r="A5380" s="24">
        <v>45323</v>
      </c>
      <c r="B5380" s="25" t="s">
        <v>144</v>
      </c>
      <c r="C5380" s="25" t="s">
        <v>2</v>
      </c>
      <c r="D5380" s="51">
        <v>275</v>
      </c>
    </row>
    <row r="5381" spans="1:4" x14ac:dyDescent="0.2">
      <c r="A5381" s="24">
        <v>45689</v>
      </c>
      <c r="B5381" s="25" t="s">
        <v>117</v>
      </c>
      <c r="C5381" s="25" t="s">
        <v>4</v>
      </c>
      <c r="D5381" s="51">
        <v>6526878</v>
      </c>
    </row>
    <row r="5382" spans="1:4" x14ac:dyDescent="0.2">
      <c r="A5382" s="24">
        <v>45689</v>
      </c>
      <c r="B5382" s="25" t="s">
        <v>117</v>
      </c>
      <c r="C5382" s="25" t="s">
        <v>8</v>
      </c>
      <c r="D5382" s="51">
        <v>368918</v>
      </c>
    </row>
    <row r="5383" spans="1:4" x14ac:dyDescent="0.2">
      <c r="A5383" s="24">
        <v>45689</v>
      </c>
      <c r="B5383" s="25" t="s">
        <v>117</v>
      </c>
      <c r="C5383" s="25" t="s">
        <v>26</v>
      </c>
      <c r="D5383" s="51">
        <v>1160956</v>
      </c>
    </row>
    <row r="5384" spans="1:4" x14ac:dyDescent="0.2">
      <c r="A5384" s="24">
        <v>45689</v>
      </c>
      <c r="B5384" s="25" t="s">
        <v>117</v>
      </c>
      <c r="C5384" s="25" t="s">
        <v>142</v>
      </c>
      <c r="D5384" s="51">
        <v>2146118.16</v>
      </c>
    </row>
    <row r="5385" spans="1:4" x14ac:dyDescent="0.2">
      <c r="A5385" s="24">
        <v>45689</v>
      </c>
      <c r="B5385" s="25" t="s">
        <v>117</v>
      </c>
      <c r="C5385" s="25" t="s">
        <v>2</v>
      </c>
      <c r="D5385" s="51">
        <v>8738379.9600000009</v>
      </c>
    </row>
    <row r="5386" spans="1:4" x14ac:dyDescent="0.2">
      <c r="A5386" s="24">
        <v>45689</v>
      </c>
      <c r="B5386" s="25" t="s">
        <v>137</v>
      </c>
      <c r="C5386" s="25" t="s">
        <v>4</v>
      </c>
      <c r="D5386" s="51">
        <v>7749283</v>
      </c>
    </row>
    <row r="5387" spans="1:4" x14ac:dyDescent="0.2">
      <c r="A5387" s="24">
        <v>45689</v>
      </c>
      <c r="B5387" s="25" t="s">
        <v>137</v>
      </c>
      <c r="C5387" s="25" t="s">
        <v>8</v>
      </c>
      <c r="D5387" s="51">
        <v>873305</v>
      </c>
    </row>
    <row r="5388" spans="1:4" x14ac:dyDescent="0.2">
      <c r="A5388" s="24">
        <v>45689</v>
      </c>
      <c r="B5388" s="25" t="s">
        <v>137</v>
      </c>
      <c r="C5388" s="25" t="s">
        <v>26</v>
      </c>
      <c r="D5388" s="51">
        <v>1535130</v>
      </c>
    </row>
    <row r="5389" spans="1:4" x14ac:dyDescent="0.2">
      <c r="A5389" s="24">
        <v>45689</v>
      </c>
      <c r="B5389" s="25" t="s">
        <v>137</v>
      </c>
      <c r="C5389" s="25" t="s">
        <v>142</v>
      </c>
      <c r="D5389" s="51">
        <v>2276463.92</v>
      </c>
    </row>
    <row r="5390" spans="1:4" x14ac:dyDescent="0.2">
      <c r="A5390" s="24">
        <v>45689</v>
      </c>
      <c r="B5390" s="25" t="s">
        <v>137</v>
      </c>
      <c r="C5390" s="25" t="s">
        <v>2</v>
      </c>
      <c r="D5390" s="51">
        <v>8544354.3499999996</v>
      </c>
    </row>
    <row r="5391" spans="1:4" x14ac:dyDescent="0.2">
      <c r="A5391" s="24">
        <v>45689</v>
      </c>
      <c r="B5391" s="25" t="s">
        <v>118</v>
      </c>
      <c r="C5391" s="25" t="s">
        <v>4</v>
      </c>
      <c r="D5391" s="51">
        <v>705635</v>
      </c>
    </row>
    <row r="5392" spans="1:4" x14ac:dyDescent="0.2">
      <c r="A5392" s="24">
        <v>45689</v>
      </c>
      <c r="B5392" s="25" t="s">
        <v>118</v>
      </c>
      <c r="C5392" s="25" t="s">
        <v>8</v>
      </c>
      <c r="D5392" s="51">
        <v>59798</v>
      </c>
    </row>
    <row r="5393" spans="1:4" x14ac:dyDescent="0.2">
      <c r="A5393" s="24">
        <v>45689</v>
      </c>
      <c r="B5393" s="25" t="s">
        <v>118</v>
      </c>
      <c r="C5393" s="25" t="s">
        <v>26</v>
      </c>
      <c r="D5393" s="51">
        <v>107185</v>
      </c>
    </row>
    <row r="5394" spans="1:4" x14ac:dyDescent="0.2">
      <c r="A5394" s="24">
        <v>45689</v>
      </c>
      <c r="B5394" s="25" t="s">
        <v>118</v>
      </c>
      <c r="C5394" s="25" t="s">
        <v>142</v>
      </c>
      <c r="D5394" s="51">
        <v>202541.37</v>
      </c>
    </row>
    <row r="5395" spans="1:4" x14ac:dyDescent="0.2">
      <c r="A5395" s="24">
        <v>45689</v>
      </c>
      <c r="B5395" s="25" t="s">
        <v>118</v>
      </c>
      <c r="C5395" s="25" t="s">
        <v>2</v>
      </c>
      <c r="D5395" s="51">
        <v>594771.80000000005</v>
      </c>
    </row>
    <row r="5396" spans="1:4" x14ac:dyDescent="0.2">
      <c r="A5396" s="24">
        <v>45689</v>
      </c>
      <c r="B5396" s="25" t="s">
        <v>119</v>
      </c>
      <c r="C5396" s="25" t="s">
        <v>4</v>
      </c>
      <c r="D5396" s="51">
        <v>878946</v>
      </c>
    </row>
    <row r="5397" spans="1:4" x14ac:dyDescent="0.2">
      <c r="A5397" s="24">
        <v>45689</v>
      </c>
      <c r="B5397" s="25" t="s">
        <v>119</v>
      </c>
      <c r="C5397" s="25" t="s">
        <v>8</v>
      </c>
      <c r="D5397" s="51">
        <v>23539</v>
      </c>
    </row>
    <row r="5398" spans="1:4" x14ac:dyDescent="0.2">
      <c r="A5398" s="24">
        <v>45689</v>
      </c>
      <c r="B5398" s="25" t="s">
        <v>119</v>
      </c>
      <c r="C5398" s="25" t="s">
        <v>26</v>
      </c>
      <c r="D5398" s="51">
        <v>272303</v>
      </c>
    </row>
    <row r="5399" spans="1:4" x14ac:dyDescent="0.2">
      <c r="A5399" s="24">
        <v>45689</v>
      </c>
      <c r="B5399" s="25" t="s">
        <v>119</v>
      </c>
      <c r="C5399" s="25" t="s">
        <v>142</v>
      </c>
      <c r="D5399" s="51">
        <v>349099.76</v>
      </c>
    </row>
    <row r="5400" spans="1:4" x14ac:dyDescent="0.2">
      <c r="A5400" s="24">
        <v>45689</v>
      </c>
      <c r="B5400" s="25" t="s">
        <v>119</v>
      </c>
      <c r="C5400" s="25" t="s">
        <v>2</v>
      </c>
      <c r="D5400" s="51">
        <v>1070152.3500000001</v>
      </c>
    </row>
    <row r="5401" spans="1:4" x14ac:dyDescent="0.2">
      <c r="A5401" s="24">
        <v>45689</v>
      </c>
      <c r="B5401" s="25" t="s">
        <v>138</v>
      </c>
      <c r="C5401" s="25" t="s">
        <v>4</v>
      </c>
      <c r="D5401" s="51">
        <v>44</v>
      </c>
    </row>
    <row r="5402" spans="1:4" x14ac:dyDescent="0.2">
      <c r="A5402" s="24">
        <v>45689</v>
      </c>
      <c r="B5402" s="25" t="s">
        <v>138</v>
      </c>
      <c r="C5402" s="25" t="s">
        <v>8</v>
      </c>
      <c r="D5402" s="51">
        <v>1</v>
      </c>
    </row>
    <row r="5403" spans="1:4" x14ac:dyDescent="0.2">
      <c r="A5403" s="24">
        <v>45689</v>
      </c>
      <c r="B5403" s="25" t="s">
        <v>138</v>
      </c>
      <c r="C5403" s="25" t="s">
        <v>26</v>
      </c>
      <c r="D5403" s="51">
        <v>25</v>
      </c>
    </row>
    <row r="5404" spans="1:4" x14ac:dyDescent="0.2">
      <c r="A5404" s="24">
        <v>45689</v>
      </c>
      <c r="B5404" s="25" t="s">
        <v>138</v>
      </c>
      <c r="C5404" s="25" t="s">
        <v>142</v>
      </c>
      <c r="D5404" s="51">
        <v>0.6</v>
      </c>
    </row>
    <row r="5405" spans="1:4" x14ac:dyDescent="0.2">
      <c r="A5405" s="24">
        <v>45689</v>
      </c>
      <c r="B5405" s="25" t="s">
        <v>138</v>
      </c>
      <c r="C5405" s="25" t="s">
        <v>2</v>
      </c>
      <c r="D5405" s="51">
        <v>45.4</v>
      </c>
    </row>
    <row r="5406" spans="1:4" x14ac:dyDescent="0.2">
      <c r="A5406" s="24">
        <v>45689</v>
      </c>
      <c r="B5406" s="25" t="s">
        <v>139</v>
      </c>
      <c r="C5406" s="25" t="s">
        <v>4</v>
      </c>
      <c r="D5406" s="51">
        <v>995</v>
      </c>
    </row>
    <row r="5407" spans="1:4" x14ac:dyDescent="0.2">
      <c r="A5407" s="24">
        <v>45689</v>
      </c>
      <c r="B5407" s="25" t="s">
        <v>139</v>
      </c>
      <c r="C5407" s="25" t="s">
        <v>8</v>
      </c>
      <c r="D5407" s="51">
        <v>27</v>
      </c>
    </row>
    <row r="5408" spans="1:4" x14ac:dyDescent="0.2">
      <c r="A5408" s="24">
        <v>45689</v>
      </c>
      <c r="B5408" s="25" t="s">
        <v>139</v>
      </c>
      <c r="C5408" s="25" t="s">
        <v>26</v>
      </c>
      <c r="D5408" s="51">
        <v>80</v>
      </c>
    </row>
    <row r="5409" spans="1:4" x14ac:dyDescent="0.2">
      <c r="A5409" s="24">
        <v>45689</v>
      </c>
      <c r="B5409" s="25" t="s">
        <v>139</v>
      </c>
      <c r="C5409" s="25" t="s">
        <v>142</v>
      </c>
      <c r="D5409" s="51">
        <v>43.78</v>
      </c>
    </row>
    <row r="5410" spans="1:4" x14ac:dyDescent="0.2">
      <c r="A5410" s="24">
        <v>45689</v>
      </c>
      <c r="B5410" s="25" t="s">
        <v>139</v>
      </c>
      <c r="C5410" s="25" t="s">
        <v>2</v>
      </c>
      <c r="D5410" s="51">
        <v>860.12</v>
      </c>
    </row>
    <row r="5411" spans="1:4" x14ac:dyDescent="0.2">
      <c r="A5411" s="24">
        <v>45689</v>
      </c>
      <c r="B5411" s="25" t="s">
        <v>120</v>
      </c>
      <c r="C5411" s="25" t="s">
        <v>4</v>
      </c>
      <c r="D5411" s="51">
        <v>75776</v>
      </c>
    </row>
    <row r="5412" spans="1:4" x14ac:dyDescent="0.2">
      <c r="A5412" s="24">
        <v>45689</v>
      </c>
      <c r="B5412" s="25" t="s">
        <v>120</v>
      </c>
      <c r="C5412" s="25" t="s">
        <v>8</v>
      </c>
      <c r="D5412" s="51">
        <v>4934</v>
      </c>
    </row>
    <row r="5413" spans="1:4" x14ac:dyDescent="0.2">
      <c r="A5413" s="24">
        <v>45689</v>
      </c>
      <c r="B5413" s="25" t="s">
        <v>120</v>
      </c>
      <c r="C5413" s="25" t="s">
        <v>26</v>
      </c>
      <c r="D5413" s="51">
        <v>11341</v>
      </c>
    </row>
    <row r="5414" spans="1:4" x14ac:dyDescent="0.2">
      <c r="A5414" s="24">
        <v>45689</v>
      </c>
      <c r="B5414" s="25" t="s">
        <v>120</v>
      </c>
      <c r="C5414" s="25" t="s">
        <v>142</v>
      </c>
      <c r="D5414" s="51">
        <v>36370.94</v>
      </c>
    </row>
    <row r="5415" spans="1:4" x14ac:dyDescent="0.2">
      <c r="A5415" s="24">
        <v>45689</v>
      </c>
      <c r="B5415" s="25" t="s">
        <v>120</v>
      </c>
      <c r="C5415" s="25" t="s">
        <v>2</v>
      </c>
      <c r="D5415" s="51">
        <v>172843.62</v>
      </c>
    </row>
    <row r="5416" spans="1:4" x14ac:dyDescent="0.2">
      <c r="A5416" s="24">
        <v>45689</v>
      </c>
      <c r="B5416" s="25" t="s">
        <v>121</v>
      </c>
      <c r="C5416" s="25" t="s">
        <v>4</v>
      </c>
      <c r="D5416" s="51">
        <v>29574</v>
      </c>
    </row>
    <row r="5417" spans="1:4" x14ac:dyDescent="0.2">
      <c r="A5417" s="24">
        <v>45689</v>
      </c>
      <c r="B5417" s="25" t="s">
        <v>121</v>
      </c>
      <c r="C5417" s="25" t="s">
        <v>8</v>
      </c>
      <c r="D5417" s="51">
        <v>2041</v>
      </c>
    </row>
    <row r="5418" spans="1:4" x14ac:dyDescent="0.2">
      <c r="A5418" s="24">
        <v>45689</v>
      </c>
      <c r="B5418" s="25" t="s">
        <v>121</v>
      </c>
      <c r="C5418" s="25" t="s">
        <v>26</v>
      </c>
      <c r="D5418" s="51">
        <v>3091</v>
      </c>
    </row>
    <row r="5419" spans="1:4" x14ac:dyDescent="0.2">
      <c r="A5419" s="24">
        <v>45689</v>
      </c>
      <c r="B5419" s="25" t="s">
        <v>121</v>
      </c>
      <c r="C5419" s="25" t="s">
        <v>142</v>
      </c>
      <c r="D5419" s="51">
        <v>5170.37</v>
      </c>
    </row>
    <row r="5420" spans="1:4" x14ac:dyDescent="0.2">
      <c r="A5420" s="24">
        <v>45689</v>
      </c>
      <c r="B5420" s="25" t="s">
        <v>121</v>
      </c>
      <c r="C5420" s="25" t="s">
        <v>2</v>
      </c>
      <c r="D5420" s="51">
        <v>21386.35</v>
      </c>
    </row>
    <row r="5421" spans="1:4" x14ac:dyDescent="0.2">
      <c r="A5421" s="24">
        <v>45689</v>
      </c>
      <c r="B5421" s="25" t="s">
        <v>140</v>
      </c>
      <c r="C5421" s="25" t="s">
        <v>4</v>
      </c>
      <c r="D5421" s="51">
        <v>16470</v>
      </c>
    </row>
    <row r="5422" spans="1:4" x14ac:dyDescent="0.2">
      <c r="A5422" s="24">
        <v>45689</v>
      </c>
      <c r="B5422" s="25" t="s">
        <v>122</v>
      </c>
      <c r="C5422" s="25" t="s">
        <v>4</v>
      </c>
      <c r="D5422" s="51">
        <v>1315384</v>
      </c>
    </row>
    <row r="5423" spans="1:4" x14ac:dyDescent="0.2">
      <c r="A5423" s="24">
        <v>45689</v>
      </c>
      <c r="B5423" s="25" t="s">
        <v>122</v>
      </c>
      <c r="C5423" s="25" t="s">
        <v>8</v>
      </c>
      <c r="D5423" s="51">
        <v>10693</v>
      </c>
    </row>
    <row r="5424" spans="1:4" x14ac:dyDescent="0.2">
      <c r="A5424" s="24">
        <v>45689</v>
      </c>
      <c r="B5424" s="25" t="s">
        <v>122</v>
      </c>
      <c r="C5424" s="25" t="s">
        <v>26</v>
      </c>
      <c r="D5424" s="51">
        <v>49817</v>
      </c>
    </row>
    <row r="5425" spans="1:4" x14ac:dyDescent="0.2">
      <c r="A5425" s="24">
        <v>45689</v>
      </c>
      <c r="B5425" s="25" t="s">
        <v>122</v>
      </c>
      <c r="C5425" s="25" t="s">
        <v>142</v>
      </c>
      <c r="D5425" s="51">
        <v>266581.94</v>
      </c>
    </row>
    <row r="5426" spans="1:4" x14ac:dyDescent="0.2">
      <c r="A5426" s="24">
        <v>45689</v>
      </c>
      <c r="B5426" s="25" t="s">
        <v>122</v>
      </c>
      <c r="C5426" s="25" t="s">
        <v>2</v>
      </c>
      <c r="D5426" s="51">
        <v>833441.58</v>
      </c>
    </row>
    <row r="5427" spans="1:4" x14ac:dyDescent="0.2">
      <c r="A5427" s="24">
        <v>45689</v>
      </c>
      <c r="B5427" s="25" t="s">
        <v>123</v>
      </c>
      <c r="C5427" s="25" t="s">
        <v>4</v>
      </c>
      <c r="D5427" s="51">
        <v>3232041</v>
      </c>
    </row>
    <row r="5428" spans="1:4" x14ac:dyDescent="0.2">
      <c r="A5428" s="24">
        <v>45689</v>
      </c>
      <c r="B5428" s="25" t="s">
        <v>123</v>
      </c>
      <c r="C5428" s="25" t="s">
        <v>8</v>
      </c>
      <c r="D5428" s="51">
        <v>191659</v>
      </c>
    </row>
    <row r="5429" spans="1:4" x14ac:dyDescent="0.2">
      <c r="A5429" s="24">
        <v>45689</v>
      </c>
      <c r="B5429" s="25" t="s">
        <v>123</v>
      </c>
      <c r="C5429" s="25" t="s">
        <v>26</v>
      </c>
      <c r="D5429" s="51">
        <v>412609</v>
      </c>
    </row>
    <row r="5430" spans="1:4" x14ac:dyDescent="0.2">
      <c r="A5430" s="24">
        <v>45689</v>
      </c>
      <c r="B5430" s="25" t="s">
        <v>123</v>
      </c>
      <c r="C5430" s="25" t="s">
        <v>142</v>
      </c>
      <c r="D5430" s="51">
        <v>412570.2</v>
      </c>
    </row>
    <row r="5431" spans="1:4" x14ac:dyDescent="0.2">
      <c r="A5431" s="24">
        <v>45689</v>
      </c>
      <c r="B5431" s="25" t="s">
        <v>123</v>
      </c>
      <c r="C5431" s="25" t="s">
        <v>2</v>
      </c>
      <c r="D5431" s="51">
        <v>2110941.37</v>
      </c>
    </row>
    <row r="5432" spans="1:4" x14ac:dyDescent="0.2">
      <c r="A5432" s="24">
        <v>45689</v>
      </c>
      <c r="B5432" s="25" t="s">
        <v>124</v>
      </c>
      <c r="C5432" s="25" t="s">
        <v>8</v>
      </c>
      <c r="D5432" s="51">
        <v>24140</v>
      </c>
    </row>
    <row r="5433" spans="1:4" x14ac:dyDescent="0.2">
      <c r="A5433" s="24">
        <v>45689</v>
      </c>
      <c r="B5433" s="25" t="s">
        <v>125</v>
      </c>
      <c r="C5433" s="25" t="s">
        <v>8</v>
      </c>
      <c r="D5433" s="51">
        <v>7517</v>
      </c>
    </row>
    <row r="5434" spans="1:4" x14ac:dyDescent="0.2">
      <c r="A5434" s="24">
        <v>45689</v>
      </c>
      <c r="B5434" s="25" t="s">
        <v>127</v>
      </c>
      <c r="C5434" s="25" t="s">
        <v>26</v>
      </c>
      <c r="D5434" s="51">
        <v>3616</v>
      </c>
    </row>
    <row r="5435" spans="1:4" x14ac:dyDescent="0.2">
      <c r="A5435" s="24">
        <v>45689</v>
      </c>
      <c r="B5435" s="25" t="s">
        <v>128</v>
      </c>
      <c r="C5435" s="25" t="s">
        <v>26</v>
      </c>
      <c r="D5435" s="51">
        <v>1163</v>
      </c>
    </row>
    <row r="5436" spans="1:4" x14ac:dyDescent="0.2">
      <c r="A5436" s="24">
        <v>45689</v>
      </c>
      <c r="B5436" s="25" t="s">
        <v>129</v>
      </c>
      <c r="C5436" s="25" t="s">
        <v>142</v>
      </c>
      <c r="D5436" s="51">
        <v>10603.18</v>
      </c>
    </row>
    <row r="5437" spans="1:4" x14ac:dyDescent="0.2">
      <c r="A5437" s="24">
        <v>45689</v>
      </c>
      <c r="B5437" s="25" t="s">
        <v>129</v>
      </c>
      <c r="C5437" s="25" t="s">
        <v>2</v>
      </c>
      <c r="D5437" s="51">
        <v>69652.12</v>
      </c>
    </row>
    <row r="5438" spans="1:4" x14ac:dyDescent="0.2">
      <c r="A5438" s="24">
        <v>45689</v>
      </c>
      <c r="B5438" s="25" t="s">
        <v>130</v>
      </c>
      <c r="C5438" s="25" t="s">
        <v>142</v>
      </c>
      <c r="D5438" s="51">
        <v>9891.7999999999993</v>
      </c>
    </row>
    <row r="5439" spans="1:4" x14ac:dyDescent="0.2">
      <c r="A5439" s="24">
        <v>45689</v>
      </c>
      <c r="B5439" s="25" t="s">
        <v>130</v>
      </c>
      <c r="C5439" s="25" t="s">
        <v>2</v>
      </c>
      <c r="D5439" s="51">
        <v>35032.32</v>
      </c>
    </row>
    <row r="5440" spans="1:4" x14ac:dyDescent="0.2">
      <c r="A5440" s="24">
        <v>45689</v>
      </c>
      <c r="B5440" s="25" t="s">
        <v>144</v>
      </c>
      <c r="C5440" s="25" t="s">
        <v>4</v>
      </c>
      <c r="D5440" s="51">
        <v>51</v>
      </c>
    </row>
    <row r="5441" spans="1:4" x14ac:dyDescent="0.2">
      <c r="A5441" s="24">
        <v>45689</v>
      </c>
      <c r="B5441" s="25" t="s">
        <v>144</v>
      </c>
      <c r="C5441" s="25" t="s">
        <v>8</v>
      </c>
      <c r="D5441" s="51">
        <v>25</v>
      </c>
    </row>
    <row r="5442" spans="1:4" x14ac:dyDescent="0.2">
      <c r="A5442" s="24">
        <v>45689</v>
      </c>
      <c r="B5442" s="25" t="s">
        <v>144</v>
      </c>
      <c r="C5442" s="25" t="s">
        <v>26</v>
      </c>
      <c r="D5442" s="51">
        <v>11</v>
      </c>
    </row>
    <row r="5443" spans="1:4" x14ac:dyDescent="0.2">
      <c r="A5443" s="24">
        <v>45689</v>
      </c>
      <c r="B5443" s="25" t="s">
        <v>144</v>
      </c>
      <c r="C5443" s="25" t="s">
        <v>142</v>
      </c>
      <c r="D5443" s="51">
        <v>5.68</v>
      </c>
    </row>
    <row r="5444" spans="1:4" x14ac:dyDescent="0.2">
      <c r="A5444" s="24">
        <v>45689</v>
      </c>
      <c r="B5444" s="25" t="s">
        <v>144</v>
      </c>
      <c r="C5444" s="25" t="s">
        <v>2</v>
      </c>
      <c r="D5444" s="51">
        <v>93.79</v>
      </c>
    </row>
    <row r="5445" spans="1:4" x14ac:dyDescent="0.2">
      <c r="A5445" s="24">
        <v>45292</v>
      </c>
      <c r="B5445" s="25" t="s">
        <v>117</v>
      </c>
      <c r="C5445" s="25" t="s">
        <v>4</v>
      </c>
      <c r="D5445" s="51">
        <v>6490854</v>
      </c>
    </row>
    <row r="5446" spans="1:4" x14ac:dyDescent="0.2">
      <c r="A5446" s="24">
        <v>45292</v>
      </c>
      <c r="B5446" s="25" t="s">
        <v>117</v>
      </c>
      <c r="C5446" s="25" t="s">
        <v>8</v>
      </c>
      <c r="D5446" s="51">
        <v>504992</v>
      </c>
    </row>
    <row r="5447" spans="1:4" x14ac:dyDescent="0.2">
      <c r="A5447" s="24">
        <v>45292</v>
      </c>
      <c r="B5447" s="25" t="s">
        <v>117</v>
      </c>
      <c r="C5447" s="25" t="s">
        <v>26</v>
      </c>
      <c r="D5447" s="51">
        <v>1204213</v>
      </c>
    </row>
    <row r="5448" spans="1:4" x14ac:dyDescent="0.2">
      <c r="A5448" s="24">
        <v>45292</v>
      </c>
      <c r="B5448" s="25" t="s">
        <v>117</v>
      </c>
      <c r="C5448" s="25" t="s">
        <v>142</v>
      </c>
      <c r="D5448" s="51">
        <v>709668.24</v>
      </c>
    </row>
    <row r="5449" spans="1:4" x14ac:dyDescent="0.2">
      <c r="A5449" s="24">
        <v>45292</v>
      </c>
      <c r="B5449" s="25" t="s">
        <v>117</v>
      </c>
      <c r="C5449" s="25" t="s">
        <v>2</v>
      </c>
      <c r="D5449" s="51">
        <v>9997817.3699999992</v>
      </c>
    </row>
    <row r="5450" spans="1:4" x14ac:dyDescent="0.2">
      <c r="A5450" s="24">
        <v>45292</v>
      </c>
      <c r="B5450" s="25" t="s">
        <v>137</v>
      </c>
      <c r="C5450" s="25" t="s">
        <v>4</v>
      </c>
      <c r="D5450" s="51">
        <v>6712175</v>
      </c>
    </row>
    <row r="5451" spans="1:4" x14ac:dyDescent="0.2">
      <c r="A5451" s="24">
        <v>45292</v>
      </c>
      <c r="B5451" s="25" t="s">
        <v>137</v>
      </c>
      <c r="C5451" s="25" t="s">
        <v>8</v>
      </c>
      <c r="D5451" s="51">
        <v>917397</v>
      </c>
    </row>
    <row r="5452" spans="1:4" x14ac:dyDescent="0.2">
      <c r="A5452" s="24">
        <v>45292</v>
      </c>
      <c r="B5452" s="25" t="s">
        <v>137</v>
      </c>
      <c r="C5452" s="25" t="s">
        <v>26</v>
      </c>
      <c r="D5452" s="51">
        <v>1366438</v>
      </c>
    </row>
    <row r="5453" spans="1:4" x14ac:dyDescent="0.2">
      <c r="A5453" s="24">
        <v>45292</v>
      </c>
      <c r="B5453" s="25" t="s">
        <v>137</v>
      </c>
      <c r="C5453" s="25" t="s">
        <v>142</v>
      </c>
      <c r="D5453" s="51">
        <v>513631.99</v>
      </c>
    </row>
    <row r="5454" spans="1:4" x14ac:dyDescent="0.2">
      <c r="A5454" s="24">
        <v>45292</v>
      </c>
      <c r="B5454" s="25" t="s">
        <v>137</v>
      </c>
      <c r="C5454" s="25" t="s">
        <v>2</v>
      </c>
      <c r="D5454" s="51">
        <v>8614327.75</v>
      </c>
    </row>
    <row r="5455" spans="1:4" x14ac:dyDescent="0.2">
      <c r="A5455" s="24">
        <v>45292</v>
      </c>
      <c r="B5455" s="25" t="s">
        <v>137</v>
      </c>
      <c r="C5455" s="25" t="s">
        <v>143</v>
      </c>
      <c r="D5455" s="51">
        <v>1</v>
      </c>
    </row>
    <row r="5456" spans="1:4" x14ac:dyDescent="0.2">
      <c r="A5456" s="24">
        <v>45292</v>
      </c>
      <c r="B5456" s="25" t="s">
        <v>118</v>
      </c>
      <c r="C5456" s="25" t="s">
        <v>4</v>
      </c>
      <c r="D5456" s="51">
        <v>962874</v>
      </c>
    </row>
    <row r="5457" spans="1:4" x14ac:dyDescent="0.2">
      <c r="A5457" s="24">
        <v>45292</v>
      </c>
      <c r="B5457" s="25" t="s">
        <v>118</v>
      </c>
      <c r="C5457" s="25" t="s">
        <v>8</v>
      </c>
      <c r="D5457" s="51">
        <v>175975</v>
      </c>
    </row>
    <row r="5458" spans="1:4" x14ac:dyDescent="0.2">
      <c r="A5458" s="24">
        <v>45292</v>
      </c>
      <c r="B5458" s="25" t="s">
        <v>118</v>
      </c>
      <c r="C5458" s="25" t="s">
        <v>26</v>
      </c>
      <c r="D5458" s="51">
        <v>190711</v>
      </c>
    </row>
    <row r="5459" spans="1:4" x14ac:dyDescent="0.2">
      <c r="A5459" s="24">
        <v>45292</v>
      </c>
      <c r="B5459" s="25" t="s">
        <v>118</v>
      </c>
      <c r="C5459" s="25" t="s">
        <v>142</v>
      </c>
      <c r="D5459" s="51">
        <v>154756.93</v>
      </c>
    </row>
    <row r="5460" spans="1:4" x14ac:dyDescent="0.2">
      <c r="A5460" s="24">
        <v>45292</v>
      </c>
      <c r="B5460" s="25" t="s">
        <v>118</v>
      </c>
      <c r="C5460" s="25" t="s">
        <v>2</v>
      </c>
      <c r="D5460" s="51">
        <v>1037977.6</v>
      </c>
    </row>
    <row r="5461" spans="1:4" x14ac:dyDescent="0.2">
      <c r="A5461" s="24">
        <v>45292</v>
      </c>
      <c r="B5461" s="25" t="s">
        <v>119</v>
      </c>
      <c r="C5461" s="25" t="s">
        <v>4</v>
      </c>
      <c r="D5461" s="51">
        <v>530796</v>
      </c>
    </row>
    <row r="5462" spans="1:4" x14ac:dyDescent="0.2">
      <c r="A5462" s="24">
        <v>45292</v>
      </c>
      <c r="B5462" s="25" t="s">
        <v>119</v>
      </c>
      <c r="C5462" s="25" t="s">
        <v>8</v>
      </c>
      <c r="D5462" s="51">
        <v>19665</v>
      </c>
    </row>
    <row r="5463" spans="1:4" x14ac:dyDescent="0.2">
      <c r="A5463" s="24">
        <v>45292</v>
      </c>
      <c r="B5463" s="25" t="s">
        <v>119</v>
      </c>
      <c r="C5463" s="25" t="s">
        <v>26</v>
      </c>
      <c r="D5463" s="51">
        <v>98025</v>
      </c>
    </row>
    <row r="5464" spans="1:4" x14ac:dyDescent="0.2">
      <c r="A5464" s="24">
        <v>45292</v>
      </c>
      <c r="B5464" s="25" t="s">
        <v>119</v>
      </c>
      <c r="C5464" s="25" t="s">
        <v>142</v>
      </c>
      <c r="D5464" s="51">
        <v>85017.31</v>
      </c>
    </row>
    <row r="5465" spans="1:4" x14ac:dyDescent="0.2">
      <c r="A5465" s="24">
        <v>45292</v>
      </c>
      <c r="B5465" s="25" t="s">
        <v>119</v>
      </c>
      <c r="C5465" s="25" t="s">
        <v>2</v>
      </c>
      <c r="D5465" s="51">
        <v>729949.72</v>
      </c>
    </row>
    <row r="5466" spans="1:4" x14ac:dyDescent="0.2">
      <c r="A5466" s="24">
        <v>45292</v>
      </c>
      <c r="B5466" s="25" t="s">
        <v>138</v>
      </c>
      <c r="C5466" s="25" t="s">
        <v>4</v>
      </c>
      <c r="D5466" s="51">
        <v>14</v>
      </c>
    </row>
    <row r="5467" spans="1:4" x14ac:dyDescent="0.2">
      <c r="A5467" s="24">
        <v>45292</v>
      </c>
      <c r="B5467" s="25" t="s">
        <v>138</v>
      </c>
      <c r="C5467" s="25" t="s">
        <v>8</v>
      </c>
      <c r="D5467" s="51">
        <v>1</v>
      </c>
    </row>
    <row r="5468" spans="1:4" x14ac:dyDescent="0.2">
      <c r="A5468" s="24">
        <v>45292</v>
      </c>
      <c r="B5468" s="25" t="s">
        <v>138</v>
      </c>
      <c r="C5468" s="25" t="s">
        <v>26</v>
      </c>
      <c r="D5468" s="51">
        <v>8</v>
      </c>
    </row>
    <row r="5469" spans="1:4" x14ac:dyDescent="0.2">
      <c r="A5469" s="24">
        <v>45292</v>
      </c>
      <c r="B5469" s="25" t="s">
        <v>138</v>
      </c>
      <c r="C5469" s="25" t="s">
        <v>2</v>
      </c>
      <c r="D5469" s="51">
        <v>20</v>
      </c>
    </row>
    <row r="5470" spans="1:4" x14ac:dyDescent="0.2">
      <c r="A5470" s="24">
        <v>45292</v>
      </c>
      <c r="B5470" s="25" t="s">
        <v>139</v>
      </c>
      <c r="C5470" s="25" t="s">
        <v>4</v>
      </c>
      <c r="D5470" s="51">
        <v>1223</v>
      </c>
    </row>
    <row r="5471" spans="1:4" x14ac:dyDescent="0.2">
      <c r="A5471" s="24">
        <v>45292</v>
      </c>
      <c r="B5471" s="25" t="s">
        <v>139</v>
      </c>
      <c r="C5471" s="25" t="s">
        <v>8</v>
      </c>
      <c r="D5471" s="51">
        <v>55</v>
      </c>
    </row>
    <row r="5472" spans="1:4" x14ac:dyDescent="0.2">
      <c r="A5472" s="24">
        <v>45292</v>
      </c>
      <c r="B5472" s="25" t="s">
        <v>139</v>
      </c>
      <c r="C5472" s="25" t="s">
        <v>26</v>
      </c>
      <c r="D5472" s="51">
        <v>79</v>
      </c>
    </row>
    <row r="5473" spans="1:4" x14ac:dyDescent="0.2">
      <c r="A5473" s="24">
        <v>45292</v>
      </c>
      <c r="B5473" s="25" t="s">
        <v>139</v>
      </c>
      <c r="C5473" s="25" t="s">
        <v>142</v>
      </c>
      <c r="D5473" s="51">
        <v>21.49</v>
      </c>
    </row>
    <row r="5474" spans="1:4" x14ac:dyDescent="0.2">
      <c r="A5474" s="24">
        <v>45292</v>
      </c>
      <c r="B5474" s="25" t="s">
        <v>139</v>
      </c>
      <c r="C5474" s="25" t="s">
        <v>2</v>
      </c>
      <c r="D5474" s="51">
        <v>1010.51</v>
      </c>
    </row>
    <row r="5475" spans="1:4" x14ac:dyDescent="0.2">
      <c r="A5475" s="24">
        <v>45292</v>
      </c>
      <c r="B5475" s="25" t="s">
        <v>120</v>
      </c>
      <c r="C5475" s="25" t="s">
        <v>4</v>
      </c>
      <c r="D5475" s="51">
        <v>56192</v>
      </c>
    </row>
    <row r="5476" spans="1:4" x14ac:dyDescent="0.2">
      <c r="A5476" s="24">
        <v>45292</v>
      </c>
      <c r="B5476" s="25" t="s">
        <v>120</v>
      </c>
      <c r="C5476" s="25" t="s">
        <v>8</v>
      </c>
      <c r="D5476" s="51">
        <v>4806</v>
      </c>
    </row>
    <row r="5477" spans="1:4" x14ac:dyDescent="0.2">
      <c r="A5477" s="24">
        <v>45292</v>
      </c>
      <c r="B5477" s="25" t="s">
        <v>120</v>
      </c>
      <c r="C5477" s="25" t="s">
        <v>26</v>
      </c>
      <c r="D5477" s="51">
        <v>9390</v>
      </c>
    </row>
    <row r="5478" spans="1:4" x14ac:dyDescent="0.2">
      <c r="A5478" s="24">
        <v>45292</v>
      </c>
      <c r="B5478" s="25" t="s">
        <v>120</v>
      </c>
      <c r="C5478" s="25" t="s">
        <v>142</v>
      </c>
      <c r="D5478" s="51">
        <v>7591.13</v>
      </c>
    </row>
    <row r="5479" spans="1:4" x14ac:dyDescent="0.2">
      <c r="A5479" s="24">
        <v>45292</v>
      </c>
      <c r="B5479" s="25" t="s">
        <v>120</v>
      </c>
      <c r="C5479" s="25" t="s">
        <v>2</v>
      </c>
      <c r="D5479" s="51">
        <v>179906.34</v>
      </c>
    </row>
    <row r="5480" spans="1:4" x14ac:dyDescent="0.2">
      <c r="A5480" s="24">
        <v>45292</v>
      </c>
      <c r="B5480" s="25" t="s">
        <v>121</v>
      </c>
      <c r="C5480" s="25" t="s">
        <v>4</v>
      </c>
      <c r="D5480" s="51">
        <v>27070</v>
      </c>
    </row>
    <row r="5481" spans="1:4" x14ac:dyDescent="0.2">
      <c r="A5481" s="24">
        <v>45292</v>
      </c>
      <c r="B5481" s="25" t="s">
        <v>121</v>
      </c>
      <c r="C5481" s="25" t="s">
        <v>8</v>
      </c>
      <c r="D5481" s="51">
        <v>1994</v>
      </c>
    </row>
    <row r="5482" spans="1:4" x14ac:dyDescent="0.2">
      <c r="A5482" s="24">
        <v>45292</v>
      </c>
      <c r="B5482" s="25" t="s">
        <v>121</v>
      </c>
      <c r="C5482" s="25" t="s">
        <v>26</v>
      </c>
      <c r="D5482" s="51">
        <v>2938</v>
      </c>
    </row>
    <row r="5483" spans="1:4" x14ac:dyDescent="0.2">
      <c r="A5483" s="24">
        <v>45292</v>
      </c>
      <c r="B5483" s="25" t="s">
        <v>121</v>
      </c>
      <c r="C5483" s="25" t="s">
        <v>142</v>
      </c>
      <c r="D5483" s="51">
        <v>1225.17</v>
      </c>
    </row>
    <row r="5484" spans="1:4" x14ac:dyDescent="0.2">
      <c r="A5484" s="24">
        <v>45292</v>
      </c>
      <c r="B5484" s="25" t="s">
        <v>121</v>
      </c>
      <c r="C5484" s="25" t="s">
        <v>2</v>
      </c>
      <c r="D5484" s="51">
        <v>20890.47</v>
      </c>
    </row>
    <row r="5485" spans="1:4" x14ac:dyDescent="0.2">
      <c r="A5485" s="24">
        <v>45292</v>
      </c>
      <c r="B5485" s="25" t="s">
        <v>140</v>
      </c>
      <c r="C5485" s="25" t="s">
        <v>4</v>
      </c>
      <c r="D5485" s="51">
        <v>21799</v>
      </c>
    </row>
    <row r="5486" spans="1:4" x14ac:dyDescent="0.2">
      <c r="A5486" s="24">
        <v>45292</v>
      </c>
      <c r="B5486" s="25" t="s">
        <v>122</v>
      </c>
      <c r="C5486" s="25" t="s">
        <v>4</v>
      </c>
      <c r="D5486" s="51">
        <v>31513</v>
      </c>
    </row>
    <row r="5487" spans="1:4" x14ac:dyDescent="0.2">
      <c r="A5487" s="24">
        <v>45292</v>
      </c>
      <c r="B5487" s="25" t="s">
        <v>122</v>
      </c>
      <c r="C5487" s="25" t="s">
        <v>8</v>
      </c>
      <c r="D5487" s="51">
        <v>619</v>
      </c>
    </row>
    <row r="5488" spans="1:4" x14ac:dyDescent="0.2">
      <c r="A5488" s="24">
        <v>45292</v>
      </c>
      <c r="B5488" s="25" t="s">
        <v>122</v>
      </c>
      <c r="C5488" s="25" t="s">
        <v>26</v>
      </c>
      <c r="D5488" s="51">
        <v>1353</v>
      </c>
    </row>
    <row r="5489" spans="1:4" x14ac:dyDescent="0.2">
      <c r="A5489" s="24">
        <v>45292</v>
      </c>
      <c r="B5489" s="25" t="s">
        <v>122</v>
      </c>
      <c r="C5489" s="25" t="s">
        <v>142</v>
      </c>
      <c r="D5489" s="51">
        <v>3283.05</v>
      </c>
    </row>
    <row r="5490" spans="1:4" x14ac:dyDescent="0.2">
      <c r="A5490" s="24">
        <v>45292</v>
      </c>
      <c r="B5490" s="25" t="s">
        <v>122</v>
      </c>
      <c r="C5490" s="25" t="s">
        <v>2</v>
      </c>
      <c r="D5490" s="51">
        <v>24056.89</v>
      </c>
    </row>
    <row r="5491" spans="1:4" x14ac:dyDescent="0.2">
      <c r="A5491" s="24">
        <v>45292</v>
      </c>
      <c r="B5491" s="25" t="s">
        <v>123</v>
      </c>
      <c r="C5491" s="25" t="s">
        <v>4</v>
      </c>
      <c r="D5491" s="51">
        <v>3067553</v>
      </c>
    </row>
    <row r="5492" spans="1:4" x14ac:dyDescent="0.2">
      <c r="A5492" s="24">
        <v>45292</v>
      </c>
      <c r="B5492" s="25" t="s">
        <v>123</v>
      </c>
      <c r="C5492" s="25" t="s">
        <v>8</v>
      </c>
      <c r="D5492" s="51">
        <v>212137</v>
      </c>
    </row>
    <row r="5493" spans="1:4" x14ac:dyDescent="0.2">
      <c r="A5493" s="24">
        <v>45292</v>
      </c>
      <c r="B5493" s="25" t="s">
        <v>123</v>
      </c>
      <c r="C5493" s="25" t="s">
        <v>26</v>
      </c>
      <c r="D5493" s="51">
        <v>402929</v>
      </c>
    </row>
    <row r="5494" spans="1:4" x14ac:dyDescent="0.2">
      <c r="A5494" s="24">
        <v>45292</v>
      </c>
      <c r="B5494" s="25" t="s">
        <v>123</v>
      </c>
      <c r="C5494" s="25" t="s">
        <v>142</v>
      </c>
      <c r="D5494" s="51">
        <v>133813.21</v>
      </c>
    </row>
    <row r="5495" spans="1:4" x14ac:dyDescent="0.2">
      <c r="A5495" s="24">
        <v>45292</v>
      </c>
      <c r="B5495" s="25" t="s">
        <v>123</v>
      </c>
      <c r="C5495" s="25" t="s">
        <v>2</v>
      </c>
      <c r="D5495" s="51">
        <v>2200208.15</v>
      </c>
    </row>
    <row r="5496" spans="1:4" x14ac:dyDescent="0.2">
      <c r="A5496" s="24">
        <v>45292</v>
      </c>
      <c r="B5496" s="25" t="s">
        <v>124</v>
      </c>
      <c r="C5496" s="25" t="s">
        <v>8</v>
      </c>
      <c r="D5496" s="51">
        <v>39508</v>
      </c>
    </row>
    <row r="5497" spans="1:4" x14ac:dyDescent="0.2">
      <c r="A5497" s="24">
        <v>45292</v>
      </c>
      <c r="B5497" s="25" t="s">
        <v>125</v>
      </c>
      <c r="C5497" s="25" t="s">
        <v>8</v>
      </c>
      <c r="D5497" s="51">
        <v>26479</v>
      </c>
    </row>
    <row r="5498" spans="1:4" x14ac:dyDescent="0.2">
      <c r="A5498" s="24">
        <v>45292</v>
      </c>
      <c r="B5498" s="25" t="s">
        <v>127</v>
      </c>
      <c r="C5498" s="25" t="s">
        <v>26</v>
      </c>
      <c r="D5498" s="51">
        <v>5101</v>
      </c>
    </row>
    <row r="5499" spans="1:4" x14ac:dyDescent="0.2">
      <c r="A5499" s="24">
        <v>45292</v>
      </c>
      <c r="B5499" s="25" t="s">
        <v>128</v>
      </c>
      <c r="C5499" s="25" t="s">
        <v>26</v>
      </c>
      <c r="D5499" s="51">
        <v>3566</v>
      </c>
    </row>
    <row r="5500" spans="1:4" x14ac:dyDescent="0.2">
      <c r="A5500" s="24">
        <v>45292</v>
      </c>
      <c r="B5500" s="25" t="s">
        <v>129</v>
      </c>
      <c r="C5500" s="25" t="s">
        <v>142</v>
      </c>
      <c r="D5500" s="51">
        <v>4333.3</v>
      </c>
    </row>
    <row r="5501" spans="1:4" x14ac:dyDescent="0.2">
      <c r="A5501" s="24">
        <v>45292</v>
      </c>
      <c r="B5501" s="25" t="s">
        <v>129</v>
      </c>
      <c r="C5501" s="25" t="s">
        <v>2</v>
      </c>
      <c r="D5501" s="51">
        <v>92385.08</v>
      </c>
    </row>
    <row r="5502" spans="1:4" x14ac:dyDescent="0.2">
      <c r="A5502" s="24">
        <v>45292</v>
      </c>
      <c r="B5502" s="25" t="s">
        <v>130</v>
      </c>
      <c r="C5502" s="25" t="s">
        <v>142</v>
      </c>
      <c r="D5502" s="51">
        <v>7548.03</v>
      </c>
    </row>
    <row r="5503" spans="1:4" x14ac:dyDescent="0.2">
      <c r="A5503" s="24">
        <v>45292</v>
      </c>
      <c r="B5503" s="25" t="s">
        <v>130</v>
      </c>
      <c r="C5503" s="25" t="s">
        <v>2</v>
      </c>
      <c r="D5503" s="51">
        <v>72588.81</v>
      </c>
    </row>
    <row r="5504" spans="1:4" x14ac:dyDescent="0.2">
      <c r="A5504" s="24">
        <v>45292</v>
      </c>
      <c r="B5504" s="25" t="s">
        <v>144</v>
      </c>
      <c r="C5504" s="25" t="s">
        <v>4</v>
      </c>
      <c r="D5504" s="51">
        <v>52</v>
      </c>
    </row>
    <row r="5505" spans="1:4" x14ac:dyDescent="0.2">
      <c r="A5505" s="24">
        <v>45292</v>
      </c>
      <c r="B5505" s="25" t="s">
        <v>144</v>
      </c>
      <c r="C5505" s="25" t="s">
        <v>26</v>
      </c>
      <c r="D5505" s="51">
        <v>11</v>
      </c>
    </row>
    <row r="5506" spans="1:4" x14ac:dyDescent="0.2">
      <c r="A5506" s="24">
        <v>45292</v>
      </c>
      <c r="B5506" s="25" t="s">
        <v>144</v>
      </c>
      <c r="C5506" s="25" t="s">
        <v>142</v>
      </c>
      <c r="D5506" s="51">
        <v>7</v>
      </c>
    </row>
    <row r="5507" spans="1:4" x14ac:dyDescent="0.2">
      <c r="A5507" s="24">
        <v>45292</v>
      </c>
      <c r="B5507" s="25" t="s">
        <v>144</v>
      </c>
      <c r="C5507" s="25" t="s">
        <v>2</v>
      </c>
      <c r="D5507" s="51">
        <v>78</v>
      </c>
    </row>
    <row r="5508" spans="1:4" x14ac:dyDescent="0.2">
      <c r="A5508" s="24">
        <v>45658</v>
      </c>
      <c r="B5508" s="25" t="s">
        <v>117</v>
      </c>
      <c r="C5508" s="25" t="s">
        <v>4</v>
      </c>
      <c r="D5508" s="51">
        <v>6044179</v>
      </c>
    </row>
    <row r="5509" spans="1:4" x14ac:dyDescent="0.2">
      <c r="A5509" s="24">
        <v>45658</v>
      </c>
      <c r="B5509" s="25" t="s">
        <v>117</v>
      </c>
      <c r="C5509" s="25" t="s">
        <v>8</v>
      </c>
      <c r="D5509" s="51">
        <v>429956</v>
      </c>
    </row>
    <row r="5510" spans="1:4" x14ac:dyDescent="0.2">
      <c r="A5510" s="24">
        <v>45658</v>
      </c>
      <c r="B5510" s="25" t="s">
        <v>117</v>
      </c>
      <c r="C5510" s="25" t="s">
        <v>26</v>
      </c>
      <c r="D5510" s="51">
        <v>1170260</v>
      </c>
    </row>
    <row r="5511" spans="1:4" x14ac:dyDescent="0.2">
      <c r="A5511" s="24">
        <v>45658</v>
      </c>
      <c r="B5511" s="25" t="s">
        <v>117</v>
      </c>
      <c r="C5511" s="25" t="s">
        <v>142</v>
      </c>
      <c r="D5511" s="51">
        <v>1983875.9</v>
      </c>
    </row>
    <row r="5512" spans="1:4" x14ac:dyDescent="0.2">
      <c r="A5512" s="24">
        <v>45658</v>
      </c>
      <c r="B5512" s="25" t="s">
        <v>117</v>
      </c>
      <c r="C5512" s="25" t="s">
        <v>2</v>
      </c>
      <c r="D5512" s="51">
        <v>8140462.0099999998</v>
      </c>
    </row>
    <row r="5513" spans="1:4" x14ac:dyDescent="0.2">
      <c r="A5513" s="24">
        <v>45658</v>
      </c>
      <c r="B5513" s="25" t="s">
        <v>137</v>
      </c>
      <c r="C5513" s="25" t="s">
        <v>4</v>
      </c>
      <c r="D5513" s="51">
        <v>7220103</v>
      </c>
    </row>
    <row r="5514" spans="1:4" x14ac:dyDescent="0.2">
      <c r="A5514" s="24">
        <v>45658</v>
      </c>
      <c r="B5514" s="25" t="s">
        <v>137</v>
      </c>
      <c r="C5514" s="25" t="s">
        <v>8</v>
      </c>
      <c r="D5514" s="51">
        <v>980658</v>
      </c>
    </row>
    <row r="5515" spans="1:4" x14ac:dyDescent="0.2">
      <c r="A5515" s="24">
        <v>45658</v>
      </c>
      <c r="B5515" s="25" t="s">
        <v>137</v>
      </c>
      <c r="C5515" s="25" t="s">
        <v>26</v>
      </c>
      <c r="D5515" s="51">
        <v>1523525</v>
      </c>
    </row>
    <row r="5516" spans="1:4" x14ac:dyDescent="0.2">
      <c r="A5516" s="24">
        <v>45658</v>
      </c>
      <c r="B5516" s="25" t="s">
        <v>137</v>
      </c>
      <c r="C5516" s="25" t="s">
        <v>142</v>
      </c>
      <c r="D5516" s="51">
        <v>2089650.29</v>
      </c>
    </row>
    <row r="5517" spans="1:4" x14ac:dyDescent="0.2">
      <c r="A5517" s="24">
        <v>45658</v>
      </c>
      <c r="B5517" s="25" t="s">
        <v>137</v>
      </c>
      <c r="C5517" s="25" t="s">
        <v>2</v>
      </c>
      <c r="D5517" s="51">
        <v>7869879.4100000001</v>
      </c>
    </row>
    <row r="5518" spans="1:4" x14ac:dyDescent="0.2">
      <c r="A5518" s="24">
        <v>45658</v>
      </c>
      <c r="B5518" s="25" t="s">
        <v>118</v>
      </c>
      <c r="C5518" s="25" t="s">
        <v>4</v>
      </c>
      <c r="D5518" s="51">
        <v>877765</v>
      </c>
    </row>
    <row r="5519" spans="1:4" x14ac:dyDescent="0.2">
      <c r="A5519" s="24">
        <v>45658</v>
      </c>
      <c r="B5519" s="25" t="s">
        <v>118</v>
      </c>
      <c r="C5519" s="25" t="s">
        <v>8</v>
      </c>
      <c r="D5519" s="51">
        <v>156119</v>
      </c>
    </row>
    <row r="5520" spans="1:4" x14ac:dyDescent="0.2">
      <c r="A5520" s="24">
        <v>45658</v>
      </c>
      <c r="B5520" s="25" t="s">
        <v>118</v>
      </c>
      <c r="C5520" s="25" t="s">
        <v>26</v>
      </c>
      <c r="D5520" s="51">
        <v>191511</v>
      </c>
    </row>
    <row r="5521" spans="1:4" x14ac:dyDescent="0.2">
      <c r="A5521" s="24">
        <v>45658</v>
      </c>
      <c r="B5521" s="25" t="s">
        <v>118</v>
      </c>
      <c r="C5521" s="25" t="s">
        <v>142</v>
      </c>
      <c r="D5521" s="51">
        <v>312250.88</v>
      </c>
    </row>
    <row r="5522" spans="1:4" x14ac:dyDescent="0.2">
      <c r="A5522" s="24">
        <v>45658</v>
      </c>
      <c r="B5522" s="25" t="s">
        <v>118</v>
      </c>
      <c r="C5522" s="25" t="s">
        <v>2</v>
      </c>
      <c r="D5522" s="51">
        <v>858312.87</v>
      </c>
    </row>
    <row r="5523" spans="1:4" x14ac:dyDescent="0.2">
      <c r="A5523" s="24">
        <v>45658</v>
      </c>
      <c r="B5523" s="25" t="s">
        <v>119</v>
      </c>
      <c r="C5523" s="25" t="s">
        <v>4</v>
      </c>
      <c r="D5523" s="51">
        <v>578418</v>
      </c>
    </row>
    <row r="5524" spans="1:4" x14ac:dyDescent="0.2">
      <c r="A5524" s="24">
        <v>45658</v>
      </c>
      <c r="B5524" s="25" t="s">
        <v>119</v>
      </c>
      <c r="C5524" s="25" t="s">
        <v>8</v>
      </c>
      <c r="D5524" s="51">
        <v>20517</v>
      </c>
    </row>
    <row r="5525" spans="1:4" x14ac:dyDescent="0.2">
      <c r="A5525" s="24">
        <v>45658</v>
      </c>
      <c r="B5525" s="25" t="s">
        <v>119</v>
      </c>
      <c r="C5525" s="25" t="s">
        <v>26</v>
      </c>
      <c r="D5525" s="51">
        <v>105747</v>
      </c>
    </row>
    <row r="5526" spans="1:4" x14ac:dyDescent="0.2">
      <c r="A5526" s="24">
        <v>45658</v>
      </c>
      <c r="B5526" s="25" t="s">
        <v>119</v>
      </c>
      <c r="C5526" s="25" t="s">
        <v>142</v>
      </c>
      <c r="D5526" s="51">
        <v>231873.12</v>
      </c>
    </row>
    <row r="5527" spans="1:4" x14ac:dyDescent="0.2">
      <c r="A5527" s="24">
        <v>45658</v>
      </c>
      <c r="B5527" s="25" t="s">
        <v>119</v>
      </c>
      <c r="C5527" s="25" t="s">
        <v>2</v>
      </c>
      <c r="D5527" s="51">
        <v>668070.53</v>
      </c>
    </row>
    <row r="5528" spans="1:4" x14ac:dyDescent="0.2">
      <c r="A5528" s="24">
        <v>45658</v>
      </c>
      <c r="B5528" s="25" t="s">
        <v>138</v>
      </c>
      <c r="C5528" s="25" t="s">
        <v>4</v>
      </c>
      <c r="D5528" s="51">
        <v>2</v>
      </c>
    </row>
    <row r="5529" spans="1:4" x14ac:dyDescent="0.2">
      <c r="A5529" s="24">
        <v>45658</v>
      </c>
      <c r="B5529" s="25" t="s">
        <v>138</v>
      </c>
      <c r="C5529" s="25" t="s">
        <v>142</v>
      </c>
      <c r="D5529" s="51">
        <v>0.2</v>
      </c>
    </row>
    <row r="5530" spans="1:4" x14ac:dyDescent="0.2">
      <c r="A5530" s="24">
        <v>45658</v>
      </c>
      <c r="B5530" s="25" t="s">
        <v>138</v>
      </c>
      <c r="C5530" s="25" t="s">
        <v>2</v>
      </c>
      <c r="D5530" s="51">
        <v>6.8</v>
      </c>
    </row>
    <row r="5531" spans="1:4" x14ac:dyDescent="0.2">
      <c r="A5531" s="24">
        <v>45658</v>
      </c>
      <c r="B5531" s="25" t="s">
        <v>139</v>
      </c>
      <c r="C5531" s="25" t="s">
        <v>4</v>
      </c>
      <c r="D5531" s="51">
        <v>860</v>
      </c>
    </row>
    <row r="5532" spans="1:4" x14ac:dyDescent="0.2">
      <c r="A5532" s="24">
        <v>45658</v>
      </c>
      <c r="B5532" s="25" t="s">
        <v>139</v>
      </c>
      <c r="C5532" s="25" t="s">
        <v>8</v>
      </c>
      <c r="D5532" s="51">
        <v>39</v>
      </c>
    </row>
    <row r="5533" spans="1:4" x14ac:dyDescent="0.2">
      <c r="A5533" s="24">
        <v>45658</v>
      </c>
      <c r="B5533" s="25" t="s">
        <v>139</v>
      </c>
      <c r="C5533" s="25" t="s">
        <v>26</v>
      </c>
      <c r="D5533" s="51">
        <v>83</v>
      </c>
    </row>
    <row r="5534" spans="1:4" x14ac:dyDescent="0.2">
      <c r="A5534" s="24">
        <v>45658</v>
      </c>
      <c r="B5534" s="25" t="s">
        <v>139</v>
      </c>
      <c r="C5534" s="25" t="s">
        <v>142</v>
      </c>
      <c r="D5534" s="51">
        <v>37.81</v>
      </c>
    </row>
    <row r="5535" spans="1:4" x14ac:dyDescent="0.2">
      <c r="A5535" s="24">
        <v>45658</v>
      </c>
      <c r="B5535" s="25" t="s">
        <v>139</v>
      </c>
      <c r="C5535" s="25" t="s">
        <v>2</v>
      </c>
      <c r="D5535" s="51">
        <v>779.2</v>
      </c>
    </row>
    <row r="5536" spans="1:4" x14ac:dyDescent="0.2">
      <c r="A5536" s="24">
        <v>45658</v>
      </c>
      <c r="B5536" s="25" t="s">
        <v>120</v>
      </c>
      <c r="C5536" s="25" t="s">
        <v>4</v>
      </c>
      <c r="D5536" s="51">
        <v>72047</v>
      </c>
    </row>
    <row r="5537" spans="1:4" x14ac:dyDescent="0.2">
      <c r="A5537" s="24">
        <v>45658</v>
      </c>
      <c r="B5537" s="25" t="s">
        <v>120</v>
      </c>
      <c r="C5537" s="25" t="s">
        <v>8</v>
      </c>
      <c r="D5537" s="51">
        <v>5753</v>
      </c>
    </row>
    <row r="5538" spans="1:4" x14ac:dyDescent="0.2">
      <c r="A5538" s="24">
        <v>45658</v>
      </c>
      <c r="B5538" s="25" t="s">
        <v>120</v>
      </c>
      <c r="C5538" s="25" t="s">
        <v>26</v>
      </c>
      <c r="D5538" s="51">
        <v>12439</v>
      </c>
    </row>
    <row r="5539" spans="1:4" x14ac:dyDescent="0.2">
      <c r="A5539" s="24">
        <v>45658</v>
      </c>
      <c r="B5539" s="25" t="s">
        <v>120</v>
      </c>
      <c r="C5539" s="25" t="s">
        <v>142</v>
      </c>
      <c r="D5539" s="51">
        <v>36203.480000000003</v>
      </c>
    </row>
    <row r="5540" spans="1:4" x14ac:dyDescent="0.2">
      <c r="A5540" s="24">
        <v>45658</v>
      </c>
      <c r="B5540" s="25" t="s">
        <v>120</v>
      </c>
      <c r="C5540" s="25" t="s">
        <v>2</v>
      </c>
      <c r="D5540" s="51">
        <v>169448.86</v>
      </c>
    </row>
    <row r="5541" spans="1:4" x14ac:dyDescent="0.2">
      <c r="A5541" s="24">
        <v>45658</v>
      </c>
      <c r="B5541" s="25" t="s">
        <v>121</v>
      </c>
      <c r="C5541" s="25" t="s">
        <v>4</v>
      </c>
      <c r="D5541" s="51">
        <v>28048</v>
      </c>
    </row>
    <row r="5542" spans="1:4" x14ac:dyDescent="0.2">
      <c r="A5542" s="24">
        <v>45658</v>
      </c>
      <c r="B5542" s="25" t="s">
        <v>121</v>
      </c>
      <c r="C5542" s="25" t="s">
        <v>8</v>
      </c>
      <c r="D5542" s="51">
        <v>2043</v>
      </c>
    </row>
    <row r="5543" spans="1:4" x14ac:dyDescent="0.2">
      <c r="A5543" s="24">
        <v>45658</v>
      </c>
      <c r="B5543" s="25" t="s">
        <v>121</v>
      </c>
      <c r="C5543" s="25" t="s">
        <v>26</v>
      </c>
      <c r="D5543" s="51">
        <v>3575</v>
      </c>
    </row>
    <row r="5544" spans="1:4" x14ac:dyDescent="0.2">
      <c r="A5544" s="24">
        <v>45658</v>
      </c>
      <c r="B5544" s="25" t="s">
        <v>121</v>
      </c>
      <c r="C5544" s="25" t="s">
        <v>142</v>
      </c>
      <c r="D5544" s="51">
        <v>5024.5</v>
      </c>
    </row>
    <row r="5545" spans="1:4" x14ac:dyDescent="0.2">
      <c r="A5545" s="24">
        <v>45658</v>
      </c>
      <c r="B5545" s="25" t="s">
        <v>121</v>
      </c>
      <c r="C5545" s="25" t="s">
        <v>2</v>
      </c>
      <c r="D5545" s="51">
        <v>19982.759999999998</v>
      </c>
    </row>
    <row r="5546" spans="1:4" x14ac:dyDescent="0.2">
      <c r="A5546" s="24">
        <v>45658</v>
      </c>
      <c r="B5546" s="25" t="s">
        <v>140</v>
      </c>
      <c r="C5546" s="25" t="s">
        <v>4</v>
      </c>
      <c r="D5546" s="51">
        <v>13044</v>
      </c>
    </row>
    <row r="5547" spans="1:4" x14ac:dyDescent="0.2">
      <c r="A5547" s="24">
        <v>45658</v>
      </c>
      <c r="B5547" s="25" t="s">
        <v>122</v>
      </c>
      <c r="C5547" s="25" t="s">
        <v>4</v>
      </c>
      <c r="D5547" s="51">
        <v>11081</v>
      </c>
    </row>
    <row r="5548" spans="1:4" x14ac:dyDescent="0.2">
      <c r="A5548" s="24">
        <v>45658</v>
      </c>
      <c r="B5548" s="25" t="s">
        <v>122</v>
      </c>
      <c r="C5548" s="25" t="s">
        <v>8</v>
      </c>
      <c r="D5548" s="51">
        <v>235</v>
      </c>
    </row>
    <row r="5549" spans="1:4" x14ac:dyDescent="0.2">
      <c r="A5549" s="24">
        <v>45658</v>
      </c>
      <c r="B5549" s="25" t="s">
        <v>122</v>
      </c>
      <c r="C5549" s="25" t="s">
        <v>26</v>
      </c>
      <c r="D5549" s="51">
        <v>504</v>
      </c>
    </row>
    <row r="5550" spans="1:4" x14ac:dyDescent="0.2">
      <c r="A5550" s="24">
        <v>45658</v>
      </c>
      <c r="B5550" s="25" t="s">
        <v>122</v>
      </c>
      <c r="C5550" s="25" t="s">
        <v>142</v>
      </c>
      <c r="D5550" s="51">
        <v>3243.24</v>
      </c>
    </row>
    <row r="5551" spans="1:4" x14ac:dyDescent="0.2">
      <c r="A5551" s="24">
        <v>45658</v>
      </c>
      <c r="B5551" s="25" t="s">
        <v>122</v>
      </c>
      <c r="C5551" s="25" t="s">
        <v>2</v>
      </c>
      <c r="D5551" s="51">
        <v>9234.73</v>
      </c>
    </row>
    <row r="5552" spans="1:4" x14ac:dyDescent="0.2">
      <c r="A5552" s="24">
        <v>45658</v>
      </c>
      <c r="B5552" s="25" t="s">
        <v>123</v>
      </c>
      <c r="C5552" s="25" t="s">
        <v>4</v>
      </c>
      <c r="D5552" s="51">
        <v>3131772</v>
      </c>
    </row>
    <row r="5553" spans="1:4" x14ac:dyDescent="0.2">
      <c r="A5553" s="24">
        <v>45658</v>
      </c>
      <c r="B5553" s="25" t="s">
        <v>123</v>
      </c>
      <c r="C5553" s="25" t="s">
        <v>8</v>
      </c>
      <c r="D5553" s="51">
        <v>202016</v>
      </c>
    </row>
    <row r="5554" spans="1:4" x14ac:dyDescent="0.2">
      <c r="A5554" s="24">
        <v>45658</v>
      </c>
      <c r="B5554" s="25" t="s">
        <v>123</v>
      </c>
      <c r="C5554" s="25" t="s">
        <v>26</v>
      </c>
      <c r="D5554" s="51">
        <v>461800</v>
      </c>
    </row>
    <row r="5555" spans="1:4" x14ac:dyDescent="0.2">
      <c r="A5555" s="24">
        <v>45658</v>
      </c>
      <c r="B5555" s="25" t="s">
        <v>123</v>
      </c>
      <c r="C5555" s="25" t="s">
        <v>142</v>
      </c>
      <c r="D5555" s="51">
        <v>422771.08</v>
      </c>
    </row>
    <row r="5556" spans="1:4" x14ac:dyDescent="0.2">
      <c r="A5556" s="24">
        <v>45658</v>
      </c>
      <c r="B5556" s="25" t="s">
        <v>123</v>
      </c>
      <c r="C5556" s="25" t="s">
        <v>2</v>
      </c>
      <c r="D5556" s="51">
        <v>2072169.88</v>
      </c>
    </row>
    <row r="5557" spans="1:4" x14ac:dyDescent="0.2">
      <c r="A5557" s="24">
        <v>45658</v>
      </c>
      <c r="B5557" s="25" t="s">
        <v>124</v>
      </c>
      <c r="C5557" s="25" t="s">
        <v>8</v>
      </c>
      <c r="D5557" s="51">
        <v>37493</v>
      </c>
    </row>
    <row r="5558" spans="1:4" x14ac:dyDescent="0.2">
      <c r="A5558" s="24">
        <v>45658</v>
      </c>
      <c r="B5558" s="25" t="s">
        <v>125</v>
      </c>
      <c r="C5558" s="25" t="s">
        <v>8</v>
      </c>
      <c r="D5558" s="51">
        <v>25159</v>
      </c>
    </row>
    <row r="5559" spans="1:4" x14ac:dyDescent="0.2">
      <c r="A5559" s="24">
        <v>45658</v>
      </c>
      <c r="B5559" s="25" t="s">
        <v>127</v>
      </c>
      <c r="C5559" s="25" t="s">
        <v>26</v>
      </c>
      <c r="D5559" s="51">
        <v>5223</v>
      </c>
    </row>
    <row r="5560" spans="1:4" x14ac:dyDescent="0.2">
      <c r="A5560" s="24">
        <v>45658</v>
      </c>
      <c r="B5560" s="25" t="s">
        <v>128</v>
      </c>
      <c r="C5560" s="25" t="s">
        <v>26</v>
      </c>
      <c r="D5560" s="51">
        <v>3652</v>
      </c>
    </row>
    <row r="5561" spans="1:4" x14ac:dyDescent="0.2">
      <c r="A5561" s="24">
        <v>45658</v>
      </c>
      <c r="B5561" s="25" t="s">
        <v>129</v>
      </c>
      <c r="C5561" s="25" t="s">
        <v>142</v>
      </c>
      <c r="D5561" s="51">
        <v>12779.39</v>
      </c>
    </row>
    <row r="5562" spans="1:4" x14ac:dyDescent="0.2">
      <c r="A5562" s="24">
        <v>45658</v>
      </c>
      <c r="B5562" s="25" t="s">
        <v>129</v>
      </c>
      <c r="C5562" s="25" t="s">
        <v>2</v>
      </c>
      <c r="D5562" s="51">
        <v>73619.240000000005</v>
      </c>
    </row>
    <row r="5563" spans="1:4" x14ac:dyDescent="0.2">
      <c r="A5563" s="24">
        <v>45658</v>
      </c>
      <c r="B5563" s="25" t="s">
        <v>130</v>
      </c>
      <c r="C5563" s="25" t="s">
        <v>142</v>
      </c>
      <c r="D5563" s="51">
        <v>19320.55</v>
      </c>
    </row>
    <row r="5564" spans="1:4" x14ac:dyDescent="0.2">
      <c r="A5564" s="24">
        <v>45658</v>
      </c>
      <c r="B5564" s="25" t="s">
        <v>130</v>
      </c>
      <c r="C5564" s="25" t="s">
        <v>2</v>
      </c>
      <c r="D5564" s="51">
        <v>62901.32</v>
      </c>
    </row>
    <row r="5565" spans="1:4" x14ac:dyDescent="0.2">
      <c r="A5565" s="24">
        <v>45658</v>
      </c>
      <c r="B5565" s="25" t="s">
        <v>144</v>
      </c>
      <c r="C5565" s="25" t="s">
        <v>4</v>
      </c>
      <c r="D5565" s="51">
        <v>20</v>
      </c>
    </row>
    <row r="5566" spans="1:4" x14ac:dyDescent="0.2">
      <c r="A5566" s="24">
        <v>45658</v>
      </c>
      <c r="B5566" s="25" t="s">
        <v>144</v>
      </c>
      <c r="C5566" s="25" t="s">
        <v>8</v>
      </c>
      <c r="D5566" s="51">
        <v>5</v>
      </c>
    </row>
    <row r="5567" spans="1:4" x14ac:dyDescent="0.2">
      <c r="A5567" s="24">
        <v>45658</v>
      </c>
      <c r="B5567" s="25" t="s">
        <v>144</v>
      </c>
      <c r="C5567" s="25" t="s">
        <v>26</v>
      </c>
      <c r="D5567" s="51">
        <v>6</v>
      </c>
    </row>
    <row r="5568" spans="1:4" x14ac:dyDescent="0.2">
      <c r="A5568" s="24">
        <v>45658</v>
      </c>
      <c r="B5568" s="25" t="s">
        <v>144</v>
      </c>
      <c r="C5568" s="25" t="s">
        <v>142</v>
      </c>
      <c r="D5568" s="51">
        <v>3</v>
      </c>
    </row>
    <row r="5569" spans="1:4" x14ac:dyDescent="0.2">
      <c r="A5569" s="24">
        <v>45658</v>
      </c>
      <c r="B5569" s="25" t="s">
        <v>144</v>
      </c>
      <c r="C5569" s="25" t="s">
        <v>2</v>
      </c>
      <c r="D5569" s="51">
        <v>8</v>
      </c>
    </row>
    <row r="5570" spans="1:4" x14ac:dyDescent="0.2">
      <c r="A5570" s="24">
        <v>45474</v>
      </c>
      <c r="B5570" s="25" t="s">
        <v>117</v>
      </c>
      <c r="C5570" s="25" t="s">
        <v>4</v>
      </c>
      <c r="D5570" s="51">
        <v>6947617</v>
      </c>
    </row>
    <row r="5571" spans="1:4" x14ac:dyDescent="0.2">
      <c r="A5571" s="24">
        <v>45474</v>
      </c>
      <c r="B5571" s="25" t="s">
        <v>117</v>
      </c>
      <c r="C5571" s="25" t="s">
        <v>8</v>
      </c>
      <c r="D5571" s="51">
        <v>358779</v>
      </c>
    </row>
    <row r="5572" spans="1:4" x14ac:dyDescent="0.2">
      <c r="A5572" s="24">
        <v>45474</v>
      </c>
      <c r="B5572" s="25" t="s">
        <v>117</v>
      </c>
      <c r="C5572" s="25" t="s">
        <v>26</v>
      </c>
      <c r="D5572" s="51">
        <v>1105263</v>
      </c>
    </row>
    <row r="5573" spans="1:4" x14ac:dyDescent="0.2">
      <c r="A5573" s="24">
        <v>45474</v>
      </c>
      <c r="B5573" s="25" t="s">
        <v>117</v>
      </c>
      <c r="C5573" s="25" t="s">
        <v>142</v>
      </c>
      <c r="D5573" s="51">
        <v>901463.26</v>
      </c>
    </row>
    <row r="5574" spans="1:4" x14ac:dyDescent="0.2">
      <c r="A5574" s="24">
        <v>45474</v>
      </c>
      <c r="B5574" s="25" t="s">
        <v>117</v>
      </c>
      <c r="C5574" s="25" t="s">
        <v>2</v>
      </c>
      <c r="D5574" s="51">
        <v>11423594.300000001</v>
      </c>
    </row>
    <row r="5575" spans="1:4" x14ac:dyDescent="0.2">
      <c r="A5575" s="24">
        <v>45474</v>
      </c>
      <c r="B5575" s="25" t="s">
        <v>117</v>
      </c>
      <c r="C5575" s="25" t="s">
        <v>143</v>
      </c>
      <c r="D5575" s="51">
        <v>11</v>
      </c>
    </row>
    <row r="5576" spans="1:4" x14ac:dyDescent="0.2">
      <c r="A5576" s="24">
        <v>45474</v>
      </c>
      <c r="B5576" s="25" t="s">
        <v>137</v>
      </c>
      <c r="C5576" s="25" t="s">
        <v>4</v>
      </c>
      <c r="D5576" s="51">
        <v>6975633</v>
      </c>
    </row>
    <row r="5577" spans="1:4" x14ac:dyDescent="0.2">
      <c r="A5577" s="24">
        <v>45474</v>
      </c>
      <c r="B5577" s="25" t="s">
        <v>137</v>
      </c>
      <c r="C5577" s="25" t="s">
        <v>8</v>
      </c>
      <c r="D5577" s="51">
        <v>625839</v>
      </c>
    </row>
    <row r="5578" spans="1:4" x14ac:dyDescent="0.2">
      <c r="A5578" s="24">
        <v>45474</v>
      </c>
      <c r="B5578" s="25" t="s">
        <v>137</v>
      </c>
      <c r="C5578" s="25" t="s">
        <v>26</v>
      </c>
      <c r="D5578" s="51">
        <v>1286505</v>
      </c>
    </row>
    <row r="5579" spans="1:4" x14ac:dyDescent="0.2">
      <c r="A5579" s="24">
        <v>45474</v>
      </c>
      <c r="B5579" s="25" t="s">
        <v>137</v>
      </c>
      <c r="C5579" s="25" t="s">
        <v>142</v>
      </c>
      <c r="D5579" s="51">
        <v>662892.42000000004</v>
      </c>
    </row>
    <row r="5580" spans="1:4" x14ac:dyDescent="0.2">
      <c r="A5580" s="24">
        <v>45474</v>
      </c>
      <c r="B5580" s="25" t="s">
        <v>137</v>
      </c>
      <c r="C5580" s="25" t="s">
        <v>2</v>
      </c>
      <c r="D5580" s="51">
        <v>9888563.3599999994</v>
      </c>
    </row>
    <row r="5581" spans="1:4" x14ac:dyDescent="0.2">
      <c r="A5581" s="24">
        <v>45474</v>
      </c>
      <c r="B5581" s="25" t="s">
        <v>137</v>
      </c>
      <c r="C5581" s="25" t="s">
        <v>143</v>
      </c>
      <c r="D5581" s="51">
        <v>33</v>
      </c>
    </row>
    <row r="5582" spans="1:4" x14ac:dyDescent="0.2">
      <c r="A5582" s="24">
        <v>45474</v>
      </c>
      <c r="B5582" s="25" t="s">
        <v>118</v>
      </c>
      <c r="C5582" s="25" t="s">
        <v>4</v>
      </c>
      <c r="D5582" s="51">
        <v>817772</v>
      </c>
    </row>
    <row r="5583" spans="1:4" x14ac:dyDescent="0.2">
      <c r="A5583" s="24">
        <v>45474</v>
      </c>
      <c r="B5583" s="25" t="s">
        <v>118</v>
      </c>
      <c r="C5583" s="25" t="s">
        <v>8</v>
      </c>
      <c r="D5583" s="51">
        <v>111866</v>
      </c>
    </row>
    <row r="5584" spans="1:4" x14ac:dyDescent="0.2">
      <c r="A5584" s="24">
        <v>45474</v>
      </c>
      <c r="B5584" s="25" t="s">
        <v>118</v>
      </c>
      <c r="C5584" s="25" t="s">
        <v>26</v>
      </c>
      <c r="D5584" s="51">
        <v>141597</v>
      </c>
    </row>
    <row r="5585" spans="1:4" x14ac:dyDescent="0.2">
      <c r="A5585" s="24">
        <v>45474</v>
      </c>
      <c r="B5585" s="25" t="s">
        <v>118</v>
      </c>
      <c r="C5585" s="25" t="s">
        <v>142</v>
      </c>
      <c r="D5585" s="51">
        <v>142085.66</v>
      </c>
    </row>
    <row r="5586" spans="1:4" x14ac:dyDescent="0.2">
      <c r="A5586" s="24">
        <v>45474</v>
      </c>
      <c r="B5586" s="25" t="s">
        <v>118</v>
      </c>
      <c r="C5586" s="25" t="s">
        <v>2</v>
      </c>
      <c r="D5586" s="51">
        <v>909028.61</v>
      </c>
    </row>
    <row r="5587" spans="1:4" x14ac:dyDescent="0.2">
      <c r="A5587" s="24">
        <v>45474</v>
      </c>
      <c r="B5587" s="25" t="s">
        <v>118</v>
      </c>
      <c r="C5587" s="25" t="s">
        <v>143</v>
      </c>
      <c r="D5587" s="51">
        <v>4</v>
      </c>
    </row>
    <row r="5588" spans="1:4" x14ac:dyDescent="0.2">
      <c r="A5588" s="24">
        <v>45474</v>
      </c>
      <c r="B5588" s="25" t="s">
        <v>119</v>
      </c>
      <c r="C5588" s="25" t="s">
        <v>4</v>
      </c>
      <c r="D5588" s="51">
        <v>822763</v>
      </c>
    </row>
    <row r="5589" spans="1:4" x14ac:dyDescent="0.2">
      <c r="A5589" s="24">
        <v>45474</v>
      </c>
      <c r="B5589" s="25" t="s">
        <v>119</v>
      </c>
      <c r="C5589" s="25" t="s">
        <v>8</v>
      </c>
      <c r="D5589" s="51">
        <v>18993</v>
      </c>
    </row>
    <row r="5590" spans="1:4" x14ac:dyDescent="0.2">
      <c r="A5590" s="24">
        <v>45474</v>
      </c>
      <c r="B5590" s="25" t="s">
        <v>119</v>
      </c>
      <c r="C5590" s="25" t="s">
        <v>26</v>
      </c>
      <c r="D5590" s="51">
        <v>276011</v>
      </c>
    </row>
    <row r="5591" spans="1:4" x14ac:dyDescent="0.2">
      <c r="A5591" s="24">
        <v>45474</v>
      </c>
      <c r="B5591" s="25" t="s">
        <v>119</v>
      </c>
      <c r="C5591" s="25" t="s">
        <v>142</v>
      </c>
      <c r="D5591" s="51">
        <v>152739.99</v>
      </c>
    </row>
    <row r="5592" spans="1:4" x14ac:dyDescent="0.2">
      <c r="A5592" s="24">
        <v>45474</v>
      </c>
      <c r="B5592" s="25" t="s">
        <v>119</v>
      </c>
      <c r="C5592" s="25" t="s">
        <v>2</v>
      </c>
      <c r="D5592" s="51">
        <v>1203700.6200000001</v>
      </c>
    </row>
    <row r="5593" spans="1:4" x14ac:dyDescent="0.2">
      <c r="A5593" s="24">
        <v>45474</v>
      </c>
      <c r="B5593" s="25" t="s">
        <v>138</v>
      </c>
      <c r="C5593" s="25" t="s">
        <v>4</v>
      </c>
      <c r="D5593" s="51">
        <v>19</v>
      </c>
    </row>
    <row r="5594" spans="1:4" x14ac:dyDescent="0.2">
      <c r="A5594" s="24">
        <v>45474</v>
      </c>
      <c r="B5594" s="25" t="s">
        <v>138</v>
      </c>
      <c r="C5594" s="25" t="s">
        <v>8</v>
      </c>
      <c r="D5594" s="51">
        <v>78</v>
      </c>
    </row>
    <row r="5595" spans="1:4" x14ac:dyDescent="0.2">
      <c r="A5595" s="24">
        <v>45474</v>
      </c>
      <c r="B5595" s="25" t="s">
        <v>138</v>
      </c>
      <c r="C5595" s="25" t="s">
        <v>26</v>
      </c>
      <c r="D5595" s="51">
        <v>7</v>
      </c>
    </row>
    <row r="5596" spans="1:4" x14ac:dyDescent="0.2">
      <c r="A5596" s="24">
        <v>45474</v>
      </c>
      <c r="B5596" s="25" t="s">
        <v>138</v>
      </c>
      <c r="C5596" s="25" t="s">
        <v>142</v>
      </c>
      <c r="D5596" s="51">
        <v>0.41</v>
      </c>
    </row>
    <row r="5597" spans="1:4" x14ac:dyDescent="0.2">
      <c r="A5597" s="24">
        <v>45474</v>
      </c>
      <c r="B5597" s="25" t="s">
        <v>138</v>
      </c>
      <c r="C5597" s="25" t="s">
        <v>2</v>
      </c>
      <c r="D5597" s="51">
        <v>185.59</v>
      </c>
    </row>
    <row r="5598" spans="1:4" x14ac:dyDescent="0.2">
      <c r="A5598" s="24">
        <v>45474</v>
      </c>
      <c r="B5598" s="25" t="s">
        <v>139</v>
      </c>
      <c r="C5598" s="25" t="s">
        <v>4</v>
      </c>
      <c r="D5598" s="51">
        <v>1245</v>
      </c>
    </row>
    <row r="5599" spans="1:4" x14ac:dyDescent="0.2">
      <c r="A5599" s="24">
        <v>45474</v>
      </c>
      <c r="B5599" s="25" t="s">
        <v>139</v>
      </c>
      <c r="C5599" s="25" t="s">
        <v>8</v>
      </c>
      <c r="D5599" s="51">
        <v>25</v>
      </c>
    </row>
    <row r="5600" spans="1:4" x14ac:dyDescent="0.2">
      <c r="A5600" s="24">
        <v>45474</v>
      </c>
      <c r="B5600" s="25" t="s">
        <v>139</v>
      </c>
      <c r="C5600" s="25" t="s">
        <v>26</v>
      </c>
      <c r="D5600" s="51">
        <v>55</v>
      </c>
    </row>
    <row r="5601" spans="1:4" x14ac:dyDescent="0.2">
      <c r="A5601" s="24">
        <v>45474</v>
      </c>
      <c r="B5601" s="25" t="s">
        <v>139</v>
      </c>
      <c r="C5601" s="25" t="s">
        <v>142</v>
      </c>
      <c r="D5601" s="51">
        <v>24.41</v>
      </c>
    </row>
    <row r="5602" spans="1:4" x14ac:dyDescent="0.2">
      <c r="A5602" s="24">
        <v>45474</v>
      </c>
      <c r="B5602" s="25" t="s">
        <v>139</v>
      </c>
      <c r="C5602" s="25" t="s">
        <v>2</v>
      </c>
      <c r="D5602" s="51">
        <v>1006.59</v>
      </c>
    </row>
    <row r="5603" spans="1:4" x14ac:dyDescent="0.2">
      <c r="A5603" s="24">
        <v>45474</v>
      </c>
      <c r="B5603" s="25" t="s">
        <v>120</v>
      </c>
      <c r="C5603" s="25" t="s">
        <v>4</v>
      </c>
      <c r="D5603" s="51">
        <v>74904</v>
      </c>
    </row>
    <row r="5604" spans="1:4" x14ac:dyDescent="0.2">
      <c r="A5604" s="24">
        <v>45474</v>
      </c>
      <c r="B5604" s="25" t="s">
        <v>120</v>
      </c>
      <c r="C5604" s="25" t="s">
        <v>8</v>
      </c>
      <c r="D5604" s="51">
        <v>4266</v>
      </c>
    </row>
    <row r="5605" spans="1:4" x14ac:dyDescent="0.2">
      <c r="A5605" s="24">
        <v>45474</v>
      </c>
      <c r="B5605" s="25" t="s">
        <v>120</v>
      </c>
      <c r="C5605" s="25" t="s">
        <v>26</v>
      </c>
      <c r="D5605" s="51">
        <v>9356</v>
      </c>
    </row>
    <row r="5606" spans="1:4" x14ac:dyDescent="0.2">
      <c r="A5606" s="24">
        <v>45474</v>
      </c>
      <c r="B5606" s="25" t="s">
        <v>120</v>
      </c>
      <c r="C5606" s="25" t="s">
        <v>142</v>
      </c>
      <c r="D5606" s="51">
        <v>10148.959999999999</v>
      </c>
    </row>
    <row r="5607" spans="1:4" x14ac:dyDescent="0.2">
      <c r="A5607" s="24">
        <v>45474</v>
      </c>
      <c r="B5607" s="25" t="s">
        <v>120</v>
      </c>
      <c r="C5607" s="25" t="s">
        <v>2</v>
      </c>
      <c r="D5607" s="51">
        <v>211990.5</v>
      </c>
    </row>
    <row r="5608" spans="1:4" x14ac:dyDescent="0.2">
      <c r="A5608" s="24">
        <v>45474</v>
      </c>
      <c r="B5608" s="25" t="s">
        <v>120</v>
      </c>
      <c r="C5608" s="25" t="s">
        <v>143</v>
      </c>
      <c r="D5608" s="51">
        <v>1</v>
      </c>
    </row>
    <row r="5609" spans="1:4" x14ac:dyDescent="0.2">
      <c r="A5609" s="24">
        <v>45474</v>
      </c>
      <c r="B5609" s="25" t="s">
        <v>121</v>
      </c>
      <c r="C5609" s="25" t="s">
        <v>4</v>
      </c>
      <c r="D5609" s="51">
        <v>29232</v>
      </c>
    </row>
    <row r="5610" spans="1:4" x14ac:dyDescent="0.2">
      <c r="A5610" s="24">
        <v>45474</v>
      </c>
      <c r="B5610" s="25" t="s">
        <v>121</v>
      </c>
      <c r="C5610" s="25" t="s">
        <v>8</v>
      </c>
      <c r="D5610" s="51">
        <v>1668</v>
      </c>
    </row>
    <row r="5611" spans="1:4" x14ac:dyDescent="0.2">
      <c r="A5611" s="24">
        <v>45474</v>
      </c>
      <c r="B5611" s="25" t="s">
        <v>121</v>
      </c>
      <c r="C5611" s="25" t="s">
        <v>26</v>
      </c>
      <c r="D5611" s="51">
        <v>3086</v>
      </c>
    </row>
    <row r="5612" spans="1:4" x14ac:dyDescent="0.2">
      <c r="A5612" s="24">
        <v>45474</v>
      </c>
      <c r="B5612" s="25" t="s">
        <v>121</v>
      </c>
      <c r="C5612" s="25" t="s">
        <v>142</v>
      </c>
      <c r="D5612" s="51">
        <v>1892.98</v>
      </c>
    </row>
    <row r="5613" spans="1:4" x14ac:dyDescent="0.2">
      <c r="A5613" s="24">
        <v>45474</v>
      </c>
      <c r="B5613" s="25" t="s">
        <v>121</v>
      </c>
      <c r="C5613" s="25" t="s">
        <v>2</v>
      </c>
      <c r="D5613" s="51">
        <v>25573.17</v>
      </c>
    </row>
    <row r="5614" spans="1:4" x14ac:dyDescent="0.2">
      <c r="A5614" s="24">
        <v>45474</v>
      </c>
      <c r="B5614" s="25" t="s">
        <v>140</v>
      </c>
      <c r="C5614" s="25" t="s">
        <v>4</v>
      </c>
      <c r="D5614" s="51">
        <v>22949</v>
      </c>
    </row>
    <row r="5615" spans="1:4" x14ac:dyDescent="0.2">
      <c r="A5615" s="24">
        <v>45474</v>
      </c>
      <c r="B5615" s="25" t="s">
        <v>122</v>
      </c>
      <c r="C5615" s="25" t="s">
        <v>4</v>
      </c>
      <c r="D5615" s="51">
        <v>703676</v>
      </c>
    </row>
    <row r="5616" spans="1:4" x14ac:dyDescent="0.2">
      <c r="A5616" s="24">
        <v>45474</v>
      </c>
      <c r="B5616" s="25" t="s">
        <v>122</v>
      </c>
      <c r="C5616" s="25" t="s">
        <v>8</v>
      </c>
      <c r="D5616" s="51">
        <v>4518</v>
      </c>
    </row>
    <row r="5617" spans="1:4" x14ac:dyDescent="0.2">
      <c r="A5617" s="24">
        <v>45474</v>
      </c>
      <c r="B5617" s="25" t="s">
        <v>122</v>
      </c>
      <c r="C5617" s="25" t="s">
        <v>26</v>
      </c>
      <c r="D5617" s="51">
        <v>18127</v>
      </c>
    </row>
    <row r="5618" spans="1:4" x14ac:dyDescent="0.2">
      <c r="A5618" s="24">
        <v>45474</v>
      </c>
      <c r="B5618" s="25" t="s">
        <v>122</v>
      </c>
      <c r="C5618" s="25" t="s">
        <v>142</v>
      </c>
      <c r="D5618" s="51">
        <v>93029.96</v>
      </c>
    </row>
    <row r="5619" spans="1:4" x14ac:dyDescent="0.2">
      <c r="A5619" s="24">
        <v>45474</v>
      </c>
      <c r="B5619" s="25" t="s">
        <v>122</v>
      </c>
      <c r="C5619" s="25" t="s">
        <v>2</v>
      </c>
      <c r="D5619" s="51">
        <v>522414.44</v>
      </c>
    </row>
    <row r="5620" spans="1:4" x14ac:dyDescent="0.2">
      <c r="A5620" s="24">
        <v>45474</v>
      </c>
      <c r="B5620" s="25" t="s">
        <v>123</v>
      </c>
      <c r="C5620" s="25" t="s">
        <v>4</v>
      </c>
      <c r="D5620" s="51">
        <v>3291635</v>
      </c>
    </row>
    <row r="5621" spans="1:4" x14ac:dyDescent="0.2">
      <c r="A5621" s="24">
        <v>45474</v>
      </c>
      <c r="B5621" s="25" t="s">
        <v>123</v>
      </c>
      <c r="C5621" s="25" t="s">
        <v>8</v>
      </c>
      <c r="D5621" s="51">
        <v>168242</v>
      </c>
    </row>
    <row r="5622" spans="1:4" x14ac:dyDescent="0.2">
      <c r="A5622" s="24">
        <v>45474</v>
      </c>
      <c r="B5622" s="25" t="s">
        <v>123</v>
      </c>
      <c r="C5622" s="25" t="s">
        <v>26</v>
      </c>
      <c r="D5622" s="51">
        <v>363919</v>
      </c>
    </row>
    <row r="5623" spans="1:4" x14ac:dyDescent="0.2">
      <c r="A5623" s="24">
        <v>45474</v>
      </c>
      <c r="B5623" s="25" t="s">
        <v>123</v>
      </c>
      <c r="C5623" s="25" t="s">
        <v>142</v>
      </c>
      <c r="D5623" s="51">
        <v>161931.91</v>
      </c>
    </row>
    <row r="5624" spans="1:4" x14ac:dyDescent="0.2">
      <c r="A5624" s="24">
        <v>45474</v>
      </c>
      <c r="B5624" s="25" t="s">
        <v>123</v>
      </c>
      <c r="C5624" s="25" t="s">
        <v>2</v>
      </c>
      <c r="D5624" s="51">
        <v>2523302.7599999998</v>
      </c>
    </row>
    <row r="5625" spans="1:4" x14ac:dyDescent="0.2">
      <c r="A5625" s="24">
        <v>45474</v>
      </c>
      <c r="B5625" s="25" t="s">
        <v>124</v>
      </c>
      <c r="C5625" s="25" t="s">
        <v>8</v>
      </c>
      <c r="D5625" s="51">
        <v>23314</v>
      </c>
    </row>
    <row r="5626" spans="1:4" x14ac:dyDescent="0.2">
      <c r="A5626" s="24">
        <v>45474</v>
      </c>
      <c r="B5626" s="25" t="s">
        <v>125</v>
      </c>
      <c r="C5626" s="25" t="s">
        <v>8</v>
      </c>
      <c r="D5626" s="51">
        <v>17154</v>
      </c>
    </row>
    <row r="5627" spans="1:4" x14ac:dyDescent="0.2">
      <c r="A5627" s="24">
        <v>45474</v>
      </c>
      <c r="B5627" s="25" t="s">
        <v>127</v>
      </c>
      <c r="C5627" s="25" t="s">
        <v>26</v>
      </c>
      <c r="D5627" s="51">
        <v>3710</v>
      </c>
    </row>
    <row r="5628" spans="1:4" x14ac:dyDescent="0.2">
      <c r="A5628" s="24">
        <v>45474</v>
      </c>
      <c r="B5628" s="25" t="s">
        <v>128</v>
      </c>
      <c r="C5628" s="25" t="s">
        <v>26</v>
      </c>
      <c r="D5628" s="51">
        <v>2651</v>
      </c>
    </row>
    <row r="5629" spans="1:4" x14ac:dyDescent="0.2">
      <c r="A5629" s="24">
        <v>45474</v>
      </c>
      <c r="B5629" s="25" t="s">
        <v>129</v>
      </c>
      <c r="C5629" s="25" t="s">
        <v>142</v>
      </c>
      <c r="D5629" s="51">
        <v>4326.3</v>
      </c>
    </row>
    <row r="5630" spans="1:4" x14ac:dyDescent="0.2">
      <c r="A5630" s="24">
        <v>45474</v>
      </c>
      <c r="B5630" s="25" t="s">
        <v>129</v>
      </c>
      <c r="C5630" s="25" t="s">
        <v>2</v>
      </c>
      <c r="D5630" s="51">
        <v>79786.720000000001</v>
      </c>
    </row>
    <row r="5631" spans="1:4" x14ac:dyDescent="0.2">
      <c r="A5631" s="24">
        <v>45474</v>
      </c>
      <c r="B5631" s="25" t="s">
        <v>130</v>
      </c>
      <c r="C5631" s="25" t="s">
        <v>142</v>
      </c>
      <c r="D5631" s="51">
        <v>7560.88</v>
      </c>
    </row>
    <row r="5632" spans="1:4" x14ac:dyDescent="0.2">
      <c r="A5632" s="24">
        <v>45474</v>
      </c>
      <c r="B5632" s="25" t="s">
        <v>130</v>
      </c>
      <c r="C5632" s="25" t="s">
        <v>2</v>
      </c>
      <c r="D5632" s="51">
        <v>61982.13</v>
      </c>
    </row>
    <row r="5633" spans="1:4" x14ac:dyDescent="0.2">
      <c r="A5633" s="24">
        <v>45474</v>
      </c>
      <c r="B5633" s="25" t="s">
        <v>144</v>
      </c>
      <c r="C5633" s="25" t="s">
        <v>4</v>
      </c>
      <c r="D5633" s="51">
        <v>159</v>
      </c>
    </row>
    <row r="5634" spans="1:4" x14ac:dyDescent="0.2">
      <c r="A5634" s="24">
        <v>45474</v>
      </c>
      <c r="B5634" s="25" t="s">
        <v>144</v>
      </c>
      <c r="C5634" s="25" t="s">
        <v>8</v>
      </c>
      <c r="D5634" s="51">
        <v>1</v>
      </c>
    </row>
    <row r="5635" spans="1:4" x14ac:dyDescent="0.2">
      <c r="A5635" s="24">
        <v>45474</v>
      </c>
      <c r="B5635" s="25" t="s">
        <v>144</v>
      </c>
      <c r="C5635" s="25" t="s">
        <v>26</v>
      </c>
      <c r="D5635" s="51">
        <v>1</v>
      </c>
    </row>
    <row r="5636" spans="1:4" x14ac:dyDescent="0.2">
      <c r="A5636" s="24">
        <v>45474</v>
      </c>
      <c r="B5636" s="25" t="s">
        <v>144</v>
      </c>
      <c r="C5636" s="25" t="s">
        <v>142</v>
      </c>
      <c r="D5636" s="51">
        <v>9</v>
      </c>
    </row>
    <row r="5637" spans="1:4" x14ac:dyDescent="0.2">
      <c r="A5637" s="24">
        <v>45474</v>
      </c>
      <c r="B5637" s="25" t="s">
        <v>144</v>
      </c>
      <c r="C5637" s="25" t="s">
        <v>2</v>
      </c>
      <c r="D5637" s="51">
        <v>151</v>
      </c>
    </row>
    <row r="5638" spans="1:4" x14ac:dyDescent="0.2">
      <c r="A5638" s="24">
        <v>45839</v>
      </c>
      <c r="B5638" s="25" t="s">
        <v>117</v>
      </c>
      <c r="C5638" s="25" t="s">
        <v>4</v>
      </c>
      <c r="D5638" s="51">
        <v>6362327</v>
      </c>
    </row>
    <row r="5639" spans="1:4" x14ac:dyDescent="0.2">
      <c r="A5639" s="24">
        <v>45839</v>
      </c>
      <c r="B5639" s="25" t="s">
        <v>117</v>
      </c>
      <c r="C5639" s="25" t="s">
        <v>8</v>
      </c>
      <c r="D5639" s="51">
        <v>331948</v>
      </c>
    </row>
    <row r="5640" spans="1:4" x14ac:dyDescent="0.2">
      <c r="A5640" s="24">
        <v>45839</v>
      </c>
      <c r="B5640" s="25" t="s">
        <v>117</v>
      </c>
      <c r="C5640" s="25" t="s">
        <v>26</v>
      </c>
      <c r="D5640" s="51">
        <v>1301687</v>
      </c>
    </row>
    <row r="5641" spans="1:4" x14ac:dyDescent="0.2">
      <c r="A5641" s="24">
        <v>45839</v>
      </c>
      <c r="B5641" s="25" t="s">
        <v>117</v>
      </c>
      <c r="C5641" s="25" t="s">
        <v>142</v>
      </c>
      <c r="D5641" s="51">
        <v>2320889.31</v>
      </c>
    </row>
    <row r="5642" spans="1:4" x14ac:dyDescent="0.2">
      <c r="A5642" s="24">
        <v>45839</v>
      </c>
      <c r="B5642" s="25" t="s">
        <v>117</v>
      </c>
      <c r="C5642" s="25" t="s">
        <v>2</v>
      </c>
      <c r="D5642" s="51">
        <v>9168967.8200000003</v>
      </c>
    </row>
    <row r="5643" spans="1:4" x14ac:dyDescent="0.2">
      <c r="A5643" s="24">
        <v>45839</v>
      </c>
      <c r="B5643" s="25" t="s">
        <v>137</v>
      </c>
      <c r="C5643" s="25" t="s">
        <v>4</v>
      </c>
      <c r="D5643" s="51">
        <v>7523005</v>
      </c>
    </row>
    <row r="5644" spans="1:4" x14ac:dyDescent="0.2">
      <c r="A5644" s="24">
        <v>45839</v>
      </c>
      <c r="B5644" s="25" t="s">
        <v>137</v>
      </c>
      <c r="C5644" s="25" t="s">
        <v>8</v>
      </c>
      <c r="D5644" s="51">
        <v>730075</v>
      </c>
    </row>
    <row r="5645" spans="1:4" x14ac:dyDescent="0.2">
      <c r="A5645" s="24">
        <v>45839</v>
      </c>
      <c r="B5645" s="25" t="s">
        <v>137</v>
      </c>
      <c r="C5645" s="25" t="s">
        <v>26</v>
      </c>
      <c r="D5645" s="51">
        <v>1695631</v>
      </c>
    </row>
    <row r="5646" spans="1:4" x14ac:dyDescent="0.2">
      <c r="A5646" s="24">
        <v>45839</v>
      </c>
      <c r="B5646" s="25" t="s">
        <v>137</v>
      </c>
      <c r="C5646" s="25" t="s">
        <v>142</v>
      </c>
      <c r="D5646" s="51">
        <v>2467934.5099999998</v>
      </c>
    </row>
    <row r="5647" spans="1:4" x14ac:dyDescent="0.2">
      <c r="A5647" s="24">
        <v>45839</v>
      </c>
      <c r="B5647" s="25" t="s">
        <v>137</v>
      </c>
      <c r="C5647" s="25" t="s">
        <v>2</v>
      </c>
      <c r="D5647" s="51">
        <v>8989932.6699999999</v>
      </c>
    </row>
    <row r="5648" spans="1:4" x14ac:dyDescent="0.2">
      <c r="A5648" s="24">
        <v>45839</v>
      </c>
      <c r="B5648" s="25" t="s">
        <v>118</v>
      </c>
      <c r="C5648" s="25" t="s">
        <v>4</v>
      </c>
      <c r="D5648" s="51">
        <v>767324</v>
      </c>
    </row>
    <row r="5649" spans="1:4" x14ac:dyDescent="0.2">
      <c r="A5649" s="24">
        <v>45839</v>
      </c>
      <c r="B5649" s="25" t="s">
        <v>118</v>
      </c>
      <c r="C5649" s="25" t="s">
        <v>8</v>
      </c>
      <c r="D5649" s="51">
        <v>111357</v>
      </c>
    </row>
    <row r="5650" spans="1:4" x14ac:dyDescent="0.2">
      <c r="A5650" s="24">
        <v>45839</v>
      </c>
      <c r="B5650" s="25" t="s">
        <v>118</v>
      </c>
      <c r="C5650" s="25" t="s">
        <v>26</v>
      </c>
      <c r="D5650" s="51">
        <v>173901</v>
      </c>
    </row>
    <row r="5651" spans="1:4" x14ac:dyDescent="0.2">
      <c r="A5651" s="24">
        <v>45839</v>
      </c>
      <c r="B5651" s="25" t="s">
        <v>118</v>
      </c>
      <c r="C5651" s="25" t="s">
        <v>142</v>
      </c>
      <c r="D5651" s="51">
        <v>293834.5</v>
      </c>
    </row>
    <row r="5652" spans="1:4" x14ac:dyDescent="0.2">
      <c r="A5652" s="24">
        <v>45839</v>
      </c>
      <c r="B5652" s="25" t="s">
        <v>118</v>
      </c>
      <c r="C5652" s="25" t="s">
        <v>2</v>
      </c>
      <c r="D5652" s="51">
        <v>817114.88</v>
      </c>
    </row>
    <row r="5653" spans="1:4" x14ac:dyDescent="0.2">
      <c r="A5653" s="24">
        <v>45839</v>
      </c>
      <c r="B5653" s="25" t="s">
        <v>119</v>
      </c>
      <c r="C5653" s="25" t="s">
        <v>4</v>
      </c>
      <c r="D5653" s="51">
        <v>806605</v>
      </c>
    </row>
    <row r="5654" spans="1:4" x14ac:dyDescent="0.2">
      <c r="A5654" s="24">
        <v>45839</v>
      </c>
      <c r="B5654" s="25" t="s">
        <v>119</v>
      </c>
      <c r="C5654" s="25" t="s">
        <v>8</v>
      </c>
      <c r="D5654" s="51">
        <v>19760</v>
      </c>
    </row>
    <row r="5655" spans="1:4" x14ac:dyDescent="0.2">
      <c r="A5655" s="24">
        <v>45839</v>
      </c>
      <c r="B5655" s="25" t="s">
        <v>119</v>
      </c>
      <c r="C5655" s="25" t="s">
        <v>26</v>
      </c>
      <c r="D5655" s="51">
        <v>322314</v>
      </c>
    </row>
    <row r="5656" spans="1:4" x14ac:dyDescent="0.2">
      <c r="A5656" s="24">
        <v>45839</v>
      </c>
      <c r="B5656" s="25" t="s">
        <v>119</v>
      </c>
      <c r="C5656" s="25" t="s">
        <v>142</v>
      </c>
      <c r="D5656" s="51">
        <v>350773.2</v>
      </c>
    </row>
    <row r="5657" spans="1:4" x14ac:dyDescent="0.2">
      <c r="A5657" s="24">
        <v>45839</v>
      </c>
      <c r="B5657" s="25" t="s">
        <v>119</v>
      </c>
      <c r="C5657" s="25" t="s">
        <v>2</v>
      </c>
      <c r="D5657" s="51">
        <v>1021877.62</v>
      </c>
    </row>
    <row r="5658" spans="1:4" x14ac:dyDescent="0.2">
      <c r="A5658" s="24">
        <v>45839</v>
      </c>
      <c r="B5658" s="25" t="s">
        <v>138</v>
      </c>
      <c r="C5658" s="25" t="s">
        <v>4</v>
      </c>
      <c r="D5658" s="51">
        <v>33</v>
      </c>
    </row>
    <row r="5659" spans="1:4" x14ac:dyDescent="0.2">
      <c r="A5659" s="24">
        <v>45839</v>
      </c>
      <c r="B5659" s="25" t="s">
        <v>138</v>
      </c>
      <c r="C5659" s="25" t="s">
        <v>8</v>
      </c>
      <c r="D5659" s="51">
        <v>142</v>
      </c>
    </row>
    <row r="5660" spans="1:4" x14ac:dyDescent="0.2">
      <c r="A5660" s="24">
        <v>45839</v>
      </c>
      <c r="B5660" s="25" t="s">
        <v>138</v>
      </c>
      <c r="C5660" s="25" t="s">
        <v>26</v>
      </c>
      <c r="D5660" s="51">
        <v>45</v>
      </c>
    </row>
    <row r="5661" spans="1:4" x14ac:dyDescent="0.2">
      <c r="A5661" s="24">
        <v>45839</v>
      </c>
      <c r="B5661" s="25" t="s">
        <v>138</v>
      </c>
      <c r="C5661" s="25" t="s">
        <v>142</v>
      </c>
      <c r="D5661" s="51">
        <v>2</v>
      </c>
    </row>
    <row r="5662" spans="1:4" x14ac:dyDescent="0.2">
      <c r="A5662" s="24">
        <v>45839</v>
      </c>
      <c r="B5662" s="25" t="s">
        <v>138</v>
      </c>
      <c r="C5662" s="25" t="s">
        <v>2</v>
      </c>
      <c r="D5662" s="51">
        <v>117</v>
      </c>
    </row>
    <row r="5663" spans="1:4" x14ac:dyDescent="0.2">
      <c r="A5663" s="24">
        <v>45839</v>
      </c>
      <c r="B5663" s="25" t="s">
        <v>139</v>
      </c>
      <c r="C5663" s="25" t="s">
        <v>4</v>
      </c>
      <c r="D5663" s="51">
        <v>1285</v>
      </c>
    </row>
    <row r="5664" spans="1:4" x14ac:dyDescent="0.2">
      <c r="A5664" s="24">
        <v>45839</v>
      </c>
      <c r="B5664" s="25" t="s">
        <v>139</v>
      </c>
      <c r="C5664" s="25" t="s">
        <v>8</v>
      </c>
      <c r="D5664" s="51">
        <v>46</v>
      </c>
    </row>
    <row r="5665" spans="1:4" x14ac:dyDescent="0.2">
      <c r="A5665" s="24">
        <v>45839</v>
      </c>
      <c r="B5665" s="25" t="s">
        <v>139</v>
      </c>
      <c r="C5665" s="25" t="s">
        <v>26</v>
      </c>
      <c r="D5665" s="51">
        <v>156</v>
      </c>
    </row>
    <row r="5666" spans="1:4" x14ac:dyDescent="0.2">
      <c r="A5666" s="24">
        <v>45839</v>
      </c>
      <c r="B5666" s="25" t="s">
        <v>139</v>
      </c>
      <c r="C5666" s="25" t="s">
        <v>142</v>
      </c>
      <c r="D5666" s="51">
        <v>50.18</v>
      </c>
    </row>
    <row r="5667" spans="1:4" x14ac:dyDescent="0.2">
      <c r="A5667" s="24">
        <v>45839</v>
      </c>
      <c r="B5667" s="25" t="s">
        <v>139</v>
      </c>
      <c r="C5667" s="25" t="s">
        <v>2</v>
      </c>
      <c r="D5667" s="51">
        <v>1288.8399999999999</v>
      </c>
    </row>
    <row r="5668" spans="1:4" x14ac:dyDescent="0.2">
      <c r="A5668" s="24">
        <v>45839</v>
      </c>
      <c r="B5668" s="25" t="s">
        <v>120</v>
      </c>
      <c r="C5668" s="25" t="s">
        <v>4</v>
      </c>
      <c r="D5668" s="51">
        <v>79921</v>
      </c>
    </row>
    <row r="5669" spans="1:4" x14ac:dyDescent="0.2">
      <c r="A5669" s="24">
        <v>45839</v>
      </c>
      <c r="B5669" s="25" t="s">
        <v>120</v>
      </c>
      <c r="C5669" s="25" t="s">
        <v>8</v>
      </c>
      <c r="D5669" s="51">
        <v>4513</v>
      </c>
    </row>
    <row r="5670" spans="1:4" x14ac:dyDescent="0.2">
      <c r="A5670" s="24">
        <v>45839</v>
      </c>
      <c r="B5670" s="25" t="s">
        <v>120</v>
      </c>
      <c r="C5670" s="25" t="s">
        <v>26</v>
      </c>
      <c r="D5670" s="51">
        <v>13710</v>
      </c>
    </row>
    <row r="5671" spans="1:4" x14ac:dyDescent="0.2">
      <c r="A5671" s="24">
        <v>45839</v>
      </c>
      <c r="B5671" s="25" t="s">
        <v>120</v>
      </c>
      <c r="C5671" s="25" t="s">
        <v>142</v>
      </c>
      <c r="D5671" s="51">
        <v>40803.11</v>
      </c>
    </row>
    <row r="5672" spans="1:4" x14ac:dyDescent="0.2">
      <c r="A5672" s="24">
        <v>45839</v>
      </c>
      <c r="B5672" s="25" t="s">
        <v>120</v>
      </c>
      <c r="C5672" s="25" t="s">
        <v>2</v>
      </c>
      <c r="D5672" s="51">
        <v>179627.87</v>
      </c>
    </row>
    <row r="5673" spans="1:4" x14ac:dyDescent="0.2">
      <c r="A5673" s="24">
        <v>45839</v>
      </c>
      <c r="B5673" s="25" t="s">
        <v>121</v>
      </c>
      <c r="C5673" s="25" t="s">
        <v>4</v>
      </c>
      <c r="D5673" s="51">
        <v>28357</v>
      </c>
    </row>
    <row r="5674" spans="1:4" x14ac:dyDescent="0.2">
      <c r="A5674" s="24">
        <v>45839</v>
      </c>
      <c r="B5674" s="25" t="s">
        <v>121</v>
      </c>
      <c r="C5674" s="25" t="s">
        <v>8</v>
      </c>
      <c r="D5674" s="51">
        <v>1883</v>
      </c>
    </row>
    <row r="5675" spans="1:4" x14ac:dyDescent="0.2">
      <c r="A5675" s="24">
        <v>45839</v>
      </c>
      <c r="B5675" s="25" t="s">
        <v>121</v>
      </c>
      <c r="C5675" s="25" t="s">
        <v>26</v>
      </c>
      <c r="D5675" s="51">
        <v>3768</v>
      </c>
    </row>
    <row r="5676" spans="1:4" x14ac:dyDescent="0.2">
      <c r="A5676" s="24">
        <v>45839</v>
      </c>
      <c r="B5676" s="25" t="s">
        <v>121</v>
      </c>
      <c r="C5676" s="25" t="s">
        <v>142</v>
      </c>
      <c r="D5676" s="51">
        <v>5530.92</v>
      </c>
    </row>
    <row r="5677" spans="1:4" x14ac:dyDescent="0.2">
      <c r="A5677" s="24">
        <v>45839</v>
      </c>
      <c r="B5677" s="25" t="s">
        <v>121</v>
      </c>
      <c r="C5677" s="25" t="s">
        <v>2</v>
      </c>
      <c r="D5677" s="51">
        <v>22459.57</v>
      </c>
    </row>
    <row r="5678" spans="1:4" x14ac:dyDescent="0.2">
      <c r="A5678" s="24">
        <v>45839</v>
      </c>
      <c r="B5678" s="25" t="s">
        <v>140</v>
      </c>
      <c r="C5678" s="25" t="s">
        <v>4</v>
      </c>
      <c r="D5678" s="51">
        <v>17439</v>
      </c>
    </row>
    <row r="5679" spans="1:4" x14ac:dyDescent="0.2">
      <c r="A5679" s="24">
        <v>45839</v>
      </c>
      <c r="B5679" s="25" t="s">
        <v>122</v>
      </c>
      <c r="C5679" s="25" t="s">
        <v>4</v>
      </c>
      <c r="D5679" s="51">
        <v>624900</v>
      </c>
    </row>
    <row r="5680" spans="1:4" x14ac:dyDescent="0.2">
      <c r="A5680" s="24">
        <v>45839</v>
      </c>
      <c r="B5680" s="25" t="s">
        <v>122</v>
      </c>
      <c r="C5680" s="25" t="s">
        <v>8</v>
      </c>
      <c r="D5680" s="51">
        <v>4133</v>
      </c>
    </row>
    <row r="5681" spans="1:4" x14ac:dyDescent="0.2">
      <c r="A5681" s="24">
        <v>45839</v>
      </c>
      <c r="B5681" s="25" t="s">
        <v>122</v>
      </c>
      <c r="C5681" s="25" t="s">
        <v>26</v>
      </c>
      <c r="D5681" s="51">
        <v>24915</v>
      </c>
    </row>
    <row r="5682" spans="1:4" x14ac:dyDescent="0.2">
      <c r="A5682" s="24">
        <v>45839</v>
      </c>
      <c r="B5682" s="25" t="s">
        <v>122</v>
      </c>
      <c r="C5682" s="25" t="s">
        <v>142</v>
      </c>
      <c r="D5682" s="51">
        <v>142529.70000000001</v>
      </c>
    </row>
    <row r="5683" spans="1:4" x14ac:dyDescent="0.2">
      <c r="A5683" s="24">
        <v>45839</v>
      </c>
      <c r="B5683" s="25" t="s">
        <v>122</v>
      </c>
      <c r="C5683" s="25" t="s">
        <v>2</v>
      </c>
      <c r="D5683" s="51">
        <v>407273.67</v>
      </c>
    </row>
    <row r="5684" spans="1:4" x14ac:dyDescent="0.2">
      <c r="A5684" s="24">
        <v>45839</v>
      </c>
      <c r="B5684" s="25" t="s">
        <v>123</v>
      </c>
      <c r="C5684" s="25" t="s">
        <v>4</v>
      </c>
      <c r="D5684" s="51">
        <v>3192131</v>
      </c>
    </row>
    <row r="5685" spans="1:4" x14ac:dyDescent="0.2">
      <c r="A5685" s="24">
        <v>45839</v>
      </c>
      <c r="B5685" s="25" t="s">
        <v>123</v>
      </c>
      <c r="C5685" s="25" t="s">
        <v>8</v>
      </c>
      <c r="D5685" s="51">
        <v>173889</v>
      </c>
    </row>
    <row r="5686" spans="1:4" x14ac:dyDescent="0.2">
      <c r="A5686" s="24">
        <v>45839</v>
      </c>
      <c r="B5686" s="25" t="s">
        <v>123</v>
      </c>
      <c r="C5686" s="25" t="s">
        <v>26</v>
      </c>
      <c r="D5686" s="51">
        <v>471947</v>
      </c>
    </row>
    <row r="5687" spans="1:4" x14ac:dyDescent="0.2">
      <c r="A5687" s="24">
        <v>45839</v>
      </c>
      <c r="B5687" s="25" t="s">
        <v>123</v>
      </c>
      <c r="C5687" s="25" t="s">
        <v>142</v>
      </c>
      <c r="D5687" s="51">
        <v>471763.06</v>
      </c>
    </row>
    <row r="5688" spans="1:4" x14ac:dyDescent="0.2">
      <c r="A5688" s="24">
        <v>45839</v>
      </c>
      <c r="B5688" s="25" t="s">
        <v>123</v>
      </c>
      <c r="C5688" s="25" t="s">
        <v>2</v>
      </c>
      <c r="D5688" s="51">
        <v>2300623.36</v>
      </c>
    </row>
    <row r="5689" spans="1:4" x14ac:dyDescent="0.2">
      <c r="A5689" s="24">
        <v>45839</v>
      </c>
      <c r="B5689" s="25" t="s">
        <v>124</v>
      </c>
      <c r="C5689" s="25" t="s">
        <v>8</v>
      </c>
      <c r="D5689" s="51">
        <v>23932</v>
      </c>
    </row>
    <row r="5690" spans="1:4" x14ac:dyDescent="0.2">
      <c r="A5690" s="24">
        <v>45839</v>
      </c>
      <c r="B5690" s="25" t="s">
        <v>125</v>
      </c>
      <c r="C5690" s="25" t="s">
        <v>8</v>
      </c>
      <c r="D5690" s="51">
        <v>17947</v>
      </c>
    </row>
    <row r="5691" spans="1:4" x14ac:dyDescent="0.2">
      <c r="A5691" s="24">
        <v>45839</v>
      </c>
      <c r="B5691" s="25" t="s">
        <v>127</v>
      </c>
      <c r="C5691" s="25" t="s">
        <v>26</v>
      </c>
      <c r="D5691" s="51">
        <v>3800</v>
      </c>
    </row>
    <row r="5692" spans="1:4" x14ac:dyDescent="0.2">
      <c r="A5692" s="24">
        <v>45839</v>
      </c>
      <c r="B5692" s="25" t="s">
        <v>128</v>
      </c>
      <c r="C5692" s="25" t="s">
        <v>26</v>
      </c>
      <c r="D5692" s="51">
        <v>3242</v>
      </c>
    </row>
    <row r="5693" spans="1:4" x14ac:dyDescent="0.2">
      <c r="A5693" s="24">
        <v>45839</v>
      </c>
      <c r="B5693" s="25" t="s">
        <v>129</v>
      </c>
      <c r="C5693" s="25" t="s">
        <v>142</v>
      </c>
      <c r="D5693" s="51">
        <v>11175.87</v>
      </c>
    </row>
    <row r="5694" spans="1:4" x14ac:dyDescent="0.2">
      <c r="A5694" s="24">
        <v>45839</v>
      </c>
      <c r="B5694" s="25" t="s">
        <v>129</v>
      </c>
      <c r="C5694" s="25" t="s">
        <v>2</v>
      </c>
      <c r="D5694" s="51">
        <v>65681.77</v>
      </c>
    </row>
    <row r="5695" spans="1:4" x14ac:dyDescent="0.2">
      <c r="A5695" s="24">
        <v>45839</v>
      </c>
      <c r="B5695" s="25" t="s">
        <v>130</v>
      </c>
      <c r="C5695" s="25" t="s">
        <v>142</v>
      </c>
      <c r="D5695" s="51">
        <v>17922.41</v>
      </c>
    </row>
    <row r="5696" spans="1:4" x14ac:dyDescent="0.2">
      <c r="A5696" s="24">
        <v>45839</v>
      </c>
      <c r="B5696" s="25" t="s">
        <v>130</v>
      </c>
      <c r="C5696" s="25" t="s">
        <v>2</v>
      </c>
      <c r="D5696" s="51">
        <v>58395.9</v>
      </c>
    </row>
    <row r="5697" spans="1:4" x14ac:dyDescent="0.2">
      <c r="A5697" s="24">
        <v>45839</v>
      </c>
      <c r="B5697" s="25" t="s">
        <v>144</v>
      </c>
      <c r="C5697" s="25" t="s">
        <v>4</v>
      </c>
      <c r="D5697" s="51">
        <v>16</v>
      </c>
    </row>
    <row r="5698" spans="1:4" x14ac:dyDescent="0.2">
      <c r="A5698" s="24">
        <v>45839</v>
      </c>
      <c r="B5698" s="25" t="s">
        <v>144</v>
      </c>
      <c r="C5698" s="25" t="s">
        <v>142</v>
      </c>
      <c r="D5698" s="51">
        <v>0</v>
      </c>
    </row>
    <row r="5699" spans="1:4" x14ac:dyDescent="0.2">
      <c r="A5699" s="24">
        <v>45839</v>
      </c>
      <c r="B5699" s="25" t="s">
        <v>144</v>
      </c>
      <c r="C5699" s="25" t="s">
        <v>2</v>
      </c>
      <c r="D5699" s="51">
        <v>17</v>
      </c>
    </row>
    <row r="5700" spans="1:4" x14ac:dyDescent="0.2">
      <c r="A5700" s="24">
        <v>45444</v>
      </c>
      <c r="B5700" s="25" t="s">
        <v>117</v>
      </c>
      <c r="C5700" s="25" t="s">
        <v>4</v>
      </c>
      <c r="D5700" s="51">
        <v>6336923</v>
      </c>
    </row>
    <row r="5701" spans="1:4" x14ac:dyDescent="0.2">
      <c r="A5701" s="24">
        <v>45444</v>
      </c>
      <c r="B5701" s="25" t="s">
        <v>117</v>
      </c>
      <c r="C5701" s="25" t="s">
        <v>8</v>
      </c>
      <c r="D5701" s="51">
        <v>330608</v>
      </c>
    </row>
    <row r="5702" spans="1:4" x14ac:dyDescent="0.2">
      <c r="A5702" s="24">
        <v>45444</v>
      </c>
      <c r="B5702" s="25" t="s">
        <v>117</v>
      </c>
      <c r="C5702" s="25" t="s">
        <v>26</v>
      </c>
      <c r="D5702" s="51">
        <v>1054435</v>
      </c>
    </row>
    <row r="5703" spans="1:4" x14ac:dyDescent="0.2">
      <c r="A5703" s="24">
        <v>45444</v>
      </c>
      <c r="B5703" s="25" t="s">
        <v>117</v>
      </c>
      <c r="C5703" s="25" t="s">
        <v>142</v>
      </c>
      <c r="D5703" s="51">
        <v>771469.58</v>
      </c>
    </row>
    <row r="5704" spans="1:4" x14ac:dyDescent="0.2">
      <c r="A5704" s="24">
        <v>45444</v>
      </c>
      <c r="B5704" s="25" t="s">
        <v>117</v>
      </c>
      <c r="C5704" s="25" t="s">
        <v>2</v>
      </c>
      <c r="D5704" s="51">
        <v>10589586.390000001</v>
      </c>
    </row>
    <row r="5705" spans="1:4" x14ac:dyDescent="0.2">
      <c r="A5705" s="24">
        <v>45444</v>
      </c>
      <c r="B5705" s="25" t="s">
        <v>117</v>
      </c>
      <c r="C5705" s="25" t="s">
        <v>143</v>
      </c>
      <c r="D5705" s="51">
        <v>9</v>
      </c>
    </row>
    <row r="5706" spans="1:4" x14ac:dyDescent="0.2">
      <c r="A5706" s="24">
        <v>45444</v>
      </c>
      <c r="B5706" s="25" t="s">
        <v>137</v>
      </c>
      <c r="C5706" s="25" t="s">
        <v>4</v>
      </c>
      <c r="D5706" s="51">
        <v>6392070</v>
      </c>
    </row>
    <row r="5707" spans="1:4" x14ac:dyDescent="0.2">
      <c r="A5707" s="24">
        <v>45444</v>
      </c>
      <c r="B5707" s="25" t="s">
        <v>137</v>
      </c>
      <c r="C5707" s="25" t="s">
        <v>8</v>
      </c>
      <c r="D5707" s="51">
        <v>611037</v>
      </c>
    </row>
    <row r="5708" spans="1:4" x14ac:dyDescent="0.2">
      <c r="A5708" s="24">
        <v>45444</v>
      </c>
      <c r="B5708" s="25" t="s">
        <v>137</v>
      </c>
      <c r="C5708" s="25" t="s">
        <v>26</v>
      </c>
      <c r="D5708" s="51">
        <v>1226839</v>
      </c>
    </row>
    <row r="5709" spans="1:4" x14ac:dyDescent="0.2">
      <c r="A5709" s="24">
        <v>45444</v>
      </c>
      <c r="B5709" s="25" t="s">
        <v>137</v>
      </c>
      <c r="C5709" s="25" t="s">
        <v>142</v>
      </c>
      <c r="D5709" s="51">
        <v>572990.01</v>
      </c>
    </row>
    <row r="5710" spans="1:4" x14ac:dyDescent="0.2">
      <c r="A5710" s="24">
        <v>45444</v>
      </c>
      <c r="B5710" s="25" t="s">
        <v>137</v>
      </c>
      <c r="C5710" s="25" t="s">
        <v>2</v>
      </c>
      <c r="D5710" s="51">
        <v>9453174.8599999994</v>
      </c>
    </row>
    <row r="5711" spans="1:4" x14ac:dyDescent="0.2">
      <c r="A5711" s="24">
        <v>45444</v>
      </c>
      <c r="B5711" s="25" t="s">
        <v>137</v>
      </c>
      <c r="C5711" s="25" t="s">
        <v>143</v>
      </c>
      <c r="D5711" s="51">
        <v>22</v>
      </c>
    </row>
    <row r="5712" spans="1:4" x14ac:dyDescent="0.2">
      <c r="A5712" s="24">
        <v>45444</v>
      </c>
      <c r="B5712" s="25" t="s">
        <v>118</v>
      </c>
      <c r="C5712" s="25" t="s">
        <v>4</v>
      </c>
      <c r="D5712" s="51">
        <v>556029</v>
      </c>
    </row>
    <row r="5713" spans="1:4" x14ac:dyDescent="0.2">
      <c r="A5713" s="24">
        <v>45444</v>
      </c>
      <c r="B5713" s="25" t="s">
        <v>118</v>
      </c>
      <c r="C5713" s="25" t="s">
        <v>8</v>
      </c>
      <c r="D5713" s="51">
        <v>65865</v>
      </c>
    </row>
    <row r="5714" spans="1:4" x14ac:dyDescent="0.2">
      <c r="A5714" s="24">
        <v>45444</v>
      </c>
      <c r="B5714" s="25" t="s">
        <v>118</v>
      </c>
      <c r="C5714" s="25" t="s">
        <v>26</v>
      </c>
      <c r="D5714" s="51">
        <v>84868</v>
      </c>
    </row>
    <row r="5715" spans="1:4" x14ac:dyDescent="0.2">
      <c r="A5715" s="24">
        <v>45444</v>
      </c>
      <c r="B5715" s="25" t="s">
        <v>118</v>
      </c>
      <c r="C5715" s="25" t="s">
        <v>142</v>
      </c>
      <c r="D5715" s="51">
        <v>83789.97</v>
      </c>
    </row>
    <row r="5716" spans="1:4" x14ac:dyDescent="0.2">
      <c r="A5716" s="24">
        <v>45444</v>
      </c>
      <c r="B5716" s="25" t="s">
        <v>118</v>
      </c>
      <c r="C5716" s="25" t="s">
        <v>2</v>
      </c>
      <c r="D5716" s="51">
        <v>670788.28</v>
      </c>
    </row>
    <row r="5717" spans="1:4" x14ac:dyDescent="0.2">
      <c r="A5717" s="24">
        <v>45444</v>
      </c>
      <c r="B5717" s="25" t="s">
        <v>118</v>
      </c>
      <c r="C5717" s="25" t="s">
        <v>143</v>
      </c>
      <c r="D5717" s="51">
        <v>10</v>
      </c>
    </row>
    <row r="5718" spans="1:4" x14ac:dyDescent="0.2">
      <c r="A5718" s="24">
        <v>45444</v>
      </c>
      <c r="B5718" s="25" t="s">
        <v>119</v>
      </c>
      <c r="C5718" s="25" t="s">
        <v>4</v>
      </c>
      <c r="D5718" s="51">
        <v>791230</v>
      </c>
    </row>
    <row r="5719" spans="1:4" x14ac:dyDescent="0.2">
      <c r="A5719" s="24">
        <v>45444</v>
      </c>
      <c r="B5719" s="25" t="s">
        <v>119</v>
      </c>
      <c r="C5719" s="25" t="s">
        <v>8</v>
      </c>
      <c r="D5719" s="51">
        <v>19923</v>
      </c>
    </row>
    <row r="5720" spans="1:4" x14ac:dyDescent="0.2">
      <c r="A5720" s="24">
        <v>45444</v>
      </c>
      <c r="B5720" s="25" t="s">
        <v>119</v>
      </c>
      <c r="C5720" s="25" t="s">
        <v>26</v>
      </c>
      <c r="D5720" s="51">
        <v>278343</v>
      </c>
    </row>
    <row r="5721" spans="1:4" x14ac:dyDescent="0.2">
      <c r="A5721" s="24">
        <v>45444</v>
      </c>
      <c r="B5721" s="25" t="s">
        <v>119</v>
      </c>
      <c r="C5721" s="25" t="s">
        <v>142</v>
      </c>
      <c r="D5721" s="51">
        <v>132073.35</v>
      </c>
    </row>
    <row r="5722" spans="1:4" x14ac:dyDescent="0.2">
      <c r="A5722" s="24">
        <v>45444</v>
      </c>
      <c r="B5722" s="25" t="s">
        <v>119</v>
      </c>
      <c r="C5722" s="25" t="s">
        <v>2</v>
      </c>
      <c r="D5722" s="51">
        <v>1158953.28</v>
      </c>
    </row>
    <row r="5723" spans="1:4" x14ac:dyDescent="0.2">
      <c r="A5723" s="24">
        <v>45444</v>
      </c>
      <c r="B5723" s="25" t="s">
        <v>119</v>
      </c>
      <c r="C5723" s="25" t="s">
        <v>143</v>
      </c>
      <c r="D5723" s="51">
        <v>3</v>
      </c>
    </row>
    <row r="5724" spans="1:4" x14ac:dyDescent="0.2">
      <c r="A5724" s="24">
        <v>45444</v>
      </c>
      <c r="B5724" s="25" t="s">
        <v>138</v>
      </c>
      <c r="C5724" s="25" t="s">
        <v>4</v>
      </c>
      <c r="D5724" s="51">
        <v>9</v>
      </c>
    </row>
    <row r="5725" spans="1:4" x14ac:dyDescent="0.2">
      <c r="A5725" s="24">
        <v>45444</v>
      </c>
      <c r="B5725" s="25" t="s">
        <v>138</v>
      </c>
      <c r="C5725" s="25" t="s">
        <v>8</v>
      </c>
      <c r="D5725" s="51">
        <v>112</v>
      </c>
    </row>
    <row r="5726" spans="1:4" x14ac:dyDescent="0.2">
      <c r="A5726" s="24">
        <v>45444</v>
      </c>
      <c r="B5726" s="25" t="s">
        <v>138</v>
      </c>
      <c r="C5726" s="25" t="s">
        <v>26</v>
      </c>
      <c r="D5726" s="51">
        <v>2</v>
      </c>
    </row>
    <row r="5727" spans="1:4" x14ac:dyDescent="0.2">
      <c r="A5727" s="24">
        <v>45444</v>
      </c>
      <c r="B5727" s="25" t="s">
        <v>138</v>
      </c>
      <c r="C5727" s="25" t="s">
        <v>2</v>
      </c>
      <c r="D5727" s="51">
        <v>212</v>
      </c>
    </row>
    <row r="5728" spans="1:4" x14ac:dyDescent="0.2">
      <c r="A5728" s="24">
        <v>45444</v>
      </c>
      <c r="B5728" s="25" t="s">
        <v>139</v>
      </c>
      <c r="C5728" s="25" t="s">
        <v>4</v>
      </c>
      <c r="D5728" s="51">
        <v>1090</v>
      </c>
    </row>
    <row r="5729" spans="1:4" x14ac:dyDescent="0.2">
      <c r="A5729" s="24">
        <v>45444</v>
      </c>
      <c r="B5729" s="25" t="s">
        <v>139</v>
      </c>
      <c r="C5729" s="25" t="s">
        <v>8</v>
      </c>
      <c r="D5729" s="51">
        <v>44</v>
      </c>
    </row>
    <row r="5730" spans="1:4" x14ac:dyDescent="0.2">
      <c r="A5730" s="24">
        <v>45444</v>
      </c>
      <c r="B5730" s="25" t="s">
        <v>139</v>
      </c>
      <c r="C5730" s="25" t="s">
        <v>26</v>
      </c>
      <c r="D5730" s="51">
        <v>40</v>
      </c>
    </row>
    <row r="5731" spans="1:4" x14ac:dyDescent="0.2">
      <c r="A5731" s="24">
        <v>45444</v>
      </c>
      <c r="B5731" s="25" t="s">
        <v>139</v>
      </c>
      <c r="C5731" s="25" t="s">
        <v>142</v>
      </c>
      <c r="D5731" s="51">
        <v>18</v>
      </c>
    </row>
    <row r="5732" spans="1:4" x14ac:dyDescent="0.2">
      <c r="A5732" s="24">
        <v>45444</v>
      </c>
      <c r="B5732" s="25" t="s">
        <v>139</v>
      </c>
      <c r="C5732" s="25" t="s">
        <v>2</v>
      </c>
      <c r="D5732" s="51">
        <v>1008</v>
      </c>
    </row>
    <row r="5733" spans="1:4" x14ac:dyDescent="0.2">
      <c r="A5733" s="24">
        <v>45444</v>
      </c>
      <c r="B5733" s="25" t="s">
        <v>120</v>
      </c>
      <c r="C5733" s="25" t="s">
        <v>4</v>
      </c>
      <c r="D5733" s="51">
        <v>67497</v>
      </c>
    </row>
    <row r="5734" spans="1:4" x14ac:dyDescent="0.2">
      <c r="A5734" s="24">
        <v>45444</v>
      </c>
      <c r="B5734" s="25" t="s">
        <v>120</v>
      </c>
      <c r="C5734" s="25" t="s">
        <v>8</v>
      </c>
      <c r="D5734" s="51">
        <v>4108</v>
      </c>
    </row>
    <row r="5735" spans="1:4" x14ac:dyDescent="0.2">
      <c r="A5735" s="24">
        <v>45444</v>
      </c>
      <c r="B5735" s="25" t="s">
        <v>120</v>
      </c>
      <c r="C5735" s="25" t="s">
        <v>26</v>
      </c>
      <c r="D5735" s="51">
        <v>9006</v>
      </c>
    </row>
    <row r="5736" spans="1:4" x14ac:dyDescent="0.2">
      <c r="A5736" s="24">
        <v>45444</v>
      </c>
      <c r="B5736" s="25" t="s">
        <v>120</v>
      </c>
      <c r="C5736" s="25" t="s">
        <v>142</v>
      </c>
      <c r="D5736" s="51">
        <v>9163.6200000000008</v>
      </c>
    </row>
    <row r="5737" spans="1:4" x14ac:dyDescent="0.2">
      <c r="A5737" s="24">
        <v>45444</v>
      </c>
      <c r="B5737" s="25" t="s">
        <v>120</v>
      </c>
      <c r="C5737" s="25" t="s">
        <v>2</v>
      </c>
      <c r="D5737" s="51">
        <v>202060.75</v>
      </c>
    </row>
    <row r="5738" spans="1:4" x14ac:dyDescent="0.2">
      <c r="A5738" s="24">
        <v>45444</v>
      </c>
      <c r="B5738" s="25" t="s">
        <v>120</v>
      </c>
      <c r="C5738" s="25" t="s">
        <v>143</v>
      </c>
      <c r="D5738" s="51">
        <v>1</v>
      </c>
    </row>
    <row r="5739" spans="1:4" x14ac:dyDescent="0.2">
      <c r="A5739" s="24">
        <v>45444</v>
      </c>
      <c r="B5739" s="25" t="s">
        <v>121</v>
      </c>
      <c r="C5739" s="25" t="s">
        <v>4</v>
      </c>
      <c r="D5739" s="51">
        <v>26000</v>
      </c>
    </row>
    <row r="5740" spans="1:4" x14ac:dyDescent="0.2">
      <c r="A5740" s="24">
        <v>45444</v>
      </c>
      <c r="B5740" s="25" t="s">
        <v>121</v>
      </c>
      <c r="C5740" s="25" t="s">
        <v>8</v>
      </c>
      <c r="D5740" s="51">
        <v>1621</v>
      </c>
    </row>
    <row r="5741" spans="1:4" x14ac:dyDescent="0.2">
      <c r="A5741" s="24">
        <v>45444</v>
      </c>
      <c r="B5741" s="25" t="s">
        <v>121</v>
      </c>
      <c r="C5741" s="25" t="s">
        <v>26</v>
      </c>
      <c r="D5741" s="51">
        <v>2862</v>
      </c>
    </row>
    <row r="5742" spans="1:4" x14ac:dyDescent="0.2">
      <c r="A5742" s="24">
        <v>45444</v>
      </c>
      <c r="B5742" s="25" t="s">
        <v>121</v>
      </c>
      <c r="C5742" s="25" t="s">
        <v>142</v>
      </c>
      <c r="D5742" s="51">
        <v>1663.86</v>
      </c>
    </row>
    <row r="5743" spans="1:4" x14ac:dyDescent="0.2">
      <c r="A5743" s="24">
        <v>45444</v>
      </c>
      <c r="B5743" s="25" t="s">
        <v>121</v>
      </c>
      <c r="C5743" s="25" t="s">
        <v>2</v>
      </c>
      <c r="D5743" s="51">
        <v>23665.14</v>
      </c>
    </row>
    <row r="5744" spans="1:4" x14ac:dyDescent="0.2">
      <c r="A5744" s="24">
        <v>45444</v>
      </c>
      <c r="B5744" s="25" t="s">
        <v>140</v>
      </c>
      <c r="C5744" s="25" t="s">
        <v>4</v>
      </c>
      <c r="D5744" s="51">
        <v>18924</v>
      </c>
    </row>
    <row r="5745" spans="1:4" x14ac:dyDescent="0.2">
      <c r="A5745" s="24">
        <v>45444</v>
      </c>
      <c r="B5745" s="25" t="s">
        <v>122</v>
      </c>
      <c r="C5745" s="25" t="s">
        <v>4</v>
      </c>
      <c r="D5745" s="51">
        <v>1212403</v>
      </c>
    </row>
    <row r="5746" spans="1:4" x14ac:dyDescent="0.2">
      <c r="A5746" s="24">
        <v>45444</v>
      </c>
      <c r="B5746" s="25" t="s">
        <v>122</v>
      </c>
      <c r="C5746" s="25" t="s">
        <v>8</v>
      </c>
      <c r="D5746" s="51">
        <v>9178</v>
      </c>
    </row>
    <row r="5747" spans="1:4" x14ac:dyDescent="0.2">
      <c r="A5747" s="24">
        <v>45444</v>
      </c>
      <c r="B5747" s="25" t="s">
        <v>122</v>
      </c>
      <c r="C5747" s="25" t="s">
        <v>26</v>
      </c>
      <c r="D5747" s="51">
        <v>33627</v>
      </c>
    </row>
    <row r="5748" spans="1:4" x14ac:dyDescent="0.2">
      <c r="A5748" s="24">
        <v>45444</v>
      </c>
      <c r="B5748" s="25" t="s">
        <v>122</v>
      </c>
      <c r="C5748" s="25" t="s">
        <v>142</v>
      </c>
      <c r="D5748" s="51">
        <v>161638.01999999999</v>
      </c>
    </row>
    <row r="5749" spans="1:4" x14ac:dyDescent="0.2">
      <c r="A5749" s="24">
        <v>45444</v>
      </c>
      <c r="B5749" s="25" t="s">
        <v>122</v>
      </c>
      <c r="C5749" s="25" t="s">
        <v>2</v>
      </c>
      <c r="D5749" s="51">
        <v>908555.82</v>
      </c>
    </row>
    <row r="5750" spans="1:4" x14ac:dyDescent="0.2">
      <c r="A5750" s="24">
        <v>45444</v>
      </c>
      <c r="B5750" s="25" t="s">
        <v>123</v>
      </c>
      <c r="C5750" s="25" t="s">
        <v>4</v>
      </c>
      <c r="D5750" s="51">
        <v>3030368</v>
      </c>
    </row>
    <row r="5751" spans="1:4" x14ac:dyDescent="0.2">
      <c r="A5751" s="24">
        <v>45444</v>
      </c>
      <c r="B5751" s="25" t="s">
        <v>123</v>
      </c>
      <c r="C5751" s="25" t="s">
        <v>8</v>
      </c>
      <c r="D5751" s="51">
        <v>161668</v>
      </c>
    </row>
    <row r="5752" spans="1:4" x14ac:dyDescent="0.2">
      <c r="A5752" s="24">
        <v>45444</v>
      </c>
      <c r="B5752" s="25" t="s">
        <v>123</v>
      </c>
      <c r="C5752" s="25" t="s">
        <v>26</v>
      </c>
      <c r="D5752" s="51">
        <v>358961</v>
      </c>
    </row>
    <row r="5753" spans="1:4" x14ac:dyDescent="0.2">
      <c r="A5753" s="24">
        <v>45444</v>
      </c>
      <c r="B5753" s="25" t="s">
        <v>123</v>
      </c>
      <c r="C5753" s="25" t="s">
        <v>142</v>
      </c>
      <c r="D5753" s="51">
        <v>141236.04</v>
      </c>
    </row>
    <row r="5754" spans="1:4" x14ac:dyDescent="0.2">
      <c r="A5754" s="24">
        <v>45444</v>
      </c>
      <c r="B5754" s="25" t="s">
        <v>123</v>
      </c>
      <c r="C5754" s="25" t="s">
        <v>2</v>
      </c>
      <c r="D5754" s="51">
        <v>2366099.5299999998</v>
      </c>
    </row>
    <row r="5755" spans="1:4" x14ac:dyDescent="0.2">
      <c r="A5755" s="24">
        <v>45444</v>
      </c>
      <c r="B5755" s="25" t="s">
        <v>124</v>
      </c>
      <c r="C5755" s="25" t="s">
        <v>8</v>
      </c>
      <c r="D5755" s="51">
        <v>18814</v>
      </c>
    </row>
    <row r="5756" spans="1:4" x14ac:dyDescent="0.2">
      <c r="A5756" s="24">
        <v>45444</v>
      </c>
      <c r="B5756" s="25" t="s">
        <v>125</v>
      </c>
      <c r="C5756" s="25" t="s">
        <v>8</v>
      </c>
      <c r="D5756" s="51">
        <v>11232</v>
      </c>
    </row>
    <row r="5757" spans="1:4" x14ac:dyDescent="0.2">
      <c r="A5757" s="24">
        <v>45444</v>
      </c>
      <c r="B5757" s="25" t="s">
        <v>127</v>
      </c>
      <c r="C5757" s="25" t="s">
        <v>26</v>
      </c>
      <c r="D5757" s="51">
        <v>3095</v>
      </c>
    </row>
    <row r="5758" spans="1:4" x14ac:dyDescent="0.2">
      <c r="A5758" s="24">
        <v>45444</v>
      </c>
      <c r="B5758" s="25" t="s">
        <v>128</v>
      </c>
      <c r="C5758" s="25" t="s">
        <v>26</v>
      </c>
      <c r="D5758" s="51">
        <v>1648</v>
      </c>
    </row>
    <row r="5759" spans="1:4" x14ac:dyDescent="0.2">
      <c r="A5759" s="24">
        <v>45444</v>
      </c>
      <c r="B5759" s="25" t="s">
        <v>129</v>
      </c>
      <c r="C5759" s="25" t="s">
        <v>142</v>
      </c>
      <c r="D5759" s="51">
        <v>3357.75</v>
      </c>
    </row>
    <row r="5760" spans="1:4" x14ac:dyDescent="0.2">
      <c r="A5760" s="24">
        <v>45444</v>
      </c>
      <c r="B5760" s="25" t="s">
        <v>129</v>
      </c>
      <c r="C5760" s="25" t="s">
        <v>2</v>
      </c>
      <c r="D5760" s="51">
        <v>77350.16</v>
      </c>
    </row>
    <row r="5761" spans="1:4" x14ac:dyDescent="0.2">
      <c r="A5761" s="24">
        <v>45444</v>
      </c>
      <c r="B5761" s="25" t="s">
        <v>129</v>
      </c>
      <c r="C5761" s="25" t="s">
        <v>143</v>
      </c>
      <c r="D5761" s="51">
        <v>1</v>
      </c>
    </row>
    <row r="5762" spans="1:4" x14ac:dyDescent="0.2">
      <c r="A5762" s="24">
        <v>45444</v>
      </c>
      <c r="B5762" s="25" t="s">
        <v>130</v>
      </c>
      <c r="C5762" s="25" t="s">
        <v>142</v>
      </c>
      <c r="D5762" s="51">
        <v>4426.8100000000004</v>
      </c>
    </row>
    <row r="5763" spans="1:4" x14ac:dyDescent="0.2">
      <c r="A5763" s="24">
        <v>45444</v>
      </c>
      <c r="B5763" s="25" t="s">
        <v>130</v>
      </c>
      <c r="C5763" s="25" t="s">
        <v>2</v>
      </c>
      <c r="D5763" s="51">
        <v>47978.76</v>
      </c>
    </row>
    <row r="5764" spans="1:4" x14ac:dyDescent="0.2">
      <c r="A5764" s="24">
        <v>45444</v>
      </c>
      <c r="B5764" s="25" t="s">
        <v>144</v>
      </c>
      <c r="C5764" s="25" t="s">
        <v>4</v>
      </c>
      <c r="D5764" s="51">
        <v>148</v>
      </c>
    </row>
    <row r="5765" spans="1:4" x14ac:dyDescent="0.2">
      <c r="A5765" s="24">
        <v>45444</v>
      </c>
      <c r="B5765" s="25" t="s">
        <v>144</v>
      </c>
      <c r="C5765" s="25" t="s">
        <v>26</v>
      </c>
      <c r="D5765" s="51">
        <v>3</v>
      </c>
    </row>
    <row r="5766" spans="1:4" x14ac:dyDescent="0.2">
      <c r="A5766" s="24">
        <v>45444</v>
      </c>
      <c r="B5766" s="25" t="s">
        <v>144</v>
      </c>
      <c r="C5766" s="25" t="s">
        <v>142</v>
      </c>
      <c r="D5766" s="51">
        <v>12</v>
      </c>
    </row>
    <row r="5767" spans="1:4" x14ac:dyDescent="0.2">
      <c r="A5767" s="24">
        <v>45444</v>
      </c>
      <c r="B5767" s="25" t="s">
        <v>144</v>
      </c>
      <c r="C5767" s="25" t="s">
        <v>2</v>
      </c>
      <c r="D5767" s="51">
        <v>194</v>
      </c>
    </row>
    <row r="5768" spans="1:4" x14ac:dyDescent="0.2">
      <c r="A5768" s="24">
        <v>45809</v>
      </c>
      <c r="B5768" s="25" t="s">
        <v>117</v>
      </c>
      <c r="C5768" s="25" t="s">
        <v>4</v>
      </c>
      <c r="D5768" s="51">
        <v>6069753</v>
      </c>
    </row>
    <row r="5769" spans="1:4" x14ac:dyDescent="0.2">
      <c r="A5769" s="24">
        <v>45809</v>
      </c>
      <c r="B5769" s="25" t="s">
        <v>117</v>
      </c>
      <c r="C5769" s="25" t="s">
        <v>8</v>
      </c>
      <c r="D5769" s="51">
        <v>309133</v>
      </c>
    </row>
    <row r="5770" spans="1:4" x14ac:dyDescent="0.2">
      <c r="A5770" s="24">
        <v>45809</v>
      </c>
      <c r="B5770" s="25" t="s">
        <v>117</v>
      </c>
      <c r="C5770" s="25" t="s">
        <v>26</v>
      </c>
      <c r="D5770" s="51">
        <v>1209174</v>
      </c>
    </row>
    <row r="5771" spans="1:4" x14ac:dyDescent="0.2">
      <c r="A5771" s="24">
        <v>45809</v>
      </c>
      <c r="B5771" s="25" t="s">
        <v>117</v>
      </c>
      <c r="C5771" s="25" t="s">
        <v>142</v>
      </c>
      <c r="D5771" s="51">
        <v>2276887.06</v>
      </c>
    </row>
    <row r="5772" spans="1:4" x14ac:dyDescent="0.2">
      <c r="A5772" s="24">
        <v>45809</v>
      </c>
      <c r="B5772" s="25" t="s">
        <v>117</v>
      </c>
      <c r="C5772" s="25" t="s">
        <v>2</v>
      </c>
      <c r="D5772" s="51">
        <v>9113955.7100000009</v>
      </c>
    </row>
    <row r="5773" spans="1:4" x14ac:dyDescent="0.2">
      <c r="A5773" s="24">
        <v>45809</v>
      </c>
      <c r="B5773" s="25" t="s">
        <v>137</v>
      </c>
      <c r="C5773" s="25" t="s">
        <v>4</v>
      </c>
      <c r="D5773" s="51">
        <v>7223468</v>
      </c>
    </row>
    <row r="5774" spans="1:4" x14ac:dyDescent="0.2">
      <c r="A5774" s="24">
        <v>45809</v>
      </c>
      <c r="B5774" s="25" t="s">
        <v>137</v>
      </c>
      <c r="C5774" s="25" t="s">
        <v>8</v>
      </c>
      <c r="D5774" s="51">
        <v>707681</v>
      </c>
    </row>
    <row r="5775" spans="1:4" x14ac:dyDescent="0.2">
      <c r="A5775" s="24">
        <v>45809</v>
      </c>
      <c r="B5775" s="25" t="s">
        <v>137</v>
      </c>
      <c r="C5775" s="25" t="s">
        <v>26</v>
      </c>
      <c r="D5775" s="51">
        <v>1577013</v>
      </c>
    </row>
    <row r="5776" spans="1:4" x14ac:dyDescent="0.2">
      <c r="A5776" s="24">
        <v>45809</v>
      </c>
      <c r="B5776" s="25" t="s">
        <v>137</v>
      </c>
      <c r="C5776" s="25" t="s">
        <v>142</v>
      </c>
      <c r="D5776" s="51">
        <v>2485381.41</v>
      </c>
    </row>
    <row r="5777" spans="1:4" x14ac:dyDescent="0.2">
      <c r="A5777" s="24">
        <v>45809</v>
      </c>
      <c r="B5777" s="25" t="s">
        <v>137</v>
      </c>
      <c r="C5777" s="25" t="s">
        <v>2</v>
      </c>
      <c r="D5777" s="51">
        <v>9195358.8800000008</v>
      </c>
    </row>
    <row r="5778" spans="1:4" x14ac:dyDescent="0.2">
      <c r="A5778" s="24">
        <v>45809</v>
      </c>
      <c r="B5778" s="25" t="s">
        <v>118</v>
      </c>
      <c r="C5778" s="25" t="s">
        <v>4</v>
      </c>
      <c r="D5778" s="51">
        <v>534469</v>
      </c>
    </row>
    <row r="5779" spans="1:4" x14ac:dyDescent="0.2">
      <c r="A5779" s="24">
        <v>45809</v>
      </c>
      <c r="B5779" s="25" t="s">
        <v>118</v>
      </c>
      <c r="C5779" s="25" t="s">
        <v>8</v>
      </c>
      <c r="D5779" s="51">
        <v>63180</v>
      </c>
    </row>
    <row r="5780" spans="1:4" x14ac:dyDescent="0.2">
      <c r="A5780" s="24">
        <v>45809</v>
      </c>
      <c r="B5780" s="25" t="s">
        <v>118</v>
      </c>
      <c r="C5780" s="25" t="s">
        <v>26</v>
      </c>
      <c r="D5780" s="51">
        <v>100181</v>
      </c>
    </row>
    <row r="5781" spans="1:4" x14ac:dyDescent="0.2">
      <c r="A5781" s="24">
        <v>45809</v>
      </c>
      <c r="B5781" s="25" t="s">
        <v>118</v>
      </c>
      <c r="C5781" s="25" t="s">
        <v>142</v>
      </c>
      <c r="D5781" s="51">
        <v>206625.36</v>
      </c>
    </row>
    <row r="5782" spans="1:4" x14ac:dyDescent="0.2">
      <c r="A5782" s="24">
        <v>45809</v>
      </c>
      <c r="B5782" s="25" t="s">
        <v>118</v>
      </c>
      <c r="C5782" s="25" t="s">
        <v>2</v>
      </c>
      <c r="D5782" s="51">
        <v>576481.65</v>
      </c>
    </row>
    <row r="5783" spans="1:4" x14ac:dyDescent="0.2">
      <c r="A5783" s="24">
        <v>45809</v>
      </c>
      <c r="B5783" s="25" t="s">
        <v>119</v>
      </c>
      <c r="C5783" s="25" t="s">
        <v>4</v>
      </c>
      <c r="D5783" s="51">
        <v>853279</v>
      </c>
    </row>
    <row r="5784" spans="1:4" x14ac:dyDescent="0.2">
      <c r="A5784" s="24">
        <v>45809</v>
      </c>
      <c r="B5784" s="25" t="s">
        <v>119</v>
      </c>
      <c r="C5784" s="25" t="s">
        <v>8</v>
      </c>
      <c r="D5784" s="51">
        <v>21456</v>
      </c>
    </row>
    <row r="5785" spans="1:4" x14ac:dyDescent="0.2">
      <c r="A5785" s="24">
        <v>45809</v>
      </c>
      <c r="B5785" s="25" t="s">
        <v>119</v>
      </c>
      <c r="C5785" s="25" t="s">
        <v>26</v>
      </c>
      <c r="D5785" s="51">
        <v>350837</v>
      </c>
    </row>
    <row r="5786" spans="1:4" x14ac:dyDescent="0.2">
      <c r="A5786" s="24">
        <v>45809</v>
      </c>
      <c r="B5786" s="25" t="s">
        <v>119</v>
      </c>
      <c r="C5786" s="25" t="s">
        <v>142</v>
      </c>
      <c r="D5786" s="51">
        <v>388645.75</v>
      </c>
    </row>
    <row r="5787" spans="1:4" x14ac:dyDescent="0.2">
      <c r="A5787" s="24">
        <v>45809</v>
      </c>
      <c r="B5787" s="25" t="s">
        <v>119</v>
      </c>
      <c r="C5787" s="25" t="s">
        <v>2</v>
      </c>
      <c r="D5787" s="51">
        <v>1100582.45</v>
      </c>
    </row>
    <row r="5788" spans="1:4" x14ac:dyDescent="0.2">
      <c r="A5788" s="24">
        <v>45809</v>
      </c>
      <c r="B5788" s="25" t="s">
        <v>138</v>
      </c>
      <c r="C5788" s="25" t="s">
        <v>4</v>
      </c>
      <c r="D5788" s="51">
        <v>48</v>
      </c>
    </row>
    <row r="5789" spans="1:4" x14ac:dyDescent="0.2">
      <c r="A5789" s="24">
        <v>45809</v>
      </c>
      <c r="B5789" s="25" t="s">
        <v>138</v>
      </c>
      <c r="C5789" s="25" t="s">
        <v>8</v>
      </c>
      <c r="D5789" s="51">
        <v>51</v>
      </c>
    </row>
    <row r="5790" spans="1:4" x14ac:dyDescent="0.2">
      <c r="A5790" s="24">
        <v>45809</v>
      </c>
      <c r="B5790" s="25" t="s">
        <v>138</v>
      </c>
      <c r="C5790" s="25" t="s">
        <v>26</v>
      </c>
      <c r="D5790" s="51">
        <v>36</v>
      </c>
    </row>
    <row r="5791" spans="1:4" x14ac:dyDescent="0.2">
      <c r="A5791" s="24">
        <v>45809</v>
      </c>
      <c r="B5791" s="25" t="s">
        <v>138</v>
      </c>
      <c r="C5791" s="25" t="s">
        <v>142</v>
      </c>
      <c r="D5791" s="51">
        <v>1.21</v>
      </c>
    </row>
    <row r="5792" spans="1:4" x14ac:dyDescent="0.2">
      <c r="A5792" s="24">
        <v>45809</v>
      </c>
      <c r="B5792" s="25" t="s">
        <v>138</v>
      </c>
      <c r="C5792" s="25" t="s">
        <v>2</v>
      </c>
      <c r="D5792" s="51">
        <v>209.79</v>
      </c>
    </row>
    <row r="5793" spans="1:4" x14ac:dyDescent="0.2">
      <c r="A5793" s="24">
        <v>45809</v>
      </c>
      <c r="B5793" s="25" t="s">
        <v>139</v>
      </c>
      <c r="C5793" s="25" t="s">
        <v>4</v>
      </c>
      <c r="D5793" s="51">
        <v>1393</v>
      </c>
    </row>
    <row r="5794" spans="1:4" x14ac:dyDescent="0.2">
      <c r="A5794" s="24">
        <v>45809</v>
      </c>
      <c r="B5794" s="25" t="s">
        <v>139</v>
      </c>
      <c r="C5794" s="25" t="s">
        <v>8</v>
      </c>
      <c r="D5794" s="51">
        <v>30</v>
      </c>
    </row>
    <row r="5795" spans="1:4" x14ac:dyDescent="0.2">
      <c r="A5795" s="24">
        <v>45809</v>
      </c>
      <c r="B5795" s="25" t="s">
        <v>139</v>
      </c>
      <c r="C5795" s="25" t="s">
        <v>26</v>
      </c>
      <c r="D5795" s="51">
        <v>76</v>
      </c>
    </row>
    <row r="5796" spans="1:4" x14ac:dyDescent="0.2">
      <c r="A5796" s="24">
        <v>45809</v>
      </c>
      <c r="B5796" s="25" t="s">
        <v>139</v>
      </c>
      <c r="C5796" s="25" t="s">
        <v>142</v>
      </c>
      <c r="D5796" s="51">
        <v>39.090000000000003</v>
      </c>
    </row>
    <row r="5797" spans="1:4" x14ac:dyDescent="0.2">
      <c r="A5797" s="24">
        <v>45809</v>
      </c>
      <c r="B5797" s="25" t="s">
        <v>139</v>
      </c>
      <c r="C5797" s="25" t="s">
        <v>2</v>
      </c>
      <c r="D5797" s="51">
        <v>935.96</v>
      </c>
    </row>
    <row r="5798" spans="1:4" x14ac:dyDescent="0.2">
      <c r="A5798" s="24">
        <v>45809</v>
      </c>
      <c r="B5798" s="25" t="s">
        <v>120</v>
      </c>
      <c r="C5798" s="25" t="s">
        <v>4</v>
      </c>
      <c r="D5798" s="51">
        <v>77854</v>
      </c>
    </row>
    <row r="5799" spans="1:4" x14ac:dyDescent="0.2">
      <c r="A5799" s="24">
        <v>45809</v>
      </c>
      <c r="B5799" s="25" t="s">
        <v>120</v>
      </c>
      <c r="C5799" s="25" t="s">
        <v>8</v>
      </c>
      <c r="D5799" s="51">
        <v>4627</v>
      </c>
    </row>
    <row r="5800" spans="1:4" x14ac:dyDescent="0.2">
      <c r="A5800" s="24">
        <v>45809</v>
      </c>
      <c r="B5800" s="25" t="s">
        <v>120</v>
      </c>
      <c r="C5800" s="25" t="s">
        <v>26</v>
      </c>
      <c r="D5800" s="51">
        <v>13836</v>
      </c>
    </row>
    <row r="5801" spans="1:4" x14ac:dyDescent="0.2">
      <c r="A5801" s="24">
        <v>45809</v>
      </c>
      <c r="B5801" s="25" t="s">
        <v>120</v>
      </c>
      <c r="C5801" s="25" t="s">
        <v>142</v>
      </c>
      <c r="D5801" s="51">
        <v>41683.57</v>
      </c>
    </row>
    <row r="5802" spans="1:4" x14ac:dyDescent="0.2">
      <c r="A5802" s="24">
        <v>45809</v>
      </c>
      <c r="B5802" s="25" t="s">
        <v>120</v>
      </c>
      <c r="C5802" s="25" t="s">
        <v>2</v>
      </c>
      <c r="D5802" s="51">
        <v>188840.06</v>
      </c>
    </row>
    <row r="5803" spans="1:4" x14ac:dyDescent="0.2">
      <c r="A5803" s="24">
        <v>45809</v>
      </c>
      <c r="B5803" s="25" t="s">
        <v>121</v>
      </c>
      <c r="C5803" s="25" t="s">
        <v>4</v>
      </c>
      <c r="D5803" s="51">
        <v>28247</v>
      </c>
    </row>
    <row r="5804" spans="1:4" x14ac:dyDescent="0.2">
      <c r="A5804" s="24">
        <v>45809</v>
      </c>
      <c r="B5804" s="25" t="s">
        <v>121</v>
      </c>
      <c r="C5804" s="25" t="s">
        <v>8</v>
      </c>
      <c r="D5804" s="51">
        <v>1849</v>
      </c>
    </row>
    <row r="5805" spans="1:4" x14ac:dyDescent="0.2">
      <c r="A5805" s="24">
        <v>45809</v>
      </c>
      <c r="B5805" s="25" t="s">
        <v>121</v>
      </c>
      <c r="C5805" s="25" t="s">
        <v>26</v>
      </c>
      <c r="D5805" s="51">
        <v>3878</v>
      </c>
    </row>
    <row r="5806" spans="1:4" x14ac:dyDescent="0.2">
      <c r="A5806" s="24">
        <v>45809</v>
      </c>
      <c r="B5806" s="25" t="s">
        <v>121</v>
      </c>
      <c r="C5806" s="25" t="s">
        <v>142</v>
      </c>
      <c r="D5806" s="51">
        <v>5499.84</v>
      </c>
    </row>
    <row r="5807" spans="1:4" x14ac:dyDescent="0.2">
      <c r="A5807" s="24">
        <v>45809</v>
      </c>
      <c r="B5807" s="25" t="s">
        <v>121</v>
      </c>
      <c r="C5807" s="25" t="s">
        <v>2</v>
      </c>
      <c r="D5807" s="51">
        <v>22663.19</v>
      </c>
    </row>
    <row r="5808" spans="1:4" x14ac:dyDescent="0.2">
      <c r="A5808" s="24">
        <v>45809</v>
      </c>
      <c r="B5808" s="25" t="s">
        <v>140</v>
      </c>
      <c r="C5808" s="25" t="s">
        <v>4</v>
      </c>
      <c r="D5808" s="51">
        <v>19234</v>
      </c>
    </row>
    <row r="5809" spans="1:4" x14ac:dyDescent="0.2">
      <c r="A5809" s="24">
        <v>45809</v>
      </c>
      <c r="B5809" s="25" t="s">
        <v>122</v>
      </c>
      <c r="C5809" s="25" t="s">
        <v>4</v>
      </c>
      <c r="D5809" s="51">
        <v>1209180</v>
      </c>
    </row>
    <row r="5810" spans="1:4" x14ac:dyDescent="0.2">
      <c r="A5810" s="24">
        <v>45809</v>
      </c>
      <c r="B5810" s="25" t="s">
        <v>122</v>
      </c>
      <c r="C5810" s="25" t="s">
        <v>8</v>
      </c>
      <c r="D5810" s="51">
        <v>9369</v>
      </c>
    </row>
    <row r="5811" spans="1:4" x14ac:dyDescent="0.2">
      <c r="A5811" s="24">
        <v>45809</v>
      </c>
      <c r="B5811" s="25" t="s">
        <v>122</v>
      </c>
      <c r="C5811" s="25" t="s">
        <v>26</v>
      </c>
      <c r="D5811" s="51">
        <v>47944</v>
      </c>
    </row>
    <row r="5812" spans="1:4" x14ac:dyDescent="0.2">
      <c r="A5812" s="24">
        <v>45809</v>
      </c>
      <c r="B5812" s="25" t="s">
        <v>122</v>
      </c>
      <c r="C5812" s="25" t="s">
        <v>142</v>
      </c>
      <c r="D5812" s="51">
        <v>297685.61</v>
      </c>
    </row>
    <row r="5813" spans="1:4" x14ac:dyDescent="0.2">
      <c r="A5813" s="24">
        <v>45809</v>
      </c>
      <c r="B5813" s="25" t="s">
        <v>122</v>
      </c>
      <c r="C5813" s="25" t="s">
        <v>2</v>
      </c>
      <c r="D5813" s="51">
        <v>843256.25</v>
      </c>
    </row>
    <row r="5814" spans="1:4" x14ac:dyDescent="0.2">
      <c r="A5814" s="24">
        <v>45809</v>
      </c>
      <c r="B5814" s="25" t="s">
        <v>123</v>
      </c>
      <c r="C5814" s="25" t="s">
        <v>4</v>
      </c>
      <c r="D5814" s="51">
        <v>3131093</v>
      </c>
    </row>
    <row r="5815" spans="1:4" x14ac:dyDescent="0.2">
      <c r="A5815" s="24">
        <v>45809</v>
      </c>
      <c r="B5815" s="25" t="s">
        <v>123</v>
      </c>
      <c r="C5815" s="25" t="s">
        <v>8</v>
      </c>
      <c r="D5815" s="51">
        <v>175913</v>
      </c>
    </row>
    <row r="5816" spans="1:4" x14ac:dyDescent="0.2">
      <c r="A5816" s="24">
        <v>45809</v>
      </c>
      <c r="B5816" s="25" t="s">
        <v>123</v>
      </c>
      <c r="C5816" s="25" t="s">
        <v>26</v>
      </c>
      <c r="D5816" s="51">
        <v>464471</v>
      </c>
    </row>
    <row r="5817" spans="1:4" x14ac:dyDescent="0.2">
      <c r="A5817" s="24">
        <v>45809</v>
      </c>
      <c r="B5817" s="25" t="s">
        <v>123</v>
      </c>
      <c r="C5817" s="25" t="s">
        <v>142</v>
      </c>
      <c r="D5817" s="51">
        <v>469013.7</v>
      </c>
    </row>
    <row r="5818" spans="1:4" x14ac:dyDescent="0.2">
      <c r="A5818" s="24">
        <v>45809</v>
      </c>
      <c r="B5818" s="25" t="s">
        <v>123</v>
      </c>
      <c r="C5818" s="25" t="s">
        <v>2</v>
      </c>
      <c r="D5818" s="51">
        <v>2324445.81</v>
      </c>
    </row>
    <row r="5819" spans="1:4" x14ac:dyDescent="0.2">
      <c r="A5819" s="24">
        <v>45809</v>
      </c>
      <c r="B5819" s="25" t="s">
        <v>124</v>
      </c>
      <c r="C5819" s="25" t="s">
        <v>8</v>
      </c>
      <c r="D5819" s="51">
        <v>17001</v>
      </c>
    </row>
    <row r="5820" spans="1:4" x14ac:dyDescent="0.2">
      <c r="A5820" s="24">
        <v>45809</v>
      </c>
      <c r="B5820" s="25" t="s">
        <v>125</v>
      </c>
      <c r="C5820" s="25" t="s">
        <v>8</v>
      </c>
      <c r="D5820" s="51">
        <v>10352</v>
      </c>
    </row>
    <row r="5821" spans="1:4" x14ac:dyDescent="0.2">
      <c r="A5821" s="24">
        <v>45809</v>
      </c>
      <c r="B5821" s="25" t="s">
        <v>127</v>
      </c>
      <c r="C5821" s="25" t="s">
        <v>26</v>
      </c>
      <c r="D5821" s="51">
        <v>2812</v>
      </c>
    </row>
    <row r="5822" spans="1:4" x14ac:dyDescent="0.2">
      <c r="A5822" s="24">
        <v>45809</v>
      </c>
      <c r="B5822" s="25" t="s">
        <v>128</v>
      </c>
      <c r="C5822" s="25" t="s">
        <v>26</v>
      </c>
      <c r="D5822" s="51">
        <v>1771</v>
      </c>
    </row>
    <row r="5823" spans="1:4" x14ac:dyDescent="0.2">
      <c r="A5823" s="24">
        <v>45809</v>
      </c>
      <c r="B5823" s="25" t="s">
        <v>129</v>
      </c>
      <c r="C5823" s="25" t="s">
        <v>142</v>
      </c>
      <c r="D5823" s="51">
        <v>10011.94</v>
      </c>
    </row>
    <row r="5824" spans="1:4" x14ac:dyDescent="0.2">
      <c r="A5824" s="24">
        <v>45809</v>
      </c>
      <c r="B5824" s="25" t="s">
        <v>129</v>
      </c>
      <c r="C5824" s="25" t="s">
        <v>2</v>
      </c>
      <c r="D5824" s="51">
        <v>63769.68</v>
      </c>
    </row>
    <row r="5825" spans="1:4" x14ac:dyDescent="0.2">
      <c r="A5825" s="24">
        <v>45809</v>
      </c>
      <c r="B5825" s="25" t="s">
        <v>130</v>
      </c>
      <c r="C5825" s="25" t="s">
        <v>142</v>
      </c>
      <c r="D5825" s="51">
        <v>13250.56</v>
      </c>
    </row>
    <row r="5826" spans="1:4" x14ac:dyDescent="0.2">
      <c r="A5826" s="24">
        <v>45809</v>
      </c>
      <c r="B5826" s="25" t="s">
        <v>130</v>
      </c>
      <c r="C5826" s="25" t="s">
        <v>2</v>
      </c>
      <c r="D5826" s="51">
        <v>42238.44</v>
      </c>
    </row>
    <row r="5827" spans="1:4" x14ac:dyDescent="0.2">
      <c r="A5827" s="24">
        <v>45809</v>
      </c>
      <c r="B5827" s="25" t="s">
        <v>144</v>
      </c>
      <c r="C5827" s="25" t="s">
        <v>4</v>
      </c>
      <c r="D5827" s="51">
        <v>23</v>
      </c>
    </row>
    <row r="5828" spans="1:4" x14ac:dyDescent="0.2">
      <c r="A5828" s="24">
        <v>45809</v>
      </c>
      <c r="B5828" s="25" t="s">
        <v>144</v>
      </c>
      <c r="C5828" s="25" t="s">
        <v>26</v>
      </c>
      <c r="D5828" s="51">
        <v>1</v>
      </c>
    </row>
    <row r="5829" spans="1:4" x14ac:dyDescent="0.2">
      <c r="A5829" s="24">
        <v>45809</v>
      </c>
      <c r="B5829" s="25" t="s">
        <v>144</v>
      </c>
      <c r="C5829" s="25" t="s">
        <v>142</v>
      </c>
      <c r="D5829" s="51">
        <v>1.83</v>
      </c>
    </row>
    <row r="5830" spans="1:4" x14ac:dyDescent="0.2">
      <c r="A5830" s="24">
        <v>45809</v>
      </c>
      <c r="B5830" s="25" t="s">
        <v>144</v>
      </c>
      <c r="C5830" s="25" t="s">
        <v>2</v>
      </c>
      <c r="D5830" s="51">
        <v>29</v>
      </c>
    </row>
    <row r="5831" spans="1:4" x14ac:dyDescent="0.2">
      <c r="A5831" s="24">
        <v>45352</v>
      </c>
      <c r="B5831" s="25" t="s">
        <v>117</v>
      </c>
      <c r="C5831" s="25" t="s">
        <v>4</v>
      </c>
      <c r="D5831" s="51">
        <v>7318169</v>
      </c>
    </row>
    <row r="5832" spans="1:4" x14ac:dyDescent="0.2">
      <c r="A5832" s="24">
        <v>45352</v>
      </c>
      <c r="B5832" s="25" t="s">
        <v>117</v>
      </c>
      <c r="C5832" s="25" t="s">
        <v>8</v>
      </c>
      <c r="D5832" s="51">
        <v>471340</v>
      </c>
    </row>
    <row r="5833" spans="1:4" x14ac:dyDescent="0.2">
      <c r="A5833" s="24">
        <v>45352</v>
      </c>
      <c r="B5833" s="25" t="s">
        <v>117</v>
      </c>
      <c r="C5833" s="25" t="s">
        <v>26</v>
      </c>
      <c r="D5833" s="51">
        <v>1346495</v>
      </c>
    </row>
    <row r="5834" spans="1:4" x14ac:dyDescent="0.2">
      <c r="A5834" s="24">
        <v>45352</v>
      </c>
      <c r="B5834" s="25" t="s">
        <v>117</v>
      </c>
      <c r="C5834" s="25" t="s">
        <v>142</v>
      </c>
      <c r="D5834" s="51">
        <v>806511</v>
      </c>
    </row>
    <row r="5835" spans="1:4" x14ac:dyDescent="0.2">
      <c r="A5835" s="24">
        <v>45352</v>
      </c>
      <c r="B5835" s="25" t="s">
        <v>117</v>
      </c>
      <c r="C5835" s="25" t="s">
        <v>2</v>
      </c>
      <c r="D5835" s="51">
        <v>11803250.66</v>
      </c>
    </row>
    <row r="5836" spans="1:4" x14ac:dyDescent="0.2">
      <c r="A5836" s="24">
        <v>45352</v>
      </c>
      <c r="B5836" s="25" t="s">
        <v>117</v>
      </c>
      <c r="C5836" s="25" t="s">
        <v>143</v>
      </c>
      <c r="D5836" s="51">
        <v>2</v>
      </c>
    </row>
    <row r="5837" spans="1:4" x14ac:dyDescent="0.2">
      <c r="A5837" s="24">
        <v>45352</v>
      </c>
      <c r="B5837" s="25" t="s">
        <v>137</v>
      </c>
      <c r="C5837" s="25" t="s">
        <v>4</v>
      </c>
      <c r="D5837" s="51">
        <v>7413240</v>
      </c>
    </row>
    <row r="5838" spans="1:4" x14ac:dyDescent="0.2">
      <c r="A5838" s="24">
        <v>45352</v>
      </c>
      <c r="B5838" s="25" t="s">
        <v>137</v>
      </c>
      <c r="C5838" s="25" t="s">
        <v>8</v>
      </c>
      <c r="D5838" s="51">
        <v>893419</v>
      </c>
    </row>
    <row r="5839" spans="1:4" x14ac:dyDescent="0.2">
      <c r="A5839" s="24">
        <v>45352</v>
      </c>
      <c r="B5839" s="25" t="s">
        <v>137</v>
      </c>
      <c r="C5839" s="25" t="s">
        <v>26</v>
      </c>
      <c r="D5839" s="51">
        <v>1612262</v>
      </c>
    </row>
    <row r="5840" spans="1:4" x14ac:dyDescent="0.2">
      <c r="A5840" s="24">
        <v>45352</v>
      </c>
      <c r="B5840" s="25" t="s">
        <v>137</v>
      </c>
      <c r="C5840" s="25" t="s">
        <v>142</v>
      </c>
      <c r="D5840" s="51">
        <v>579769</v>
      </c>
    </row>
    <row r="5841" spans="1:4" x14ac:dyDescent="0.2">
      <c r="A5841" s="24">
        <v>45352</v>
      </c>
      <c r="B5841" s="25" t="s">
        <v>137</v>
      </c>
      <c r="C5841" s="25" t="s">
        <v>2</v>
      </c>
      <c r="D5841" s="51">
        <v>10470828.470000001</v>
      </c>
    </row>
    <row r="5842" spans="1:4" x14ac:dyDescent="0.2">
      <c r="A5842" s="24">
        <v>45352</v>
      </c>
      <c r="B5842" s="25" t="s">
        <v>137</v>
      </c>
      <c r="C5842" s="25" t="s">
        <v>143</v>
      </c>
      <c r="D5842" s="51">
        <v>2</v>
      </c>
    </row>
    <row r="5843" spans="1:4" x14ac:dyDescent="0.2">
      <c r="A5843" s="24">
        <v>45352</v>
      </c>
      <c r="B5843" s="25" t="s">
        <v>118</v>
      </c>
      <c r="C5843" s="25" t="s">
        <v>4</v>
      </c>
      <c r="D5843" s="51">
        <v>670471</v>
      </c>
    </row>
    <row r="5844" spans="1:4" x14ac:dyDescent="0.2">
      <c r="A5844" s="24">
        <v>45352</v>
      </c>
      <c r="B5844" s="25" t="s">
        <v>118</v>
      </c>
      <c r="C5844" s="25" t="s">
        <v>8</v>
      </c>
      <c r="D5844" s="51">
        <v>69795</v>
      </c>
    </row>
    <row r="5845" spans="1:4" x14ac:dyDescent="0.2">
      <c r="A5845" s="24">
        <v>45352</v>
      </c>
      <c r="B5845" s="25" t="s">
        <v>118</v>
      </c>
      <c r="C5845" s="25" t="s">
        <v>26</v>
      </c>
      <c r="D5845" s="51">
        <v>100197</v>
      </c>
    </row>
    <row r="5846" spans="1:4" x14ac:dyDescent="0.2">
      <c r="A5846" s="24">
        <v>45352</v>
      </c>
      <c r="B5846" s="25" t="s">
        <v>118</v>
      </c>
      <c r="C5846" s="25" t="s">
        <v>142</v>
      </c>
      <c r="D5846" s="51">
        <v>75289.3</v>
      </c>
    </row>
    <row r="5847" spans="1:4" x14ac:dyDescent="0.2">
      <c r="A5847" s="24">
        <v>45352</v>
      </c>
      <c r="B5847" s="25" t="s">
        <v>118</v>
      </c>
      <c r="C5847" s="25" t="s">
        <v>2</v>
      </c>
      <c r="D5847" s="51">
        <v>703952.36</v>
      </c>
    </row>
    <row r="5848" spans="1:4" x14ac:dyDescent="0.2">
      <c r="A5848" s="24">
        <v>45352</v>
      </c>
      <c r="B5848" s="25" t="s">
        <v>119</v>
      </c>
      <c r="C5848" s="25" t="s">
        <v>4</v>
      </c>
      <c r="D5848" s="51">
        <v>1127669</v>
      </c>
    </row>
    <row r="5849" spans="1:4" x14ac:dyDescent="0.2">
      <c r="A5849" s="24">
        <v>45352</v>
      </c>
      <c r="B5849" s="25" t="s">
        <v>119</v>
      </c>
      <c r="C5849" s="25" t="s">
        <v>8</v>
      </c>
      <c r="D5849" s="51">
        <v>26400</v>
      </c>
    </row>
    <row r="5850" spans="1:4" x14ac:dyDescent="0.2">
      <c r="A5850" s="24">
        <v>45352</v>
      </c>
      <c r="B5850" s="25" t="s">
        <v>119</v>
      </c>
      <c r="C5850" s="25" t="s">
        <v>26</v>
      </c>
      <c r="D5850" s="51">
        <v>355508</v>
      </c>
    </row>
    <row r="5851" spans="1:4" x14ac:dyDescent="0.2">
      <c r="A5851" s="24">
        <v>45352</v>
      </c>
      <c r="B5851" s="25" t="s">
        <v>119</v>
      </c>
      <c r="C5851" s="25" t="s">
        <v>142</v>
      </c>
      <c r="D5851" s="51">
        <v>229799.54</v>
      </c>
    </row>
    <row r="5852" spans="1:4" x14ac:dyDescent="0.2">
      <c r="A5852" s="24">
        <v>45352</v>
      </c>
      <c r="B5852" s="25" t="s">
        <v>119</v>
      </c>
      <c r="C5852" s="25" t="s">
        <v>2</v>
      </c>
      <c r="D5852" s="51">
        <v>1773988.5</v>
      </c>
    </row>
    <row r="5853" spans="1:4" x14ac:dyDescent="0.2">
      <c r="A5853" s="24">
        <v>45352</v>
      </c>
      <c r="B5853" s="25" t="s">
        <v>138</v>
      </c>
      <c r="C5853" s="25" t="s">
        <v>4</v>
      </c>
      <c r="D5853" s="51">
        <v>9</v>
      </c>
    </row>
    <row r="5854" spans="1:4" x14ac:dyDescent="0.2">
      <c r="A5854" s="24">
        <v>45352</v>
      </c>
      <c r="B5854" s="25" t="s">
        <v>138</v>
      </c>
      <c r="C5854" s="25" t="s">
        <v>8</v>
      </c>
      <c r="D5854" s="51">
        <v>4</v>
      </c>
    </row>
    <row r="5855" spans="1:4" x14ac:dyDescent="0.2">
      <c r="A5855" s="24">
        <v>45352</v>
      </c>
      <c r="B5855" s="25" t="s">
        <v>138</v>
      </c>
      <c r="C5855" s="25" t="s">
        <v>26</v>
      </c>
      <c r="D5855" s="51">
        <v>6</v>
      </c>
    </row>
    <row r="5856" spans="1:4" x14ac:dyDescent="0.2">
      <c r="A5856" s="24">
        <v>45352</v>
      </c>
      <c r="B5856" s="25" t="s">
        <v>138</v>
      </c>
      <c r="C5856" s="25" t="s">
        <v>2</v>
      </c>
      <c r="D5856" s="51">
        <v>124</v>
      </c>
    </row>
    <row r="5857" spans="1:4" x14ac:dyDescent="0.2">
      <c r="A5857" s="24">
        <v>45352</v>
      </c>
      <c r="B5857" s="25" t="s">
        <v>139</v>
      </c>
      <c r="C5857" s="25" t="s">
        <v>4</v>
      </c>
      <c r="D5857" s="51">
        <v>1094</v>
      </c>
    </row>
    <row r="5858" spans="1:4" x14ac:dyDescent="0.2">
      <c r="A5858" s="24">
        <v>45352</v>
      </c>
      <c r="B5858" s="25" t="s">
        <v>139</v>
      </c>
      <c r="C5858" s="25" t="s">
        <v>8</v>
      </c>
      <c r="D5858" s="51">
        <v>42</v>
      </c>
    </row>
    <row r="5859" spans="1:4" x14ac:dyDescent="0.2">
      <c r="A5859" s="24">
        <v>45352</v>
      </c>
      <c r="B5859" s="25" t="s">
        <v>139</v>
      </c>
      <c r="C5859" s="25" t="s">
        <v>26</v>
      </c>
      <c r="D5859" s="51">
        <v>59</v>
      </c>
    </row>
    <row r="5860" spans="1:4" x14ac:dyDescent="0.2">
      <c r="A5860" s="24">
        <v>45352</v>
      </c>
      <c r="B5860" s="25" t="s">
        <v>139</v>
      </c>
      <c r="C5860" s="25" t="s">
        <v>142</v>
      </c>
      <c r="D5860" s="51">
        <v>5</v>
      </c>
    </row>
    <row r="5861" spans="1:4" x14ac:dyDescent="0.2">
      <c r="A5861" s="24">
        <v>45352</v>
      </c>
      <c r="B5861" s="25" t="s">
        <v>139</v>
      </c>
      <c r="C5861" s="25" t="s">
        <v>2</v>
      </c>
      <c r="D5861" s="51">
        <v>977</v>
      </c>
    </row>
    <row r="5862" spans="1:4" x14ac:dyDescent="0.2">
      <c r="A5862" s="24">
        <v>45352</v>
      </c>
      <c r="B5862" s="25" t="s">
        <v>120</v>
      </c>
      <c r="C5862" s="25" t="s">
        <v>4</v>
      </c>
      <c r="D5862" s="51">
        <v>61266</v>
      </c>
    </row>
    <row r="5863" spans="1:4" x14ac:dyDescent="0.2">
      <c r="A5863" s="24">
        <v>45352</v>
      </c>
      <c r="B5863" s="25" t="s">
        <v>120</v>
      </c>
      <c r="C5863" s="25" t="s">
        <v>8</v>
      </c>
      <c r="D5863" s="51">
        <v>4446</v>
      </c>
    </row>
    <row r="5864" spans="1:4" x14ac:dyDescent="0.2">
      <c r="A5864" s="24">
        <v>45352</v>
      </c>
      <c r="B5864" s="25" t="s">
        <v>120</v>
      </c>
      <c r="C5864" s="25" t="s">
        <v>26</v>
      </c>
      <c r="D5864" s="51">
        <v>9835</v>
      </c>
    </row>
    <row r="5865" spans="1:4" x14ac:dyDescent="0.2">
      <c r="A5865" s="24">
        <v>45352</v>
      </c>
      <c r="B5865" s="25" t="s">
        <v>120</v>
      </c>
      <c r="C5865" s="25" t="s">
        <v>142</v>
      </c>
      <c r="D5865" s="51">
        <v>7997</v>
      </c>
    </row>
    <row r="5866" spans="1:4" x14ac:dyDescent="0.2">
      <c r="A5866" s="24">
        <v>45352</v>
      </c>
      <c r="B5866" s="25" t="s">
        <v>120</v>
      </c>
      <c r="C5866" s="25" t="s">
        <v>2</v>
      </c>
      <c r="D5866" s="51">
        <v>195726.02</v>
      </c>
    </row>
    <row r="5867" spans="1:4" x14ac:dyDescent="0.2">
      <c r="A5867" s="24">
        <v>45352</v>
      </c>
      <c r="B5867" s="25" t="s">
        <v>121</v>
      </c>
      <c r="C5867" s="25" t="s">
        <v>4</v>
      </c>
      <c r="D5867" s="51">
        <v>29295</v>
      </c>
    </row>
    <row r="5868" spans="1:4" x14ac:dyDescent="0.2">
      <c r="A5868" s="24">
        <v>45352</v>
      </c>
      <c r="B5868" s="25" t="s">
        <v>121</v>
      </c>
      <c r="C5868" s="25" t="s">
        <v>8</v>
      </c>
      <c r="D5868" s="51">
        <v>1964</v>
      </c>
    </row>
    <row r="5869" spans="1:4" x14ac:dyDescent="0.2">
      <c r="A5869" s="24">
        <v>45352</v>
      </c>
      <c r="B5869" s="25" t="s">
        <v>121</v>
      </c>
      <c r="C5869" s="25" t="s">
        <v>26</v>
      </c>
      <c r="D5869" s="51">
        <v>3491</v>
      </c>
    </row>
    <row r="5870" spans="1:4" x14ac:dyDescent="0.2">
      <c r="A5870" s="24">
        <v>45352</v>
      </c>
      <c r="B5870" s="25" t="s">
        <v>121</v>
      </c>
      <c r="C5870" s="25" t="s">
        <v>142</v>
      </c>
      <c r="D5870" s="51">
        <v>1435.75</v>
      </c>
    </row>
    <row r="5871" spans="1:4" x14ac:dyDescent="0.2">
      <c r="A5871" s="24">
        <v>45352</v>
      </c>
      <c r="B5871" s="25" t="s">
        <v>121</v>
      </c>
      <c r="C5871" s="25" t="s">
        <v>2</v>
      </c>
      <c r="D5871" s="51">
        <v>25231.47</v>
      </c>
    </row>
    <row r="5872" spans="1:4" x14ac:dyDescent="0.2">
      <c r="A5872" s="24">
        <v>45352</v>
      </c>
      <c r="B5872" s="25" t="s">
        <v>140</v>
      </c>
      <c r="C5872" s="25" t="s">
        <v>4</v>
      </c>
      <c r="D5872" s="51">
        <v>20377</v>
      </c>
    </row>
    <row r="5873" spans="1:4" x14ac:dyDescent="0.2">
      <c r="A5873" s="24">
        <v>45352</v>
      </c>
      <c r="B5873" s="25" t="s">
        <v>122</v>
      </c>
      <c r="C5873" s="25" t="s">
        <v>4</v>
      </c>
      <c r="D5873" s="51">
        <v>1481872</v>
      </c>
    </row>
    <row r="5874" spans="1:4" x14ac:dyDescent="0.2">
      <c r="A5874" s="24">
        <v>45352</v>
      </c>
      <c r="B5874" s="25" t="s">
        <v>122</v>
      </c>
      <c r="C5874" s="25" t="s">
        <v>8</v>
      </c>
      <c r="D5874" s="51">
        <v>10782</v>
      </c>
    </row>
    <row r="5875" spans="1:4" x14ac:dyDescent="0.2">
      <c r="A5875" s="24">
        <v>45352</v>
      </c>
      <c r="B5875" s="25" t="s">
        <v>122</v>
      </c>
      <c r="C5875" s="25" t="s">
        <v>26</v>
      </c>
      <c r="D5875" s="51">
        <v>48123</v>
      </c>
    </row>
    <row r="5876" spans="1:4" x14ac:dyDescent="0.2">
      <c r="A5876" s="24">
        <v>45352</v>
      </c>
      <c r="B5876" s="25" t="s">
        <v>122</v>
      </c>
      <c r="C5876" s="25" t="s">
        <v>142</v>
      </c>
      <c r="D5876" s="51">
        <v>166074.76</v>
      </c>
    </row>
    <row r="5877" spans="1:4" x14ac:dyDescent="0.2">
      <c r="A5877" s="24">
        <v>45352</v>
      </c>
      <c r="B5877" s="25" t="s">
        <v>122</v>
      </c>
      <c r="C5877" s="25" t="s">
        <v>2</v>
      </c>
      <c r="D5877" s="51">
        <v>1041737.02</v>
      </c>
    </row>
    <row r="5878" spans="1:4" x14ac:dyDescent="0.2">
      <c r="A5878" s="24">
        <v>45352</v>
      </c>
      <c r="B5878" s="25" t="s">
        <v>123</v>
      </c>
      <c r="C5878" s="25" t="s">
        <v>4</v>
      </c>
      <c r="D5878" s="51">
        <v>3349307</v>
      </c>
    </row>
    <row r="5879" spans="1:4" x14ac:dyDescent="0.2">
      <c r="A5879" s="24">
        <v>45352</v>
      </c>
      <c r="B5879" s="25" t="s">
        <v>123</v>
      </c>
      <c r="C5879" s="25" t="s">
        <v>8</v>
      </c>
      <c r="D5879" s="51">
        <v>216193</v>
      </c>
    </row>
    <row r="5880" spans="1:4" x14ac:dyDescent="0.2">
      <c r="A5880" s="24">
        <v>45352</v>
      </c>
      <c r="B5880" s="25" t="s">
        <v>123</v>
      </c>
      <c r="C5880" s="25" t="s">
        <v>26</v>
      </c>
      <c r="D5880" s="51">
        <v>457098</v>
      </c>
    </row>
    <row r="5881" spans="1:4" x14ac:dyDescent="0.2">
      <c r="A5881" s="24">
        <v>45352</v>
      </c>
      <c r="B5881" s="25" t="s">
        <v>123</v>
      </c>
      <c r="C5881" s="25" t="s">
        <v>142</v>
      </c>
      <c r="D5881" s="51">
        <v>134824.74</v>
      </c>
    </row>
    <row r="5882" spans="1:4" x14ac:dyDescent="0.2">
      <c r="A5882" s="24">
        <v>45352</v>
      </c>
      <c r="B5882" s="25" t="s">
        <v>123</v>
      </c>
      <c r="C5882" s="25" t="s">
        <v>2</v>
      </c>
      <c r="D5882" s="51">
        <v>2590408.4300000002</v>
      </c>
    </row>
    <row r="5883" spans="1:4" x14ac:dyDescent="0.2">
      <c r="A5883" s="24">
        <v>45352</v>
      </c>
      <c r="B5883" s="25" t="s">
        <v>124</v>
      </c>
      <c r="C5883" s="25" t="s">
        <v>8</v>
      </c>
      <c r="D5883" s="51">
        <v>29781</v>
      </c>
    </row>
    <row r="5884" spans="1:4" x14ac:dyDescent="0.2">
      <c r="A5884" s="24">
        <v>45352</v>
      </c>
      <c r="B5884" s="25" t="s">
        <v>125</v>
      </c>
      <c r="C5884" s="25" t="s">
        <v>8</v>
      </c>
      <c r="D5884" s="51">
        <v>11344</v>
      </c>
    </row>
    <row r="5885" spans="1:4" x14ac:dyDescent="0.2">
      <c r="A5885" s="24">
        <v>45352</v>
      </c>
      <c r="B5885" s="25" t="s">
        <v>127</v>
      </c>
      <c r="C5885" s="25" t="s">
        <v>26</v>
      </c>
      <c r="D5885" s="51">
        <v>4274</v>
      </c>
    </row>
    <row r="5886" spans="1:4" x14ac:dyDescent="0.2">
      <c r="A5886" s="24">
        <v>45352</v>
      </c>
      <c r="B5886" s="25" t="s">
        <v>128</v>
      </c>
      <c r="C5886" s="25" t="s">
        <v>26</v>
      </c>
      <c r="D5886" s="51">
        <v>1636</v>
      </c>
    </row>
    <row r="5887" spans="1:4" x14ac:dyDescent="0.2">
      <c r="A5887" s="24">
        <v>45352</v>
      </c>
      <c r="B5887" s="25" t="s">
        <v>129</v>
      </c>
      <c r="C5887" s="25" t="s">
        <v>142</v>
      </c>
      <c r="D5887" s="51">
        <v>3622.48</v>
      </c>
    </row>
    <row r="5888" spans="1:4" x14ac:dyDescent="0.2">
      <c r="A5888" s="24">
        <v>45352</v>
      </c>
      <c r="B5888" s="25" t="s">
        <v>129</v>
      </c>
      <c r="C5888" s="25" t="s">
        <v>2</v>
      </c>
      <c r="D5888" s="51">
        <v>96226.98</v>
      </c>
    </row>
    <row r="5889" spans="1:4" x14ac:dyDescent="0.2">
      <c r="A5889" s="24">
        <v>45352</v>
      </c>
      <c r="B5889" s="25" t="s">
        <v>130</v>
      </c>
      <c r="C5889" s="25" t="s">
        <v>142</v>
      </c>
      <c r="D5889" s="51">
        <v>3233.73</v>
      </c>
    </row>
    <row r="5890" spans="1:4" x14ac:dyDescent="0.2">
      <c r="A5890" s="24">
        <v>45352</v>
      </c>
      <c r="B5890" s="25" t="s">
        <v>130</v>
      </c>
      <c r="C5890" s="25" t="s">
        <v>2</v>
      </c>
      <c r="D5890" s="51">
        <v>43404.28</v>
      </c>
    </row>
    <row r="5891" spans="1:4" x14ac:dyDescent="0.2">
      <c r="A5891" s="24">
        <v>45352</v>
      </c>
      <c r="B5891" s="25" t="s">
        <v>144</v>
      </c>
      <c r="C5891" s="25" t="s">
        <v>4</v>
      </c>
      <c r="D5891" s="51">
        <v>148</v>
      </c>
    </row>
    <row r="5892" spans="1:4" x14ac:dyDescent="0.2">
      <c r="A5892" s="24">
        <v>45352</v>
      </c>
      <c r="B5892" s="25" t="s">
        <v>144</v>
      </c>
      <c r="C5892" s="25" t="s">
        <v>8</v>
      </c>
      <c r="D5892" s="51">
        <v>11</v>
      </c>
    </row>
    <row r="5893" spans="1:4" x14ac:dyDescent="0.2">
      <c r="A5893" s="24">
        <v>45352</v>
      </c>
      <c r="B5893" s="25" t="s">
        <v>144</v>
      </c>
      <c r="C5893" s="25" t="s">
        <v>26</v>
      </c>
      <c r="D5893" s="51">
        <v>7</v>
      </c>
    </row>
    <row r="5894" spans="1:4" x14ac:dyDescent="0.2">
      <c r="A5894" s="24">
        <v>45352</v>
      </c>
      <c r="B5894" s="25" t="s">
        <v>144</v>
      </c>
      <c r="C5894" s="25" t="s">
        <v>142</v>
      </c>
      <c r="D5894" s="51">
        <v>18.989999999999998</v>
      </c>
    </row>
    <row r="5895" spans="1:4" x14ac:dyDescent="0.2">
      <c r="A5895" s="24">
        <v>45352</v>
      </c>
      <c r="B5895" s="25" t="s">
        <v>144</v>
      </c>
      <c r="C5895" s="25" t="s">
        <v>2</v>
      </c>
      <c r="D5895" s="51">
        <v>235</v>
      </c>
    </row>
    <row r="5896" spans="1:4" x14ac:dyDescent="0.2">
      <c r="A5896" s="24">
        <v>45717</v>
      </c>
      <c r="B5896" s="25" t="s">
        <v>117</v>
      </c>
      <c r="C5896" s="25" t="s">
        <v>4</v>
      </c>
      <c r="D5896" s="51">
        <v>7082965</v>
      </c>
    </row>
    <row r="5897" spans="1:4" x14ac:dyDescent="0.2">
      <c r="A5897" s="24">
        <v>45717</v>
      </c>
      <c r="B5897" s="25" t="s">
        <v>117</v>
      </c>
      <c r="C5897" s="25" t="s">
        <v>8</v>
      </c>
      <c r="D5897" s="51">
        <v>365081</v>
      </c>
    </row>
    <row r="5898" spans="1:4" x14ac:dyDescent="0.2">
      <c r="A5898" s="24">
        <v>45717</v>
      </c>
      <c r="B5898" s="25" t="s">
        <v>117</v>
      </c>
      <c r="C5898" s="25" t="s">
        <v>26</v>
      </c>
      <c r="D5898" s="51">
        <v>1359253</v>
      </c>
    </row>
    <row r="5899" spans="1:4" x14ac:dyDescent="0.2">
      <c r="A5899" s="24">
        <v>45717</v>
      </c>
      <c r="B5899" s="25" t="s">
        <v>117</v>
      </c>
      <c r="C5899" s="25" t="s">
        <v>142</v>
      </c>
      <c r="D5899" s="51">
        <v>2290011.23</v>
      </c>
    </row>
    <row r="5900" spans="1:4" x14ac:dyDescent="0.2">
      <c r="A5900" s="24">
        <v>45717</v>
      </c>
      <c r="B5900" s="25" t="s">
        <v>117</v>
      </c>
      <c r="C5900" s="25" t="s">
        <v>2</v>
      </c>
      <c r="D5900" s="51">
        <v>9942389.5700000003</v>
      </c>
    </row>
    <row r="5901" spans="1:4" x14ac:dyDescent="0.2">
      <c r="A5901" s="24">
        <v>45717</v>
      </c>
      <c r="B5901" s="25" t="s">
        <v>137</v>
      </c>
      <c r="C5901" s="25" t="s">
        <v>4</v>
      </c>
      <c r="D5901" s="51">
        <v>8544262</v>
      </c>
    </row>
    <row r="5902" spans="1:4" x14ac:dyDescent="0.2">
      <c r="A5902" s="24">
        <v>45717</v>
      </c>
      <c r="B5902" s="25" t="s">
        <v>137</v>
      </c>
      <c r="C5902" s="25" t="s">
        <v>8</v>
      </c>
      <c r="D5902" s="51">
        <v>894057</v>
      </c>
    </row>
    <row r="5903" spans="1:4" x14ac:dyDescent="0.2">
      <c r="A5903" s="24">
        <v>45717</v>
      </c>
      <c r="B5903" s="25" t="s">
        <v>137</v>
      </c>
      <c r="C5903" s="25" t="s">
        <v>26</v>
      </c>
      <c r="D5903" s="51">
        <v>1835420</v>
      </c>
    </row>
    <row r="5904" spans="1:4" x14ac:dyDescent="0.2">
      <c r="A5904" s="24">
        <v>45717</v>
      </c>
      <c r="B5904" s="25" t="s">
        <v>137</v>
      </c>
      <c r="C5904" s="25" t="s">
        <v>142</v>
      </c>
      <c r="D5904" s="51">
        <v>2452600.38</v>
      </c>
    </row>
    <row r="5905" spans="1:4" x14ac:dyDescent="0.2">
      <c r="A5905" s="24">
        <v>45717</v>
      </c>
      <c r="B5905" s="25" t="s">
        <v>137</v>
      </c>
      <c r="C5905" s="25" t="s">
        <v>2</v>
      </c>
      <c r="D5905" s="51">
        <v>9866014.6300000008</v>
      </c>
    </row>
    <row r="5906" spans="1:4" x14ac:dyDescent="0.2">
      <c r="A5906" s="24">
        <v>45717</v>
      </c>
      <c r="B5906" s="25" t="s">
        <v>118</v>
      </c>
      <c r="C5906" s="25" t="s">
        <v>4</v>
      </c>
      <c r="D5906" s="51">
        <v>640215</v>
      </c>
    </row>
    <row r="5907" spans="1:4" x14ac:dyDescent="0.2">
      <c r="A5907" s="24">
        <v>45717</v>
      </c>
      <c r="B5907" s="25" t="s">
        <v>118</v>
      </c>
      <c r="C5907" s="25" t="s">
        <v>8</v>
      </c>
      <c r="D5907" s="51">
        <v>49844</v>
      </c>
    </row>
    <row r="5908" spans="1:4" x14ac:dyDescent="0.2">
      <c r="A5908" s="24">
        <v>45717</v>
      </c>
      <c r="B5908" s="25" t="s">
        <v>118</v>
      </c>
      <c r="C5908" s="25" t="s">
        <v>26</v>
      </c>
      <c r="D5908" s="51">
        <v>99175</v>
      </c>
    </row>
    <row r="5909" spans="1:4" x14ac:dyDescent="0.2">
      <c r="A5909" s="24">
        <v>45717</v>
      </c>
      <c r="B5909" s="25" t="s">
        <v>118</v>
      </c>
      <c r="C5909" s="25" t="s">
        <v>142</v>
      </c>
      <c r="D5909" s="51">
        <v>194646.89</v>
      </c>
    </row>
    <row r="5910" spans="1:4" x14ac:dyDescent="0.2">
      <c r="A5910" s="24">
        <v>45717</v>
      </c>
      <c r="B5910" s="25" t="s">
        <v>118</v>
      </c>
      <c r="C5910" s="25" t="s">
        <v>2</v>
      </c>
      <c r="D5910" s="51">
        <v>575830.5</v>
      </c>
    </row>
    <row r="5911" spans="1:4" x14ac:dyDescent="0.2">
      <c r="A5911" s="24">
        <v>45717</v>
      </c>
      <c r="B5911" s="25" t="s">
        <v>119</v>
      </c>
      <c r="C5911" s="25" t="s">
        <v>4</v>
      </c>
      <c r="D5911" s="51">
        <v>1313509</v>
      </c>
    </row>
    <row r="5912" spans="1:4" x14ac:dyDescent="0.2">
      <c r="A5912" s="24">
        <v>45717</v>
      </c>
      <c r="B5912" s="25" t="s">
        <v>119</v>
      </c>
      <c r="C5912" s="25" t="s">
        <v>8</v>
      </c>
      <c r="D5912" s="51">
        <v>28321</v>
      </c>
    </row>
    <row r="5913" spans="1:4" x14ac:dyDescent="0.2">
      <c r="A5913" s="24">
        <v>45717</v>
      </c>
      <c r="B5913" s="25" t="s">
        <v>119</v>
      </c>
      <c r="C5913" s="25" t="s">
        <v>26</v>
      </c>
      <c r="D5913" s="51">
        <v>413992</v>
      </c>
    </row>
    <row r="5914" spans="1:4" x14ac:dyDescent="0.2">
      <c r="A5914" s="24">
        <v>45717</v>
      </c>
      <c r="B5914" s="25" t="s">
        <v>119</v>
      </c>
      <c r="C5914" s="25" t="s">
        <v>142</v>
      </c>
      <c r="D5914" s="51">
        <v>552649.93000000005</v>
      </c>
    </row>
    <row r="5915" spans="1:4" x14ac:dyDescent="0.2">
      <c r="A5915" s="24">
        <v>45717</v>
      </c>
      <c r="B5915" s="25" t="s">
        <v>119</v>
      </c>
      <c r="C5915" s="25" t="s">
        <v>2</v>
      </c>
      <c r="D5915" s="51">
        <v>1697587.26</v>
      </c>
    </row>
    <row r="5916" spans="1:4" x14ac:dyDescent="0.2">
      <c r="A5916" s="24">
        <v>45717</v>
      </c>
      <c r="B5916" s="25" t="s">
        <v>138</v>
      </c>
      <c r="C5916" s="25" t="s">
        <v>4</v>
      </c>
      <c r="D5916" s="51">
        <v>54</v>
      </c>
    </row>
    <row r="5917" spans="1:4" x14ac:dyDescent="0.2">
      <c r="A5917" s="24">
        <v>45717</v>
      </c>
      <c r="B5917" s="25" t="s">
        <v>138</v>
      </c>
      <c r="C5917" s="25" t="s">
        <v>26</v>
      </c>
      <c r="D5917" s="51">
        <v>108</v>
      </c>
    </row>
    <row r="5918" spans="1:4" x14ac:dyDescent="0.2">
      <c r="A5918" s="24">
        <v>45717</v>
      </c>
      <c r="B5918" s="25" t="s">
        <v>138</v>
      </c>
      <c r="C5918" s="25" t="s">
        <v>2</v>
      </c>
      <c r="D5918" s="51">
        <v>232</v>
      </c>
    </row>
    <row r="5919" spans="1:4" x14ac:dyDescent="0.2">
      <c r="A5919" s="24">
        <v>45717</v>
      </c>
      <c r="B5919" s="25" t="s">
        <v>139</v>
      </c>
      <c r="C5919" s="25" t="s">
        <v>4</v>
      </c>
      <c r="D5919" s="51">
        <v>1006</v>
      </c>
    </row>
    <row r="5920" spans="1:4" x14ac:dyDescent="0.2">
      <c r="A5920" s="24">
        <v>45717</v>
      </c>
      <c r="B5920" s="25" t="s">
        <v>139</v>
      </c>
      <c r="C5920" s="25" t="s">
        <v>8</v>
      </c>
      <c r="D5920" s="51">
        <v>36</v>
      </c>
    </row>
    <row r="5921" spans="1:4" x14ac:dyDescent="0.2">
      <c r="A5921" s="24">
        <v>45717</v>
      </c>
      <c r="B5921" s="25" t="s">
        <v>139</v>
      </c>
      <c r="C5921" s="25" t="s">
        <v>26</v>
      </c>
      <c r="D5921" s="51">
        <v>83</v>
      </c>
    </row>
    <row r="5922" spans="1:4" x14ac:dyDescent="0.2">
      <c r="A5922" s="24">
        <v>45717</v>
      </c>
      <c r="B5922" s="25" t="s">
        <v>139</v>
      </c>
      <c r="C5922" s="25" t="s">
        <v>142</v>
      </c>
      <c r="D5922" s="51">
        <v>58.01</v>
      </c>
    </row>
    <row r="5923" spans="1:4" x14ac:dyDescent="0.2">
      <c r="A5923" s="24">
        <v>45717</v>
      </c>
      <c r="B5923" s="25" t="s">
        <v>139</v>
      </c>
      <c r="C5923" s="25" t="s">
        <v>2</v>
      </c>
      <c r="D5923" s="51">
        <v>960.1</v>
      </c>
    </row>
    <row r="5924" spans="1:4" x14ac:dyDescent="0.2">
      <c r="A5924" s="24">
        <v>45717</v>
      </c>
      <c r="B5924" s="25" t="s">
        <v>120</v>
      </c>
      <c r="C5924" s="25" t="s">
        <v>4</v>
      </c>
      <c r="D5924" s="51">
        <v>81322</v>
      </c>
    </row>
    <row r="5925" spans="1:4" x14ac:dyDescent="0.2">
      <c r="A5925" s="24">
        <v>45717</v>
      </c>
      <c r="B5925" s="25" t="s">
        <v>120</v>
      </c>
      <c r="C5925" s="25" t="s">
        <v>8</v>
      </c>
      <c r="D5925" s="51">
        <v>4680</v>
      </c>
    </row>
    <row r="5926" spans="1:4" x14ac:dyDescent="0.2">
      <c r="A5926" s="24">
        <v>45717</v>
      </c>
      <c r="B5926" s="25" t="s">
        <v>120</v>
      </c>
      <c r="C5926" s="25" t="s">
        <v>26</v>
      </c>
      <c r="D5926" s="51">
        <v>13662</v>
      </c>
    </row>
    <row r="5927" spans="1:4" x14ac:dyDescent="0.2">
      <c r="A5927" s="24">
        <v>45717</v>
      </c>
      <c r="B5927" s="25" t="s">
        <v>120</v>
      </c>
      <c r="C5927" s="25" t="s">
        <v>142</v>
      </c>
      <c r="D5927" s="51">
        <v>38131.42</v>
      </c>
    </row>
    <row r="5928" spans="1:4" x14ac:dyDescent="0.2">
      <c r="A5928" s="24">
        <v>45717</v>
      </c>
      <c r="B5928" s="25" t="s">
        <v>120</v>
      </c>
      <c r="C5928" s="25" t="s">
        <v>2</v>
      </c>
      <c r="D5928" s="51">
        <v>193273.63</v>
      </c>
    </row>
    <row r="5929" spans="1:4" x14ac:dyDescent="0.2">
      <c r="A5929" s="24">
        <v>45717</v>
      </c>
      <c r="B5929" s="25" t="s">
        <v>121</v>
      </c>
      <c r="C5929" s="25" t="s">
        <v>4</v>
      </c>
      <c r="D5929" s="51">
        <v>31424</v>
      </c>
    </row>
    <row r="5930" spans="1:4" x14ac:dyDescent="0.2">
      <c r="A5930" s="24">
        <v>45717</v>
      </c>
      <c r="B5930" s="25" t="s">
        <v>121</v>
      </c>
      <c r="C5930" s="25" t="s">
        <v>8</v>
      </c>
      <c r="D5930" s="51">
        <v>1914</v>
      </c>
    </row>
    <row r="5931" spans="1:4" x14ac:dyDescent="0.2">
      <c r="A5931" s="24">
        <v>45717</v>
      </c>
      <c r="B5931" s="25" t="s">
        <v>121</v>
      </c>
      <c r="C5931" s="25" t="s">
        <v>26</v>
      </c>
      <c r="D5931" s="51">
        <v>3831</v>
      </c>
    </row>
    <row r="5932" spans="1:4" x14ac:dyDescent="0.2">
      <c r="A5932" s="24">
        <v>45717</v>
      </c>
      <c r="B5932" s="25" t="s">
        <v>121</v>
      </c>
      <c r="C5932" s="25" t="s">
        <v>142</v>
      </c>
      <c r="D5932" s="51">
        <v>5293.87</v>
      </c>
    </row>
    <row r="5933" spans="1:4" x14ac:dyDescent="0.2">
      <c r="A5933" s="24">
        <v>45717</v>
      </c>
      <c r="B5933" s="25" t="s">
        <v>121</v>
      </c>
      <c r="C5933" s="25" t="s">
        <v>2</v>
      </c>
      <c r="D5933" s="51">
        <v>24240.22</v>
      </c>
    </row>
    <row r="5934" spans="1:4" x14ac:dyDescent="0.2">
      <c r="A5934" s="24">
        <v>45717</v>
      </c>
      <c r="B5934" s="25" t="s">
        <v>140</v>
      </c>
      <c r="C5934" s="25" t="s">
        <v>4</v>
      </c>
      <c r="D5934" s="51">
        <v>17614</v>
      </c>
    </row>
    <row r="5935" spans="1:4" x14ac:dyDescent="0.2">
      <c r="A5935" s="24">
        <v>45717</v>
      </c>
      <c r="B5935" s="25" t="s">
        <v>122</v>
      </c>
      <c r="C5935" s="25" t="s">
        <v>4</v>
      </c>
      <c r="D5935" s="51">
        <v>1534585</v>
      </c>
    </row>
    <row r="5936" spans="1:4" x14ac:dyDescent="0.2">
      <c r="A5936" s="24">
        <v>45717</v>
      </c>
      <c r="B5936" s="25" t="s">
        <v>122</v>
      </c>
      <c r="C5936" s="25" t="s">
        <v>8</v>
      </c>
      <c r="D5936" s="51">
        <v>11285</v>
      </c>
    </row>
    <row r="5937" spans="1:4" x14ac:dyDescent="0.2">
      <c r="A5937" s="24">
        <v>45717</v>
      </c>
      <c r="B5937" s="25" t="s">
        <v>122</v>
      </c>
      <c r="C5937" s="25" t="s">
        <v>26</v>
      </c>
      <c r="D5937" s="51">
        <v>56176</v>
      </c>
    </row>
    <row r="5938" spans="1:4" x14ac:dyDescent="0.2">
      <c r="A5938" s="24">
        <v>45717</v>
      </c>
      <c r="B5938" s="25" t="s">
        <v>122</v>
      </c>
      <c r="C5938" s="25" t="s">
        <v>142</v>
      </c>
      <c r="D5938" s="51">
        <v>305624.78000000003</v>
      </c>
    </row>
    <row r="5939" spans="1:4" x14ac:dyDescent="0.2">
      <c r="A5939" s="24">
        <v>45717</v>
      </c>
      <c r="B5939" s="25" t="s">
        <v>122</v>
      </c>
      <c r="C5939" s="25" t="s">
        <v>2</v>
      </c>
      <c r="D5939" s="51">
        <v>982452.95</v>
      </c>
    </row>
    <row r="5940" spans="1:4" x14ac:dyDescent="0.2">
      <c r="A5940" s="24">
        <v>45717</v>
      </c>
      <c r="B5940" s="25" t="s">
        <v>123</v>
      </c>
      <c r="C5940" s="25" t="s">
        <v>4</v>
      </c>
      <c r="D5940" s="51">
        <v>3435858</v>
      </c>
    </row>
    <row r="5941" spans="1:4" x14ac:dyDescent="0.2">
      <c r="A5941" s="24">
        <v>45717</v>
      </c>
      <c r="B5941" s="25" t="s">
        <v>123</v>
      </c>
      <c r="C5941" s="25" t="s">
        <v>8</v>
      </c>
      <c r="D5941" s="51">
        <v>191235</v>
      </c>
    </row>
    <row r="5942" spans="1:4" x14ac:dyDescent="0.2">
      <c r="A5942" s="24">
        <v>45717</v>
      </c>
      <c r="B5942" s="25" t="s">
        <v>123</v>
      </c>
      <c r="C5942" s="25" t="s">
        <v>26</v>
      </c>
      <c r="D5942" s="51">
        <v>496231</v>
      </c>
    </row>
    <row r="5943" spans="1:4" x14ac:dyDescent="0.2">
      <c r="A5943" s="24">
        <v>45717</v>
      </c>
      <c r="B5943" s="25" t="s">
        <v>123</v>
      </c>
      <c r="C5943" s="25" t="s">
        <v>142</v>
      </c>
      <c r="D5943" s="51">
        <v>429627.03</v>
      </c>
    </row>
    <row r="5944" spans="1:4" x14ac:dyDescent="0.2">
      <c r="A5944" s="24">
        <v>45717</v>
      </c>
      <c r="B5944" s="25" t="s">
        <v>123</v>
      </c>
      <c r="C5944" s="25" t="s">
        <v>2</v>
      </c>
      <c r="D5944" s="51">
        <v>2391300.0499999998</v>
      </c>
    </row>
    <row r="5945" spans="1:4" x14ac:dyDescent="0.2">
      <c r="A5945" s="24">
        <v>45717</v>
      </c>
      <c r="B5945" s="25" t="s">
        <v>124</v>
      </c>
      <c r="C5945" s="25" t="s">
        <v>8</v>
      </c>
      <c r="D5945" s="51">
        <v>23756</v>
      </c>
    </row>
    <row r="5946" spans="1:4" x14ac:dyDescent="0.2">
      <c r="A5946" s="24">
        <v>45717</v>
      </c>
      <c r="B5946" s="25" t="s">
        <v>125</v>
      </c>
      <c r="C5946" s="25" t="s">
        <v>8</v>
      </c>
      <c r="D5946" s="51">
        <v>7662</v>
      </c>
    </row>
    <row r="5947" spans="1:4" x14ac:dyDescent="0.2">
      <c r="A5947" s="24">
        <v>45717</v>
      </c>
      <c r="B5947" s="25" t="s">
        <v>127</v>
      </c>
      <c r="C5947" s="25" t="s">
        <v>26</v>
      </c>
      <c r="D5947" s="51">
        <v>3415</v>
      </c>
    </row>
    <row r="5948" spans="1:4" x14ac:dyDescent="0.2">
      <c r="A5948" s="24">
        <v>45717</v>
      </c>
      <c r="B5948" s="25" t="s">
        <v>128</v>
      </c>
      <c r="C5948" s="25" t="s">
        <v>26</v>
      </c>
      <c r="D5948" s="51">
        <v>1389</v>
      </c>
    </row>
    <row r="5949" spans="1:4" x14ac:dyDescent="0.2">
      <c r="A5949" s="24">
        <v>45717</v>
      </c>
      <c r="B5949" s="25" t="s">
        <v>129</v>
      </c>
      <c r="C5949" s="25" t="s">
        <v>142</v>
      </c>
      <c r="D5949" s="51">
        <v>10873.88</v>
      </c>
    </row>
    <row r="5950" spans="1:4" x14ac:dyDescent="0.2">
      <c r="A5950" s="24">
        <v>45717</v>
      </c>
      <c r="B5950" s="25" t="s">
        <v>129</v>
      </c>
      <c r="C5950" s="25" t="s">
        <v>2</v>
      </c>
      <c r="D5950" s="51">
        <v>72001.490000000005</v>
      </c>
    </row>
    <row r="5951" spans="1:4" x14ac:dyDescent="0.2">
      <c r="A5951" s="24">
        <v>45717</v>
      </c>
      <c r="B5951" s="25" t="s">
        <v>130</v>
      </c>
      <c r="C5951" s="25" t="s">
        <v>142</v>
      </c>
      <c r="D5951" s="51">
        <v>11209.89</v>
      </c>
    </row>
    <row r="5952" spans="1:4" x14ac:dyDescent="0.2">
      <c r="A5952" s="24">
        <v>45717</v>
      </c>
      <c r="B5952" s="25" t="s">
        <v>130</v>
      </c>
      <c r="C5952" s="25" t="s">
        <v>2</v>
      </c>
      <c r="D5952" s="51">
        <v>38052.86</v>
      </c>
    </row>
    <row r="5953" spans="1:4" x14ac:dyDescent="0.2">
      <c r="A5953" s="24">
        <v>45717</v>
      </c>
      <c r="B5953" s="25" t="s">
        <v>144</v>
      </c>
      <c r="C5953" s="25" t="s">
        <v>4</v>
      </c>
      <c r="D5953" s="51">
        <v>101</v>
      </c>
    </row>
    <row r="5954" spans="1:4" x14ac:dyDescent="0.2">
      <c r="A5954" s="24">
        <v>45717</v>
      </c>
      <c r="B5954" s="25" t="s">
        <v>144</v>
      </c>
      <c r="C5954" s="25" t="s">
        <v>26</v>
      </c>
      <c r="D5954" s="51">
        <v>3</v>
      </c>
    </row>
    <row r="5955" spans="1:4" x14ac:dyDescent="0.2">
      <c r="A5955" s="24">
        <v>45717</v>
      </c>
      <c r="B5955" s="25" t="s">
        <v>144</v>
      </c>
      <c r="C5955" s="25" t="s">
        <v>142</v>
      </c>
      <c r="D5955" s="51">
        <v>6</v>
      </c>
    </row>
    <row r="5956" spans="1:4" x14ac:dyDescent="0.2">
      <c r="A5956" s="24">
        <v>45717</v>
      </c>
      <c r="B5956" s="25" t="s">
        <v>144</v>
      </c>
      <c r="C5956" s="25" t="s">
        <v>2</v>
      </c>
      <c r="D5956" s="51">
        <v>140.08000000000001</v>
      </c>
    </row>
    <row r="5957" spans="1:4" x14ac:dyDescent="0.2">
      <c r="A5957" s="24">
        <v>45413</v>
      </c>
      <c r="B5957" s="25" t="s">
        <v>117</v>
      </c>
      <c r="C5957" s="25" t="s">
        <v>4</v>
      </c>
      <c r="D5957" s="51">
        <v>7221852</v>
      </c>
    </row>
    <row r="5958" spans="1:4" x14ac:dyDescent="0.2">
      <c r="A5958" s="24">
        <v>45413</v>
      </c>
      <c r="B5958" s="25" t="s">
        <v>117</v>
      </c>
      <c r="C5958" s="25" t="s">
        <v>8</v>
      </c>
      <c r="D5958" s="51">
        <v>336895</v>
      </c>
    </row>
    <row r="5959" spans="1:4" x14ac:dyDescent="0.2">
      <c r="A5959" s="24">
        <v>45413</v>
      </c>
      <c r="B5959" s="25" t="s">
        <v>117</v>
      </c>
      <c r="C5959" s="25" t="s">
        <v>26</v>
      </c>
      <c r="D5959" s="51">
        <v>1261601</v>
      </c>
    </row>
    <row r="5960" spans="1:4" x14ac:dyDescent="0.2">
      <c r="A5960" s="24">
        <v>45413</v>
      </c>
      <c r="B5960" s="25" t="s">
        <v>117</v>
      </c>
      <c r="C5960" s="25" t="s">
        <v>142</v>
      </c>
      <c r="D5960" s="51">
        <v>903121.96</v>
      </c>
    </row>
    <row r="5961" spans="1:4" x14ac:dyDescent="0.2">
      <c r="A5961" s="24">
        <v>45413</v>
      </c>
      <c r="B5961" s="25" t="s">
        <v>117</v>
      </c>
      <c r="C5961" s="25" t="s">
        <v>2</v>
      </c>
      <c r="D5961" s="51">
        <v>11863005.380000001</v>
      </c>
    </row>
    <row r="5962" spans="1:4" x14ac:dyDescent="0.2">
      <c r="A5962" s="24">
        <v>45413</v>
      </c>
      <c r="B5962" s="25" t="s">
        <v>117</v>
      </c>
      <c r="C5962" s="25" t="s">
        <v>143</v>
      </c>
      <c r="D5962" s="51">
        <v>8</v>
      </c>
    </row>
    <row r="5963" spans="1:4" x14ac:dyDescent="0.2">
      <c r="A5963" s="24">
        <v>45413</v>
      </c>
      <c r="B5963" s="25" t="s">
        <v>137</v>
      </c>
      <c r="C5963" s="25" t="s">
        <v>4</v>
      </c>
      <c r="D5963" s="51">
        <v>7317814</v>
      </c>
    </row>
    <row r="5964" spans="1:4" x14ac:dyDescent="0.2">
      <c r="A5964" s="24">
        <v>45413</v>
      </c>
      <c r="B5964" s="25" t="s">
        <v>137</v>
      </c>
      <c r="C5964" s="25" t="s">
        <v>8</v>
      </c>
      <c r="D5964" s="51">
        <v>628909</v>
      </c>
    </row>
    <row r="5965" spans="1:4" x14ac:dyDescent="0.2">
      <c r="A5965" s="24">
        <v>45413</v>
      </c>
      <c r="B5965" s="25" t="s">
        <v>137</v>
      </c>
      <c r="C5965" s="25" t="s">
        <v>26</v>
      </c>
      <c r="D5965" s="51">
        <v>1476851</v>
      </c>
    </row>
    <row r="5966" spans="1:4" x14ac:dyDescent="0.2">
      <c r="A5966" s="24">
        <v>45413</v>
      </c>
      <c r="B5966" s="25" t="s">
        <v>137</v>
      </c>
      <c r="C5966" s="25" t="s">
        <v>142</v>
      </c>
      <c r="D5966" s="51">
        <v>683397.57</v>
      </c>
    </row>
    <row r="5967" spans="1:4" x14ac:dyDescent="0.2">
      <c r="A5967" s="24">
        <v>45413</v>
      </c>
      <c r="B5967" s="25" t="s">
        <v>137</v>
      </c>
      <c r="C5967" s="25" t="s">
        <v>2</v>
      </c>
      <c r="D5967" s="51">
        <v>10443161.970000001</v>
      </c>
    </row>
    <row r="5968" spans="1:4" x14ac:dyDescent="0.2">
      <c r="A5968" s="24">
        <v>45413</v>
      </c>
      <c r="B5968" s="25" t="s">
        <v>137</v>
      </c>
      <c r="C5968" s="25" t="s">
        <v>143</v>
      </c>
      <c r="D5968" s="51">
        <v>15</v>
      </c>
    </row>
    <row r="5969" spans="1:4" x14ac:dyDescent="0.2">
      <c r="A5969" s="24">
        <v>45413</v>
      </c>
      <c r="B5969" s="25" t="s">
        <v>118</v>
      </c>
      <c r="C5969" s="25" t="s">
        <v>4</v>
      </c>
      <c r="D5969" s="51">
        <v>575066</v>
      </c>
    </row>
    <row r="5970" spans="1:4" x14ac:dyDescent="0.2">
      <c r="A5970" s="24">
        <v>45413</v>
      </c>
      <c r="B5970" s="25" t="s">
        <v>118</v>
      </c>
      <c r="C5970" s="25" t="s">
        <v>8</v>
      </c>
      <c r="D5970" s="51">
        <v>41729</v>
      </c>
    </row>
    <row r="5971" spans="1:4" x14ac:dyDescent="0.2">
      <c r="A5971" s="24">
        <v>45413</v>
      </c>
      <c r="B5971" s="25" t="s">
        <v>118</v>
      </c>
      <c r="C5971" s="25" t="s">
        <v>26</v>
      </c>
      <c r="D5971" s="51">
        <v>68746</v>
      </c>
    </row>
    <row r="5972" spans="1:4" x14ac:dyDescent="0.2">
      <c r="A5972" s="24">
        <v>45413</v>
      </c>
      <c r="B5972" s="25" t="s">
        <v>118</v>
      </c>
      <c r="C5972" s="25" t="s">
        <v>142</v>
      </c>
      <c r="D5972" s="51">
        <v>71907.87</v>
      </c>
    </row>
    <row r="5973" spans="1:4" x14ac:dyDescent="0.2">
      <c r="A5973" s="24">
        <v>45413</v>
      </c>
      <c r="B5973" s="25" t="s">
        <v>118</v>
      </c>
      <c r="C5973" s="25" t="s">
        <v>2</v>
      </c>
      <c r="D5973" s="51">
        <v>572794.22</v>
      </c>
    </row>
    <row r="5974" spans="1:4" x14ac:dyDescent="0.2">
      <c r="A5974" s="24">
        <v>45413</v>
      </c>
      <c r="B5974" s="25" t="s">
        <v>118</v>
      </c>
      <c r="C5974" s="25" t="s">
        <v>143</v>
      </c>
      <c r="D5974" s="51">
        <v>4</v>
      </c>
    </row>
    <row r="5975" spans="1:4" x14ac:dyDescent="0.2">
      <c r="A5975" s="24">
        <v>45413</v>
      </c>
      <c r="B5975" s="25" t="s">
        <v>119</v>
      </c>
      <c r="C5975" s="25" t="s">
        <v>4</v>
      </c>
      <c r="D5975" s="51">
        <v>1013749</v>
      </c>
    </row>
    <row r="5976" spans="1:4" x14ac:dyDescent="0.2">
      <c r="A5976" s="24">
        <v>45413</v>
      </c>
      <c r="B5976" s="25" t="s">
        <v>119</v>
      </c>
      <c r="C5976" s="25" t="s">
        <v>8</v>
      </c>
      <c r="D5976" s="51">
        <v>20889</v>
      </c>
    </row>
    <row r="5977" spans="1:4" x14ac:dyDescent="0.2">
      <c r="A5977" s="24">
        <v>45413</v>
      </c>
      <c r="B5977" s="25" t="s">
        <v>119</v>
      </c>
      <c r="C5977" s="25" t="s">
        <v>26</v>
      </c>
      <c r="D5977" s="51">
        <v>242480</v>
      </c>
    </row>
    <row r="5978" spans="1:4" x14ac:dyDescent="0.2">
      <c r="A5978" s="24">
        <v>45413</v>
      </c>
      <c r="B5978" s="25" t="s">
        <v>119</v>
      </c>
      <c r="C5978" s="25" t="s">
        <v>142</v>
      </c>
      <c r="D5978" s="51">
        <v>210095.47</v>
      </c>
    </row>
    <row r="5979" spans="1:4" x14ac:dyDescent="0.2">
      <c r="A5979" s="24">
        <v>45413</v>
      </c>
      <c r="B5979" s="25" t="s">
        <v>119</v>
      </c>
      <c r="C5979" s="25" t="s">
        <v>2</v>
      </c>
      <c r="D5979" s="51">
        <v>1503788.81</v>
      </c>
    </row>
    <row r="5980" spans="1:4" x14ac:dyDescent="0.2">
      <c r="A5980" s="24">
        <v>45413</v>
      </c>
      <c r="B5980" s="25" t="s">
        <v>138</v>
      </c>
      <c r="C5980" s="25" t="s">
        <v>4</v>
      </c>
      <c r="D5980" s="51">
        <v>37</v>
      </c>
    </row>
    <row r="5981" spans="1:4" x14ac:dyDescent="0.2">
      <c r="A5981" s="24">
        <v>45413</v>
      </c>
      <c r="B5981" s="25" t="s">
        <v>138</v>
      </c>
      <c r="C5981" s="25" t="s">
        <v>8</v>
      </c>
      <c r="D5981" s="51">
        <v>102</v>
      </c>
    </row>
    <row r="5982" spans="1:4" x14ac:dyDescent="0.2">
      <c r="A5982" s="24">
        <v>45413</v>
      </c>
      <c r="B5982" s="25" t="s">
        <v>138</v>
      </c>
      <c r="C5982" s="25" t="s">
        <v>26</v>
      </c>
      <c r="D5982" s="51">
        <v>2</v>
      </c>
    </row>
    <row r="5983" spans="1:4" x14ac:dyDescent="0.2">
      <c r="A5983" s="24">
        <v>45413</v>
      </c>
      <c r="B5983" s="25" t="s">
        <v>138</v>
      </c>
      <c r="C5983" s="25" t="s">
        <v>142</v>
      </c>
      <c r="D5983" s="51">
        <v>30</v>
      </c>
    </row>
    <row r="5984" spans="1:4" x14ac:dyDescent="0.2">
      <c r="A5984" s="24">
        <v>45413</v>
      </c>
      <c r="B5984" s="25" t="s">
        <v>138</v>
      </c>
      <c r="C5984" s="25" t="s">
        <v>2</v>
      </c>
      <c r="D5984" s="51">
        <v>109</v>
      </c>
    </row>
    <row r="5985" spans="1:4" x14ac:dyDescent="0.2">
      <c r="A5985" s="24">
        <v>45413</v>
      </c>
      <c r="B5985" s="25" t="s">
        <v>139</v>
      </c>
      <c r="C5985" s="25" t="s">
        <v>4</v>
      </c>
      <c r="D5985" s="51">
        <v>992</v>
      </c>
    </row>
    <row r="5986" spans="1:4" x14ac:dyDescent="0.2">
      <c r="A5986" s="24">
        <v>45413</v>
      </c>
      <c r="B5986" s="25" t="s">
        <v>139</v>
      </c>
      <c r="C5986" s="25" t="s">
        <v>8</v>
      </c>
      <c r="D5986" s="51">
        <v>33</v>
      </c>
    </row>
    <row r="5987" spans="1:4" x14ac:dyDescent="0.2">
      <c r="A5987" s="24">
        <v>45413</v>
      </c>
      <c r="B5987" s="25" t="s">
        <v>139</v>
      </c>
      <c r="C5987" s="25" t="s">
        <v>26</v>
      </c>
      <c r="D5987" s="51">
        <v>52</v>
      </c>
    </row>
    <row r="5988" spans="1:4" x14ac:dyDescent="0.2">
      <c r="A5988" s="24">
        <v>45413</v>
      </c>
      <c r="B5988" s="25" t="s">
        <v>139</v>
      </c>
      <c r="C5988" s="25" t="s">
        <v>142</v>
      </c>
      <c r="D5988" s="51">
        <v>7.4</v>
      </c>
    </row>
    <row r="5989" spans="1:4" x14ac:dyDescent="0.2">
      <c r="A5989" s="24">
        <v>45413</v>
      </c>
      <c r="B5989" s="25" t="s">
        <v>139</v>
      </c>
      <c r="C5989" s="25" t="s">
        <v>2</v>
      </c>
      <c r="D5989" s="51">
        <v>1032.5999999999999</v>
      </c>
    </row>
    <row r="5990" spans="1:4" x14ac:dyDescent="0.2">
      <c r="A5990" s="24">
        <v>45413</v>
      </c>
      <c r="B5990" s="25" t="s">
        <v>120</v>
      </c>
      <c r="C5990" s="25" t="s">
        <v>4</v>
      </c>
      <c r="D5990" s="51">
        <v>74711</v>
      </c>
    </row>
    <row r="5991" spans="1:4" x14ac:dyDescent="0.2">
      <c r="A5991" s="24">
        <v>45413</v>
      </c>
      <c r="B5991" s="25" t="s">
        <v>120</v>
      </c>
      <c r="C5991" s="25" t="s">
        <v>8</v>
      </c>
      <c r="D5991" s="51">
        <v>4250</v>
      </c>
    </row>
    <row r="5992" spans="1:4" x14ac:dyDescent="0.2">
      <c r="A5992" s="24">
        <v>45413</v>
      </c>
      <c r="B5992" s="25" t="s">
        <v>120</v>
      </c>
      <c r="C5992" s="25" t="s">
        <v>26</v>
      </c>
      <c r="D5992" s="51">
        <v>10780</v>
      </c>
    </row>
    <row r="5993" spans="1:4" x14ac:dyDescent="0.2">
      <c r="A5993" s="24">
        <v>45413</v>
      </c>
      <c r="B5993" s="25" t="s">
        <v>120</v>
      </c>
      <c r="C5993" s="25" t="s">
        <v>142</v>
      </c>
      <c r="D5993" s="51">
        <v>10120.32</v>
      </c>
    </row>
    <row r="5994" spans="1:4" x14ac:dyDescent="0.2">
      <c r="A5994" s="24">
        <v>45413</v>
      </c>
      <c r="B5994" s="25" t="s">
        <v>120</v>
      </c>
      <c r="C5994" s="25" t="s">
        <v>2</v>
      </c>
      <c r="D5994" s="51">
        <v>221653.45</v>
      </c>
    </row>
    <row r="5995" spans="1:4" x14ac:dyDescent="0.2">
      <c r="A5995" s="24">
        <v>45413</v>
      </c>
      <c r="B5995" s="25" t="s">
        <v>120</v>
      </c>
      <c r="C5995" s="25" t="s">
        <v>143</v>
      </c>
      <c r="D5995" s="51">
        <v>3</v>
      </c>
    </row>
    <row r="5996" spans="1:4" x14ac:dyDescent="0.2">
      <c r="A5996" s="24">
        <v>45413</v>
      </c>
      <c r="B5996" s="25" t="s">
        <v>121</v>
      </c>
      <c r="C5996" s="25" t="s">
        <v>4</v>
      </c>
      <c r="D5996" s="51">
        <v>28442</v>
      </c>
    </row>
    <row r="5997" spans="1:4" x14ac:dyDescent="0.2">
      <c r="A5997" s="24">
        <v>45413</v>
      </c>
      <c r="B5997" s="25" t="s">
        <v>121</v>
      </c>
      <c r="C5997" s="25" t="s">
        <v>8</v>
      </c>
      <c r="D5997" s="51">
        <v>1614</v>
      </c>
    </row>
    <row r="5998" spans="1:4" x14ac:dyDescent="0.2">
      <c r="A5998" s="24">
        <v>45413</v>
      </c>
      <c r="B5998" s="25" t="s">
        <v>121</v>
      </c>
      <c r="C5998" s="25" t="s">
        <v>26</v>
      </c>
      <c r="D5998" s="51">
        <v>3119</v>
      </c>
    </row>
    <row r="5999" spans="1:4" x14ac:dyDescent="0.2">
      <c r="A5999" s="24">
        <v>45413</v>
      </c>
      <c r="B5999" s="25" t="s">
        <v>121</v>
      </c>
      <c r="C5999" s="25" t="s">
        <v>142</v>
      </c>
      <c r="D5999" s="51">
        <v>1757.4</v>
      </c>
    </row>
    <row r="6000" spans="1:4" x14ac:dyDescent="0.2">
      <c r="A6000" s="24">
        <v>45413</v>
      </c>
      <c r="B6000" s="25" t="s">
        <v>121</v>
      </c>
      <c r="C6000" s="25" t="s">
        <v>2</v>
      </c>
      <c r="D6000" s="51">
        <v>26528.400000000001</v>
      </c>
    </row>
    <row r="6001" spans="1:4" x14ac:dyDescent="0.2">
      <c r="A6001" s="24">
        <v>45413</v>
      </c>
      <c r="B6001" s="25" t="s">
        <v>140</v>
      </c>
      <c r="C6001" s="25" t="s">
        <v>4</v>
      </c>
      <c r="D6001" s="51">
        <v>22170</v>
      </c>
    </row>
    <row r="6002" spans="1:4" x14ac:dyDescent="0.2">
      <c r="A6002" s="24">
        <v>45413</v>
      </c>
      <c r="B6002" s="25" t="s">
        <v>122</v>
      </c>
      <c r="C6002" s="25" t="s">
        <v>4</v>
      </c>
      <c r="D6002" s="51">
        <v>1544088</v>
      </c>
    </row>
    <row r="6003" spans="1:4" x14ac:dyDescent="0.2">
      <c r="A6003" s="24">
        <v>45413</v>
      </c>
      <c r="B6003" s="25" t="s">
        <v>122</v>
      </c>
      <c r="C6003" s="25" t="s">
        <v>8</v>
      </c>
      <c r="D6003" s="51">
        <v>11119</v>
      </c>
    </row>
    <row r="6004" spans="1:4" x14ac:dyDescent="0.2">
      <c r="A6004" s="24">
        <v>45413</v>
      </c>
      <c r="B6004" s="25" t="s">
        <v>122</v>
      </c>
      <c r="C6004" s="25" t="s">
        <v>26</v>
      </c>
      <c r="D6004" s="51">
        <v>50533</v>
      </c>
    </row>
    <row r="6005" spans="1:4" x14ac:dyDescent="0.2">
      <c r="A6005" s="24">
        <v>45413</v>
      </c>
      <c r="B6005" s="25" t="s">
        <v>122</v>
      </c>
      <c r="C6005" s="25" t="s">
        <v>142</v>
      </c>
      <c r="D6005" s="51">
        <v>197562.48</v>
      </c>
    </row>
    <row r="6006" spans="1:4" x14ac:dyDescent="0.2">
      <c r="A6006" s="24">
        <v>45413</v>
      </c>
      <c r="B6006" s="25" t="s">
        <v>122</v>
      </c>
      <c r="C6006" s="25" t="s">
        <v>2</v>
      </c>
      <c r="D6006" s="51">
        <v>1135937.6299999999</v>
      </c>
    </row>
    <row r="6007" spans="1:4" x14ac:dyDescent="0.2">
      <c r="A6007" s="24">
        <v>45413</v>
      </c>
      <c r="B6007" s="25" t="s">
        <v>123</v>
      </c>
      <c r="C6007" s="25" t="s">
        <v>4</v>
      </c>
      <c r="D6007" s="51">
        <v>3365431</v>
      </c>
    </row>
    <row r="6008" spans="1:4" x14ac:dyDescent="0.2">
      <c r="A6008" s="24">
        <v>45413</v>
      </c>
      <c r="B6008" s="25" t="s">
        <v>123</v>
      </c>
      <c r="C6008" s="25" t="s">
        <v>8</v>
      </c>
      <c r="D6008" s="51">
        <v>173890</v>
      </c>
    </row>
    <row r="6009" spans="1:4" x14ac:dyDescent="0.2">
      <c r="A6009" s="24">
        <v>45413</v>
      </c>
      <c r="B6009" s="25" t="s">
        <v>123</v>
      </c>
      <c r="C6009" s="25" t="s">
        <v>26</v>
      </c>
      <c r="D6009" s="51">
        <v>414428</v>
      </c>
    </row>
    <row r="6010" spans="1:4" x14ac:dyDescent="0.2">
      <c r="A6010" s="24">
        <v>45413</v>
      </c>
      <c r="B6010" s="25" t="s">
        <v>123</v>
      </c>
      <c r="C6010" s="25" t="s">
        <v>142</v>
      </c>
      <c r="D6010" s="51">
        <v>149710.91</v>
      </c>
    </row>
    <row r="6011" spans="1:4" x14ac:dyDescent="0.2">
      <c r="A6011" s="24">
        <v>45413</v>
      </c>
      <c r="B6011" s="25" t="s">
        <v>123</v>
      </c>
      <c r="C6011" s="25" t="s">
        <v>2</v>
      </c>
      <c r="D6011" s="51">
        <v>2571618.63</v>
      </c>
    </row>
    <row r="6012" spans="1:4" x14ac:dyDescent="0.2">
      <c r="A6012" s="24">
        <v>45413</v>
      </c>
      <c r="B6012" s="25" t="s">
        <v>124</v>
      </c>
      <c r="C6012" s="25" t="s">
        <v>8</v>
      </c>
      <c r="D6012" s="51">
        <v>15287</v>
      </c>
    </row>
    <row r="6013" spans="1:4" x14ac:dyDescent="0.2">
      <c r="A6013" s="24">
        <v>45413</v>
      </c>
      <c r="B6013" s="25" t="s">
        <v>125</v>
      </c>
      <c r="C6013" s="25" t="s">
        <v>8</v>
      </c>
      <c r="D6013" s="51">
        <v>5858</v>
      </c>
    </row>
    <row r="6014" spans="1:4" x14ac:dyDescent="0.2">
      <c r="A6014" s="24">
        <v>45413</v>
      </c>
      <c r="B6014" s="25" t="s">
        <v>127</v>
      </c>
      <c r="C6014" s="25" t="s">
        <v>26</v>
      </c>
      <c r="D6014" s="51">
        <v>2840</v>
      </c>
    </row>
    <row r="6015" spans="1:4" x14ac:dyDescent="0.2">
      <c r="A6015" s="24">
        <v>45413</v>
      </c>
      <c r="B6015" s="25" t="s">
        <v>128</v>
      </c>
      <c r="C6015" s="25" t="s">
        <v>26</v>
      </c>
      <c r="D6015" s="51">
        <v>956</v>
      </c>
    </row>
    <row r="6016" spans="1:4" x14ac:dyDescent="0.2">
      <c r="A6016" s="24">
        <v>45413</v>
      </c>
      <c r="B6016" s="25" t="s">
        <v>129</v>
      </c>
      <c r="C6016" s="25" t="s">
        <v>142</v>
      </c>
      <c r="D6016" s="51">
        <v>3640.03</v>
      </c>
    </row>
    <row r="6017" spans="1:4" x14ac:dyDescent="0.2">
      <c r="A6017" s="24">
        <v>45413</v>
      </c>
      <c r="B6017" s="25" t="s">
        <v>129</v>
      </c>
      <c r="C6017" s="25" t="s">
        <v>2</v>
      </c>
      <c r="D6017" s="51">
        <v>78536</v>
      </c>
    </row>
    <row r="6018" spans="1:4" x14ac:dyDescent="0.2">
      <c r="A6018" s="24">
        <v>45413</v>
      </c>
      <c r="B6018" s="25" t="s">
        <v>129</v>
      </c>
      <c r="C6018" s="25" t="s">
        <v>143</v>
      </c>
      <c r="D6018" s="51">
        <v>3</v>
      </c>
    </row>
    <row r="6019" spans="1:4" x14ac:dyDescent="0.2">
      <c r="A6019" s="24">
        <v>45413</v>
      </c>
      <c r="B6019" s="25" t="s">
        <v>130</v>
      </c>
      <c r="C6019" s="25" t="s">
        <v>142</v>
      </c>
      <c r="D6019" s="51">
        <v>3879.78</v>
      </c>
    </row>
    <row r="6020" spans="1:4" x14ac:dyDescent="0.2">
      <c r="A6020" s="24">
        <v>45413</v>
      </c>
      <c r="B6020" s="25" t="s">
        <v>130</v>
      </c>
      <c r="C6020" s="25" t="s">
        <v>2</v>
      </c>
      <c r="D6020" s="51">
        <v>37369.24</v>
      </c>
    </row>
    <row r="6021" spans="1:4" x14ac:dyDescent="0.2">
      <c r="A6021" s="24">
        <v>45413</v>
      </c>
      <c r="B6021" s="25" t="s">
        <v>130</v>
      </c>
      <c r="C6021" s="25" t="s">
        <v>143</v>
      </c>
      <c r="D6021" s="51">
        <v>8</v>
      </c>
    </row>
    <row r="6022" spans="1:4" x14ac:dyDescent="0.2">
      <c r="A6022" s="24">
        <v>45413</v>
      </c>
      <c r="B6022" s="25" t="s">
        <v>144</v>
      </c>
      <c r="C6022" s="25" t="s">
        <v>4</v>
      </c>
      <c r="D6022" s="51">
        <v>262</v>
      </c>
    </row>
    <row r="6023" spans="1:4" x14ac:dyDescent="0.2">
      <c r="A6023" s="24">
        <v>45413</v>
      </c>
      <c r="B6023" s="25" t="s">
        <v>144</v>
      </c>
      <c r="C6023" s="25" t="s">
        <v>8</v>
      </c>
      <c r="D6023" s="51">
        <v>2</v>
      </c>
    </row>
    <row r="6024" spans="1:4" x14ac:dyDescent="0.2">
      <c r="A6024" s="24">
        <v>45413</v>
      </c>
      <c r="B6024" s="25" t="s">
        <v>144</v>
      </c>
      <c r="C6024" s="25" t="s">
        <v>26</v>
      </c>
      <c r="D6024" s="51">
        <v>1</v>
      </c>
    </row>
    <row r="6025" spans="1:4" x14ac:dyDescent="0.2">
      <c r="A6025" s="24">
        <v>45413</v>
      </c>
      <c r="B6025" s="25" t="s">
        <v>144</v>
      </c>
      <c r="C6025" s="25" t="s">
        <v>142</v>
      </c>
      <c r="D6025" s="51">
        <v>18</v>
      </c>
    </row>
    <row r="6026" spans="1:4" x14ac:dyDescent="0.2">
      <c r="A6026" s="24">
        <v>45413</v>
      </c>
      <c r="B6026" s="25" t="s">
        <v>144</v>
      </c>
      <c r="C6026" s="25" t="s">
        <v>2</v>
      </c>
      <c r="D6026" s="51">
        <v>284</v>
      </c>
    </row>
    <row r="6027" spans="1:4" x14ac:dyDescent="0.2">
      <c r="A6027" s="24">
        <v>45778</v>
      </c>
      <c r="B6027" s="25" t="s">
        <v>117</v>
      </c>
      <c r="C6027" s="25" t="s">
        <v>4</v>
      </c>
      <c r="D6027" s="51">
        <v>6628273</v>
      </c>
    </row>
    <row r="6028" spans="1:4" x14ac:dyDescent="0.2">
      <c r="A6028" s="24">
        <v>45778</v>
      </c>
      <c r="B6028" s="25" t="s">
        <v>117</v>
      </c>
      <c r="C6028" s="25" t="s">
        <v>8</v>
      </c>
      <c r="D6028" s="51">
        <v>317131</v>
      </c>
    </row>
    <row r="6029" spans="1:4" x14ac:dyDescent="0.2">
      <c r="A6029" s="24">
        <v>45778</v>
      </c>
      <c r="B6029" s="25" t="s">
        <v>117</v>
      </c>
      <c r="C6029" s="25" t="s">
        <v>26</v>
      </c>
      <c r="D6029" s="51">
        <v>1280870</v>
      </c>
    </row>
    <row r="6030" spans="1:4" x14ac:dyDescent="0.2">
      <c r="A6030" s="24">
        <v>45778</v>
      </c>
      <c r="B6030" s="25" t="s">
        <v>117</v>
      </c>
      <c r="C6030" s="25" t="s">
        <v>142</v>
      </c>
      <c r="D6030" s="51">
        <v>2328312.14</v>
      </c>
    </row>
    <row r="6031" spans="1:4" x14ac:dyDescent="0.2">
      <c r="A6031" s="24">
        <v>45778</v>
      </c>
      <c r="B6031" s="25" t="s">
        <v>117</v>
      </c>
      <c r="C6031" s="25" t="s">
        <v>2</v>
      </c>
      <c r="D6031" s="51">
        <v>9299381.5500000007</v>
      </c>
    </row>
    <row r="6032" spans="1:4" x14ac:dyDescent="0.2">
      <c r="A6032" s="24">
        <v>45778</v>
      </c>
      <c r="B6032" s="25" t="s">
        <v>117</v>
      </c>
      <c r="C6032" s="25" t="s">
        <v>143</v>
      </c>
      <c r="D6032" s="51">
        <v>335</v>
      </c>
    </row>
    <row r="6033" spans="1:4" x14ac:dyDescent="0.2">
      <c r="A6033" s="24">
        <v>45778</v>
      </c>
      <c r="B6033" s="25" t="s">
        <v>137</v>
      </c>
      <c r="C6033" s="25" t="s">
        <v>4</v>
      </c>
      <c r="D6033" s="51">
        <v>7906266</v>
      </c>
    </row>
    <row r="6034" spans="1:4" x14ac:dyDescent="0.2">
      <c r="A6034" s="24">
        <v>45778</v>
      </c>
      <c r="B6034" s="25" t="s">
        <v>137</v>
      </c>
      <c r="C6034" s="25" t="s">
        <v>8</v>
      </c>
      <c r="D6034" s="51">
        <v>730569</v>
      </c>
    </row>
    <row r="6035" spans="1:4" x14ac:dyDescent="0.2">
      <c r="A6035" s="24">
        <v>45778</v>
      </c>
      <c r="B6035" s="25" t="s">
        <v>137</v>
      </c>
      <c r="C6035" s="25" t="s">
        <v>26</v>
      </c>
      <c r="D6035" s="51">
        <v>1676854</v>
      </c>
    </row>
    <row r="6036" spans="1:4" x14ac:dyDescent="0.2">
      <c r="A6036" s="24">
        <v>45778</v>
      </c>
      <c r="B6036" s="25" t="s">
        <v>137</v>
      </c>
      <c r="C6036" s="25" t="s">
        <v>142</v>
      </c>
      <c r="D6036" s="51">
        <v>2526395.23</v>
      </c>
    </row>
    <row r="6037" spans="1:4" x14ac:dyDescent="0.2">
      <c r="A6037" s="24">
        <v>45778</v>
      </c>
      <c r="B6037" s="25" t="s">
        <v>137</v>
      </c>
      <c r="C6037" s="25" t="s">
        <v>2</v>
      </c>
      <c r="D6037" s="51">
        <v>9362066.5399999991</v>
      </c>
    </row>
    <row r="6038" spans="1:4" x14ac:dyDescent="0.2">
      <c r="A6038" s="24">
        <v>45778</v>
      </c>
      <c r="B6038" s="25" t="s">
        <v>137</v>
      </c>
      <c r="C6038" s="25" t="s">
        <v>143</v>
      </c>
      <c r="D6038" s="51">
        <v>56</v>
      </c>
    </row>
    <row r="6039" spans="1:4" x14ac:dyDescent="0.2">
      <c r="A6039" s="24">
        <v>45778</v>
      </c>
      <c r="B6039" s="25" t="s">
        <v>118</v>
      </c>
      <c r="C6039" s="25" t="s">
        <v>4</v>
      </c>
      <c r="D6039" s="51">
        <v>559448</v>
      </c>
    </row>
    <row r="6040" spans="1:4" x14ac:dyDescent="0.2">
      <c r="A6040" s="24">
        <v>45778</v>
      </c>
      <c r="B6040" s="25" t="s">
        <v>118</v>
      </c>
      <c r="C6040" s="25" t="s">
        <v>8</v>
      </c>
      <c r="D6040" s="51">
        <v>47478</v>
      </c>
    </row>
    <row r="6041" spans="1:4" x14ac:dyDescent="0.2">
      <c r="A6041" s="24">
        <v>45778</v>
      </c>
      <c r="B6041" s="25" t="s">
        <v>118</v>
      </c>
      <c r="C6041" s="25" t="s">
        <v>26</v>
      </c>
      <c r="D6041" s="51">
        <v>89889</v>
      </c>
    </row>
    <row r="6042" spans="1:4" x14ac:dyDescent="0.2">
      <c r="A6042" s="24">
        <v>45778</v>
      </c>
      <c r="B6042" s="25" t="s">
        <v>118</v>
      </c>
      <c r="C6042" s="25" t="s">
        <v>142</v>
      </c>
      <c r="D6042" s="51">
        <v>182350.6</v>
      </c>
    </row>
    <row r="6043" spans="1:4" x14ac:dyDescent="0.2">
      <c r="A6043" s="24">
        <v>45778</v>
      </c>
      <c r="B6043" s="25" t="s">
        <v>118</v>
      </c>
      <c r="C6043" s="25" t="s">
        <v>2</v>
      </c>
      <c r="D6043" s="51">
        <v>529030.19999999995</v>
      </c>
    </row>
    <row r="6044" spans="1:4" x14ac:dyDescent="0.2">
      <c r="A6044" s="24">
        <v>45778</v>
      </c>
      <c r="B6044" s="25" t="s">
        <v>118</v>
      </c>
      <c r="C6044" s="25" t="s">
        <v>143</v>
      </c>
      <c r="D6044" s="51">
        <v>36</v>
      </c>
    </row>
    <row r="6045" spans="1:4" x14ac:dyDescent="0.2">
      <c r="A6045" s="24">
        <v>45778</v>
      </c>
      <c r="B6045" s="25" t="s">
        <v>119</v>
      </c>
      <c r="C6045" s="25" t="s">
        <v>4</v>
      </c>
      <c r="D6045" s="51">
        <v>1097300</v>
      </c>
    </row>
    <row r="6046" spans="1:4" x14ac:dyDescent="0.2">
      <c r="A6046" s="24">
        <v>45778</v>
      </c>
      <c r="B6046" s="25" t="s">
        <v>119</v>
      </c>
      <c r="C6046" s="25" t="s">
        <v>8</v>
      </c>
      <c r="D6046" s="51">
        <v>23816</v>
      </c>
    </row>
    <row r="6047" spans="1:4" x14ac:dyDescent="0.2">
      <c r="A6047" s="24">
        <v>45778</v>
      </c>
      <c r="B6047" s="25" t="s">
        <v>119</v>
      </c>
      <c r="C6047" s="25" t="s">
        <v>26</v>
      </c>
      <c r="D6047" s="51">
        <v>237293</v>
      </c>
    </row>
    <row r="6048" spans="1:4" x14ac:dyDescent="0.2">
      <c r="A6048" s="24">
        <v>45778</v>
      </c>
      <c r="B6048" s="25" t="s">
        <v>119</v>
      </c>
      <c r="C6048" s="25" t="s">
        <v>142</v>
      </c>
      <c r="D6048" s="51">
        <v>464539.91</v>
      </c>
    </row>
    <row r="6049" spans="1:4" x14ac:dyDescent="0.2">
      <c r="A6049" s="24">
        <v>45778</v>
      </c>
      <c r="B6049" s="25" t="s">
        <v>119</v>
      </c>
      <c r="C6049" s="25" t="s">
        <v>2</v>
      </c>
      <c r="D6049" s="51">
        <v>1330919.83</v>
      </c>
    </row>
    <row r="6050" spans="1:4" x14ac:dyDescent="0.2">
      <c r="A6050" s="24">
        <v>45778</v>
      </c>
      <c r="B6050" s="25" t="s">
        <v>119</v>
      </c>
      <c r="C6050" s="25" t="s">
        <v>143</v>
      </c>
      <c r="D6050" s="51">
        <v>22</v>
      </c>
    </row>
    <row r="6051" spans="1:4" x14ac:dyDescent="0.2">
      <c r="A6051" s="24">
        <v>45778</v>
      </c>
      <c r="B6051" s="25" t="s">
        <v>138</v>
      </c>
      <c r="C6051" s="25" t="s">
        <v>4</v>
      </c>
      <c r="D6051" s="51">
        <v>14</v>
      </c>
    </row>
    <row r="6052" spans="1:4" x14ac:dyDescent="0.2">
      <c r="A6052" s="24">
        <v>45778</v>
      </c>
      <c r="B6052" s="25" t="s">
        <v>138</v>
      </c>
      <c r="C6052" s="25" t="s">
        <v>8</v>
      </c>
      <c r="D6052" s="51">
        <v>121</v>
      </c>
    </row>
    <row r="6053" spans="1:4" x14ac:dyDescent="0.2">
      <c r="A6053" s="24">
        <v>45778</v>
      </c>
      <c r="B6053" s="25" t="s">
        <v>138</v>
      </c>
      <c r="C6053" s="25" t="s">
        <v>26</v>
      </c>
      <c r="D6053" s="51">
        <v>85</v>
      </c>
    </row>
    <row r="6054" spans="1:4" x14ac:dyDescent="0.2">
      <c r="A6054" s="24">
        <v>45778</v>
      </c>
      <c r="B6054" s="25" t="s">
        <v>138</v>
      </c>
      <c r="C6054" s="25" t="s">
        <v>142</v>
      </c>
      <c r="D6054" s="51">
        <v>1</v>
      </c>
    </row>
    <row r="6055" spans="1:4" x14ac:dyDescent="0.2">
      <c r="A6055" s="24">
        <v>45778</v>
      </c>
      <c r="B6055" s="25" t="s">
        <v>138</v>
      </c>
      <c r="C6055" s="25" t="s">
        <v>2</v>
      </c>
      <c r="D6055" s="51">
        <v>92</v>
      </c>
    </row>
    <row r="6056" spans="1:4" x14ac:dyDescent="0.2">
      <c r="A6056" s="24">
        <v>45778</v>
      </c>
      <c r="B6056" s="25" t="s">
        <v>139</v>
      </c>
      <c r="C6056" s="25" t="s">
        <v>4</v>
      </c>
      <c r="D6056" s="51">
        <v>1128</v>
      </c>
    </row>
    <row r="6057" spans="1:4" x14ac:dyDescent="0.2">
      <c r="A6057" s="24">
        <v>45778</v>
      </c>
      <c r="B6057" s="25" t="s">
        <v>139</v>
      </c>
      <c r="C6057" s="25" t="s">
        <v>8</v>
      </c>
      <c r="D6057" s="51">
        <v>28</v>
      </c>
    </row>
    <row r="6058" spans="1:4" x14ac:dyDescent="0.2">
      <c r="A6058" s="24">
        <v>45778</v>
      </c>
      <c r="B6058" s="25" t="s">
        <v>139</v>
      </c>
      <c r="C6058" s="25" t="s">
        <v>26</v>
      </c>
      <c r="D6058" s="51">
        <v>99</v>
      </c>
    </row>
    <row r="6059" spans="1:4" x14ac:dyDescent="0.2">
      <c r="A6059" s="24">
        <v>45778</v>
      </c>
      <c r="B6059" s="25" t="s">
        <v>139</v>
      </c>
      <c r="C6059" s="25" t="s">
        <v>142</v>
      </c>
      <c r="D6059" s="51">
        <v>58.69</v>
      </c>
    </row>
    <row r="6060" spans="1:4" x14ac:dyDescent="0.2">
      <c r="A6060" s="24">
        <v>45778</v>
      </c>
      <c r="B6060" s="25" t="s">
        <v>139</v>
      </c>
      <c r="C6060" s="25" t="s">
        <v>2</v>
      </c>
      <c r="D6060" s="51">
        <v>849.38</v>
      </c>
    </row>
    <row r="6061" spans="1:4" x14ac:dyDescent="0.2">
      <c r="A6061" s="24">
        <v>45778</v>
      </c>
      <c r="B6061" s="25" t="s">
        <v>120</v>
      </c>
      <c r="C6061" s="25" t="s">
        <v>4</v>
      </c>
      <c r="D6061" s="51">
        <v>80800</v>
      </c>
    </row>
    <row r="6062" spans="1:4" x14ac:dyDescent="0.2">
      <c r="A6062" s="24">
        <v>45778</v>
      </c>
      <c r="B6062" s="25" t="s">
        <v>120</v>
      </c>
      <c r="C6062" s="25" t="s">
        <v>8</v>
      </c>
      <c r="D6062" s="51">
        <v>4581</v>
      </c>
    </row>
    <row r="6063" spans="1:4" x14ac:dyDescent="0.2">
      <c r="A6063" s="24">
        <v>45778</v>
      </c>
      <c r="B6063" s="25" t="s">
        <v>120</v>
      </c>
      <c r="C6063" s="25" t="s">
        <v>26</v>
      </c>
      <c r="D6063" s="51">
        <v>14173</v>
      </c>
    </row>
    <row r="6064" spans="1:4" x14ac:dyDescent="0.2">
      <c r="A6064" s="24">
        <v>45778</v>
      </c>
      <c r="B6064" s="25" t="s">
        <v>120</v>
      </c>
      <c r="C6064" s="25" t="s">
        <v>142</v>
      </c>
      <c r="D6064" s="51">
        <v>39705.25</v>
      </c>
    </row>
    <row r="6065" spans="1:4" x14ac:dyDescent="0.2">
      <c r="A6065" s="24">
        <v>45778</v>
      </c>
      <c r="B6065" s="25" t="s">
        <v>120</v>
      </c>
      <c r="C6065" s="25" t="s">
        <v>2</v>
      </c>
      <c r="D6065" s="51">
        <v>184745.31</v>
      </c>
    </row>
    <row r="6066" spans="1:4" x14ac:dyDescent="0.2">
      <c r="A6066" s="24">
        <v>45778</v>
      </c>
      <c r="B6066" s="25" t="s">
        <v>120</v>
      </c>
      <c r="C6066" s="25" t="s">
        <v>143</v>
      </c>
      <c r="D6066" s="51">
        <v>8</v>
      </c>
    </row>
    <row r="6067" spans="1:4" x14ac:dyDescent="0.2">
      <c r="A6067" s="24">
        <v>45778</v>
      </c>
      <c r="B6067" s="25" t="s">
        <v>121</v>
      </c>
      <c r="C6067" s="25" t="s">
        <v>4</v>
      </c>
      <c r="D6067" s="51">
        <v>29508</v>
      </c>
    </row>
    <row r="6068" spans="1:4" x14ac:dyDescent="0.2">
      <c r="A6068" s="24">
        <v>45778</v>
      </c>
      <c r="B6068" s="25" t="s">
        <v>121</v>
      </c>
      <c r="C6068" s="25" t="s">
        <v>8</v>
      </c>
      <c r="D6068" s="51">
        <v>1716</v>
      </c>
    </row>
    <row r="6069" spans="1:4" x14ac:dyDescent="0.2">
      <c r="A6069" s="24">
        <v>45778</v>
      </c>
      <c r="B6069" s="25" t="s">
        <v>121</v>
      </c>
      <c r="C6069" s="25" t="s">
        <v>26</v>
      </c>
      <c r="D6069" s="51">
        <v>3757</v>
      </c>
    </row>
    <row r="6070" spans="1:4" x14ac:dyDescent="0.2">
      <c r="A6070" s="24">
        <v>45778</v>
      </c>
      <c r="B6070" s="25" t="s">
        <v>121</v>
      </c>
      <c r="C6070" s="25" t="s">
        <v>142</v>
      </c>
      <c r="D6070" s="51">
        <v>5412.5</v>
      </c>
    </row>
    <row r="6071" spans="1:4" x14ac:dyDescent="0.2">
      <c r="A6071" s="24">
        <v>45778</v>
      </c>
      <c r="B6071" s="25" t="s">
        <v>121</v>
      </c>
      <c r="C6071" s="25" t="s">
        <v>2</v>
      </c>
      <c r="D6071" s="51">
        <v>22216</v>
      </c>
    </row>
    <row r="6072" spans="1:4" x14ac:dyDescent="0.2">
      <c r="A6072" s="24">
        <v>45778</v>
      </c>
      <c r="B6072" s="25" t="s">
        <v>121</v>
      </c>
      <c r="C6072" s="25" t="s">
        <v>143</v>
      </c>
      <c r="D6072" s="51">
        <v>2</v>
      </c>
    </row>
    <row r="6073" spans="1:4" x14ac:dyDescent="0.2">
      <c r="A6073" s="24">
        <v>45778</v>
      </c>
      <c r="B6073" s="25" t="s">
        <v>140</v>
      </c>
      <c r="C6073" s="25" t="s">
        <v>4</v>
      </c>
      <c r="D6073" s="51">
        <v>20845</v>
      </c>
    </row>
    <row r="6074" spans="1:4" x14ac:dyDescent="0.2">
      <c r="A6074" s="24">
        <v>45778</v>
      </c>
      <c r="B6074" s="25" t="s">
        <v>122</v>
      </c>
      <c r="C6074" s="25" t="s">
        <v>4</v>
      </c>
      <c r="D6074" s="51">
        <v>1420082</v>
      </c>
    </row>
    <row r="6075" spans="1:4" x14ac:dyDescent="0.2">
      <c r="A6075" s="24">
        <v>45778</v>
      </c>
      <c r="B6075" s="25" t="s">
        <v>122</v>
      </c>
      <c r="C6075" s="25" t="s">
        <v>8</v>
      </c>
      <c r="D6075" s="51">
        <v>11030</v>
      </c>
    </row>
    <row r="6076" spans="1:4" x14ac:dyDescent="0.2">
      <c r="A6076" s="24">
        <v>45778</v>
      </c>
      <c r="B6076" s="25" t="s">
        <v>122</v>
      </c>
      <c r="C6076" s="25" t="s">
        <v>26</v>
      </c>
      <c r="D6076" s="51">
        <v>57707</v>
      </c>
    </row>
    <row r="6077" spans="1:4" x14ac:dyDescent="0.2">
      <c r="A6077" s="24">
        <v>45778</v>
      </c>
      <c r="B6077" s="25" t="s">
        <v>122</v>
      </c>
      <c r="C6077" s="25" t="s">
        <v>142</v>
      </c>
      <c r="D6077" s="51">
        <v>316913.69</v>
      </c>
    </row>
    <row r="6078" spans="1:4" x14ac:dyDescent="0.2">
      <c r="A6078" s="24">
        <v>45778</v>
      </c>
      <c r="B6078" s="25" t="s">
        <v>122</v>
      </c>
      <c r="C6078" s="25" t="s">
        <v>2</v>
      </c>
      <c r="D6078" s="51">
        <v>908005.42</v>
      </c>
    </row>
    <row r="6079" spans="1:4" x14ac:dyDescent="0.2">
      <c r="A6079" s="24">
        <v>45778</v>
      </c>
      <c r="B6079" s="25" t="s">
        <v>123</v>
      </c>
      <c r="C6079" s="25" t="s">
        <v>4</v>
      </c>
      <c r="D6079" s="51">
        <v>3295072</v>
      </c>
    </row>
    <row r="6080" spans="1:4" x14ac:dyDescent="0.2">
      <c r="A6080" s="24">
        <v>45778</v>
      </c>
      <c r="B6080" s="25" t="s">
        <v>123</v>
      </c>
      <c r="C6080" s="25" t="s">
        <v>8</v>
      </c>
      <c r="D6080" s="51">
        <v>172417</v>
      </c>
    </row>
    <row r="6081" spans="1:4" x14ac:dyDescent="0.2">
      <c r="A6081" s="24">
        <v>45778</v>
      </c>
      <c r="B6081" s="25" t="s">
        <v>123</v>
      </c>
      <c r="C6081" s="25" t="s">
        <v>26</v>
      </c>
      <c r="D6081" s="51">
        <v>483824</v>
      </c>
    </row>
    <row r="6082" spans="1:4" x14ac:dyDescent="0.2">
      <c r="A6082" s="24">
        <v>45778</v>
      </c>
      <c r="B6082" s="25" t="s">
        <v>123</v>
      </c>
      <c r="C6082" s="25" t="s">
        <v>142</v>
      </c>
      <c r="D6082" s="51">
        <v>438988.27</v>
      </c>
    </row>
    <row r="6083" spans="1:4" x14ac:dyDescent="0.2">
      <c r="A6083" s="24">
        <v>45778</v>
      </c>
      <c r="B6083" s="25" t="s">
        <v>123</v>
      </c>
      <c r="C6083" s="25" t="s">
        <v>2</v>
      </c>
      <c r="D6083" s="51">
        <v>2291483.88</v>
      </c>
    </row>
    <row r="6084" spans="1:4" x14ac:dyDescent="0.2">
      <c r="A6084" s="24">
        <v>45778</v>
      </c>
      <c r="B6084" s="25" t="s">
        <v>123</v>
      </c>
      <c r="C6084" s="25" t="s">
        <v>143</v>
      </c>
      <c r="D6084" s="51">
        <v>171</v>
      </c>
    </row>
    <row r="6085" spans="1:4" x14ac:dyDescent="0.2">
      <c r="A6085" s="24">
        <v>45778</v>
      </c>
      <c r="B6085" s="25" t="s">
        <v>124</v>
      </c>
      <c r="C6085" s="25" t="s">
        <v>8</v>
      </c>
      <c r="D6085" s="51">
        <v>14721</v>
      </c>
    </row>
    <row r="6086" spans="1:4" x14ac:dyDescent="0.2">
      <c r="A6086" s="24">
        <v>45778</v>
      </c>
      <c r="B6086" s="25" t="s">
        <v>125</v>
      </c>
      <c r="C6086" s="25" t="s">
        <v>8</v>
      </c>
      <c r="D6086" s="51">
        <v>5956</v>
      </c>
    </row>
    <row r="6087" spans="1:4" x14ac:dyDescent="0.2">
      <c r="A6087" s="24">
        <v>45778</v>
      </c>
      <c r="B6087" s="25" t="s">
        <v>127</v>
      </c>
      <c r="C6087" s="25" t="s">
        <v>26</v>
      </c>
      <c r="D6087" s="51">
        <v>2972</v>
      </c>
    </row>
    <row r="6088" spans="1:4" x14ac:dyDescent="0.2">
      <c r="A6088" s="24">
        <v>45778</v>
      </c>
      <c r="B6088" s="25" t="s">
        <v>128</v>
      </c>
      <c r="C6088" s="25" t="s">
        <v>26</v>
      </c>
      <c r="D6088" s="51">
        <v>1163</v>
      </c>
    </row>
    <row r="6089" spans="1:4" x14ac:dyDescent="0.2">
      <c r="A6089" s="24">
        <v>45778</v>
      </c>
      <c r="B6089" s="25" t="s">
        <v>129</v>
      </c>
      <c r="C6089" s="25" t="s">
        <v>142</v>
      </c>
      <c r="D6089" s="51">
        <v>9825.2999999999993</v>
      </c>
    </row>
    <row r="6090" spans="1:4" x14ac:dyDescent="0.2">
      <c r="A6090" s="24">
        <v>45778</v>
      </c>
      <c r="B6090" s="25" t="s">
        <v>129</v>
      </c>
      <c r="C6090" s="25" t="s">
        <v>2</v>
      </c>
      <c r="D6090" s="51">
        <v>61619.91</v>
      </c>
    </row>
    <row r="6091" spans="1:4" x14ac:dyDescent="0.2">
      <c r="A6091" s="24">
        <v>45778</v>
      </c>
      <c r="B6091" s="25" t="s">
        <v>130</v>
      </c>
      <c r="C6091" s="25" t="s">
        <v>142</v>
      </c>
      <c r="D6091" s="51">
        <v>11854.02</v>
      </c>
    </row>
    <row r="6092" spans="1:4" x14ac:dyDescent="0.2">
      <c r="A6092" s="24">
        <v>45778</v>
      </c>
      <c r="B6092" s="25" t="s">
        <v>130</v>
      </c>
      <c r="C6092" s="25" t="s">
        <v>2</v>
      </c>
      <c r="D6092" s="51">
        <v>36191.85</v>
      </c>
    </row>
    <row r="6093" spans="1:4" x14ac:dyDescent="0.2">
      <c r="A6093" s="24">
        <v>45778</v>
      </c>
      <c r="B6093" s="25" t="s">
        <v>144</v>
      </c>
      <c r="C6093" s="25" t="s">
        <v>4</v>
      </c>
      <c r="D6093" s="51">
        <v>48</v>
      </c>
    </row>
    <row r="6094" spans="1:4" x14ac:dyDescent="0.2">
      <c r="A6094" s="24">
        <v>45778</v>
      </c>
      <c r="B6094" s="25" t="s">
        <v>144</v>
      </c>
      <c r="C6094" s="25" t="s">
        <v>142</v>
      </c>
      <c r="D6094" s="51">
        <v>0.02</v>
      </c>
    </row>
    <row r="6095" spans="1:4" x14ac:dyDescent="0.2">
      <c r="A6095" s="24">
        <v>45778</v>
      </c>
      <c r="B6095" s="25" t="s">
        <v>144</v>
      </c>
      <c r="C6095" s="25" t="s">
        <v>2</v>
      </c>
      <c r="D6095" s="51">
        <v>47</v>
      </c>
    </row>
    <row r="6096" spans="1:4" x14ac:dyDescent="0.2">
      <c r="A6096" s="24">
        <v>45597</v>
      </c>
      <c r="B6096" s="25" t="s">
        <v>117</v>
      </c>
      <c r="C6096" s="25" t="s">
        <v>4</v>
      </c>
      <c r="D6096" s="51">
        <v>6851729</v>
      </c>
    </row>
    <row r="6097" spans="1:4" x14ac:dyDescent="0.2">
      <c r="A6097" s="24">
        <v>45597</v>
      </c>
      <c r="B6097" s="25" t="s">
        <v>117</v>
      </c>
      <c r="C6097" s="25" t="s">
        <v>8</v>
      </c>
      <c r="D6097" s="51">
        <v>371637</v>
      </c>
    </row>
    <row r="6098" spans="1:4" x14ac:dyDescent="0.2">
      <c r="A6098" s="24">
        <v>45597</v>
      </c>
      <c r="B6098" s="25" t="s">
        <v>117</v>
      </c>
      <c r="C6098" s="25" t="s">
        <v>26</v>
      </c>
      <c r="D6098" s="51">
        <v>958841</v>
      </c>
    </row>
    <row r="6099" spans="1:4" x14ac:dyDescent="0.2">
      <c r="A6099" s="24">
        <v>45597</v>
      </c>
      <c r="B6099" s="25" t="s">
        <v>117</v>
      </c>
      <c r="C6099" s="25" t="s">
        <v>142</v>
      </c>
      <c r="D6099" s="51">
        <v>2111843.1</v>
      </c>
    </row>
    <row r="6100" spans="1:4" x14ac:dyDescent="0.2">
      <c r="A6100" s="24">
        <v>45597</v>
      </c>
      <c r="B6100" s="25" t="s">
        <v>117</v>
      </c>
      <c r="C6100" s="25" t="s">
        <v>2</v>
      </c>
      <c r="D6100" s="51">
        <v>10186058.130000001</v>
      </c>
    </row>
    <row r="6101" spans="1:4" x14ac:dyDescent="0.2">
      <c r="A6101" s="24">
        <v>45597</v>
      </c>
      <c r="B6101" s="25" t="s">
        <v>137</v>
      </c>
      <c r="C6101" s="25" t="s">
        <v>4</v>
      </c>
      <c r="D6101" s="51">
        <v>7649188</v>
      </c>
    </row>
    <row r="6102" spans="1:4" x14ac:dyDescent="0.2">
      <c r="A6102" s="24">
        <v>45597</v>
      </c>
      <c r="B6102" s="25" t="s">
        <v>137</v>
      </c>
      <c r="C6102" s="25" t="s">
        <v>8</v>
      </c>
      <c r="D6102" s="51">
        <v>843625</v>
      </c>
    </row>
    <row r="6103" spans="1:4" x14ac:dyDescent="0.2">
      <c r="A6103" s="24">
        <v>45597</v>
      </c>
      <c r="B6103" s="25" t="s">
        <v>137</v>
      </c>
      <c r="C6103" s="25" t="s">
        <v>26</v>
      </c>
      <c r="D6103" s="51">
        <v>1242894</v>
      </c>
    </row>
    <row r="6104" spans="1:4" x14ac:dyDescent="0.2">
      <c r="A6104" s="24">
        <v>45597</v>
      </c>
      <c r="B6104" s="25" t="s">
        <v>137</v>
      </c>
      <c r="C6104" s="25" t="s">
        <v>142</v>
      </c>
      <c r="D6104" s="51">
        <v>2174210.09</v>
      </c>
    </row>
    <row r="6105" spans="1:4" x14ac:dyDescent="0.2">
      <c r="A6105" s="24">
        <v>45597</v>
      </c>
      <c r="B6105" s="25" t="s">
        <v>137</v>
      </c>
      <c r="C6105" s="25" t="s">
        <v>2</v>
      </c>
      <c r="D6105" s="51">
        <v>9637641.5399999991</v>
      </c>
    </row>
    <row r="6106" spans="1:4" x14ac:dyDescent="0.2">
      <c r="A6106" s="24">
        <v>45597</v>
      </c>
      <c r="B6106" s="25" t="s">
        <v>118</v>
      </c>
      <c r="C6106" s="25" t="s">
        <v>4</v>
      </c>
      <c r="D6106" s="51">
        <v>601409</v>
      </c>
    </row>
    <row r="6107" spans="1:4" x14ac:dyDescent="0.2">
      <c r="A6107" s="24">
        <v>45597</v>
      </c>
      <c r="B6107" s="25" t="s">
        <v>118</v>
      </c>
      <c r="C6107" s="25" t="s">
        <v>8</v>
      </c>
      <c r="D6107" s="51">
        <v>58552</v>
      </c>
    </row>
    <row r="6108" spans="1:4" x14ac:dyDescent="0.2">
      <c r="A6108" s="24">
        <v>45597</v>
      </c>
      <c r="B6108" s="25" t="s">
        <v>118</v>
      </c>
      <c r="C6108" s="25" t="s">
        <v>26</v>
      </c>
      <c r="D6108" s="51">
        <v>64216</v>
      </c>
    </row>
    <row r="6109" spans="1:4" x14ac:dyDescent="0.2">
      <c r="A6109" s="24">
        <v>45597</v>
      </c>
      <c r="B6109" s="25" t="s">
        <v>118</v>
      </c>
      <c r="C6109" s="25" t="s">
        <v>142</v>
      </c>
      <c r="D6109" s="51">
        <v>169916.08</v>
      </c>
    </row>
    <row r="6110" spans="1:4" x14ac:dyDescent="0.2">
      <c r="A6110" s="24">
        <v>45597</v>
      </c>
      <c r="B6110" s="25" t="s">
        <v>118</v>
      </c>
      <c r="C6110" s="25" t="s">
        <v>2</v>
      </c>
      <c r="D6110" s="51">
        <v>585647.02</v>
      </c>
    </row>
    <row r="6111" spans="1:4" x14ac:dyDescent="0.2">
      <c r="A6111" s="24">
        <v>45597</v>
      </c>
      <c r="B6111" s="25" t="s">
        <v>119</v>
      </c>
      <c r="C6111" s="25" t="s">
        <v>4</v>
      </c>
      <c r="D6111" s="51">
        <v>845935</v>
      </c>
    </row>
    <row r="6112" spans="1:4" x14ac:dyDescent="0.2">
      <c r="A6112" s="24">
        <v>45597</v>
      </c>
      <c r="B6112" s="25" t="s">
        <v>119</v>
      </c>
      <c r="C6112" s="25" t="s">
        <v>8</v>
      </c>
      <c r="D6112" s="51">
        <v>21162</v>
      </c>
    </row>
    <row r="6113" spans="1:4" x14ac:dyDescent="0.2">
      <c r="A6113" s="24">
        <v>45597</v>
      </c>
      <c r="B6113" s="25" t="s">
        <v>119</v>
      </c>
      <c r="C6113" s="25" t="s">
        <v>26</v>
      </c>
      <c r="D6113" s="51">
        <v>183410</v>
      </c>
    </row>
    <row r="6114" spans="1:4" x14ac:dyDescent="0.2">
      <c r="A6114" s="24">
        <v>45597</v>
      </c>
      <c r="B6114" s="25" t="s">
        <v>119</v>
      </c>
      <c r="C6114" s="25" t="s">
        <v>142</v>
      </c>
      <c r="D6114" s="51">
        <v>298977.98</v>
      </c>
    </row>
    <row r="6115" spans="1:4" x14ac:dyDescent="0.2">
      <c r="A6115" s="24">
        <v>45597</v>
      </c>
      <c r="B6115" s="25" t="s">
        <v>119</v>
      </c>
      <c r="C6115" s="25" t="s">
        <v>2</v>
      </c>
      <c r="D6115" s="51">
        <v>1047764.07</v>
      </c>
    </row>
    <row r="6116" spans="1:4" x14ac:dyDescent="0.2">
      <c r="A6116" s="24">
        <v>45597</v>
      </c>
      <c r="B6116" s="25" t="s">
        <v>138</v>
      </c>
      <c r="C6116" s="25" t="s">
        <v>4</v>
      </c>
      <c r="D6116" s="51">
        <v>21</v>
      </c>
    </row>
    <row r="6117" spans="1:4" x14ac:dyDescent="0.2">
      <c r="A6117" s="24">
        <v>45597</v>
      </c>
      <c r="B6117" s="25" t="s">
        <v>138</v>
      </c>
      <c r="C6117" s="25" t="s">
        <v>26</v>
      </c>
      <c r="D6117" s="51">
        <v>1</v>
      </c>
    </row>
    <row r="6118" spans="1:4" x14ac:dyDescent="0.2">
      <c r="A6118" s="24">
        <v>45597</v>
      </c>
      <c r="B6118" s="25" t="s">
        <v>138</v>
      </c>
      <c r="C6118" s="25" t="s">
        <v>142</v>
      </c>
      <c r="D6118" s="51">
        <v>0</v>
      </c>
    </row>
    <row r="6119" spans="1:4" x14ac:dyDescent="0.2">
      <c r="A6119" s="24">
        <v>45597</v>
      </c>
      <c r="B6119" s="25" t="s">
        <v>138</v>
      </c>
      <c r="C6119" s="25" t="s">
        <v>2</v>
      </c>
      <c r="D6119" s="51">
        <v>54</v>
      </c>
    </row>
    <row r="6120" spans="1:4" x14ac:dyDescent="0.2">
      <c r="A6120" s="24">
        <v>45597</v>
      </c>
      <c r="B6120" s="25" t="s">
        <v>139</v>
      </c>
      <c r="C6120" s="25" t="s">
        <v>4</v>
      </c>
      <c r="D6120" s="51">
        <v>1025</v>
      </c>
    </row>
    <row r="6121" spans="1:4" x14ac:dyDescent="0.2">
      <c r="A6121" s="24">
        <v>45597</v>
      </c>
      <c r="B6121" s="25" t="s">
        <v>139</v>
      </c>
      <c r="C6121" s="25" t="s">
        <v>8</v>
      </c>
      <c r="D6121" s="51">
        <v>23</v>
      </c>
    </row>
    <row r="6122" spans="1:4" x14ac:dyDescent="0.2">
      <c r="A6122" s="24">
        <v>45597</v>
      </c>
      <c r="B6122" s="25" t="s">
        <v>139</v>
      </c>
      <c r="C6122" s="25" t="s">
        <v>26</v>
      </c>
      <c r="D6122" s="51">
        <v>43</v>
      </c>
    </row>
    <row r="6123" spans="1:4" x14ac:dyDescent="0.2">
      <c r="A6123" s="24">
        <v>45597</v>
      </c>
      <c r="B6123" s="25" t="s">
        <v>139</v>
      </c>
      <c r="C6123" s="25" t="s">
        <v>142</v>
      </c>
      <c r="D6123" s="51">
        <v>32.979999999999997</v>
      </c>
    </row>
    <row r="6124" spans="1:4" x14ac:dyDescent="0.2">
      <c r="A6124" s="24">
        <v>45597</v>
      </c>
      <c r="B6124" s="25" t="s">
        <v>139</v>
      </c>
      <c r="C6124" s="25" t="s">
        <v>2</v>
      </c>
      <c r="D6124" s="51">
        <v>959.03</v>
      </c>
    </row>
    <row r="6125" spans="1:4" x14ac:dyDescent="0.2">
      <c r="A6125" s="24">
        <v>45597</v>
      </c>
      <c r="B6125" s="25" t="s">
        <v>120</v>
      </c>
      <c r="C6125" s="25" t="s">
        <v>4</v>
      </c>
      <c r="D6125" s="51">
        <v>75587</v>
      </c>
    </row>
    <row r="6126" spans="1:4" x14ac:dyDescent="0.2">
      <c r="A6126" s="24">
        <v>45597</v>
      </c>
      <c r="B6126" s="25" t="s">
        <v>120</v>
      </c>
      <c r="C6126" s="25" t="s">
        <v>8</v>
      </c>
      <c r="D6126" s="51">
        <v>4629</v>
      </c>
    </row>
    <row r="6127" spans="1:4" x14ac:dyDescent="0.2">
      <c r="A6127" s="24">
        <v>45597</v>
      </c>
      <c r="B6127" s="25" t="s">
        <v>120</v>
      </c>
      <c r="C6127" s="25" t="s">
        <v>26</v>
      </c>
      <c r="D6127" s="51">
        <v>8633</v>
      </c>
    </row>
    <row r="6128" spans="1:4" x14ac:dyDescent="0.2">
      <c r="A6128" s="24">
        <v>45597</v>
      </c>
      <c r="B6128" s="25" t="s">
        <v>120</v>
      </c>
      <c r="C6128" s="25" t="s">
        <v>142</v>
      </c>
      <c r="D6128" s="51">
        <v>29374.65</v>
      </c>
    </row>
    <row r="6129" spans="1:4" x14ac:dyDescent="0.2">
      <c r="A6129" s="24">
        <v>45597</v>
      </c>
      <c r="B6129" s="25" t="s">
        <v>120</v>
      </c>
      <c r="C6129" s="25" t="s">
        <v>2</v>
      </c>
      <c r="D6129" s="51">
        <v>197965.77</v>
      </c>
    </row>
    <row r="6130" spans="1:4" x14ac:dyDescent="0.2">
      <c r="A6130" s="24">
        <v>45597</v>
      </c>
      <c r="B6130" s="25" t="s">
        <v>121</v>
      </c>
      <c r="C6130" s="25" t="s">
        <v>4</v>
      </c>
      <c r="D6130" s="51">
        <v>30324</v>
      </c>
    </row>
    <row r="6131" spans="1:4" x14ac:dyDescent="0.2">
      <c r="A6131" s="24">
        <v>45597</v>
      </c>
      <c r="B6131" s="25" t="s">
        <v>121</v>
      </c>
      <c r="C6131" s="25" t="s">
        <v>8</v>
      </c>
      <c r="D6131" s="51">
        <v>2013</v>
      </c>
    </row>
    <row r="6132" spans="1:4" x14ac:dyDescent="0.2">
      <c r="A6132" s="24">
        <v>45597</v>
      </c>
      <c r="B6132" s="25" t="s">
        <v>121</v>
      </c>
      <c r="C6132" s="25" t="s">
        <v>26</v>
      </c>
      <c r="D6132" s="51">
        <v>2754</v>
      </c>
    </row>
    <row r="6133" spans="1:4" x14ac:dyDescent="0.2">
      <c r="A6133" s="24">
        <v>45597</v>
      </c>
      <c r="B6133" s="25" t="s">
        <v>121</v>
      </c>
      <c r="C6133" s="25" t="s">
        <v>142</v>
      </c>
      <c r="D6133" s="51">
        <v>5049.4399999999996</v>
      </c>
    </row>
    <row r="6134" spans="1:4" x14ac:dyDescent="0.2">
      <c r="A6134" s="24">
        <v>45597</v>
      </c>
      <c r="B6134" s="25" t="s">
        <v>121</v>
      </c>
      <c r="C6134" s="25" t="s">
        <v>2</v>
      </c>
      <c r="D6134" s="51">
        <v>24147.31</v>
      </c>
    </row>
    <row r="6135" spans="1:4" x14ac:dyDescent="0.2">
      <c r="A6135" s="24">
        <v>45597</v>
      </c>
      <c r="B6135" s="25" t="s">
        <v>122</v>
      </c>
      <c r="C6135" s="25" t="s">
        <v>4</v>
      </c>
      <c r="D6135" s="51">
        <v>1203385</v>
      </c>
    </row>
    <row r="6136" spans="1:4" x14ac:dyDescent="0.2">
      <c r="A6136" s="24">
        <v>45597</v>
      </c>
      <c r="B6136" s="25" t="s">
        <v>122</v>
      </c>
      <c r="C6136" s="25" t="s">
        <v>8</v>
      </c>
      <c r="D6136" s="51">
        <v>10732</v>
      </c>
    </row>
    <row r="6137" spans="1:4" x14ac:dyDescent="0.2">
      <c r="A6137" s="24">
        <v>45597</v>
      </c>
      <c r="B6137" s="25" t="s">
        <v>122</v>
      </c>
      <c r="C6137" s="25" t="s">
        <v>26</v>
      </c>
      <c r="D6137" s="51">
        <v>26673</v>
      </c>
    </row>
    <row r="6138" spans="1:4" x14ac:dyDescent="0.2">
      <c r="A6138" s="24">
        <v>45597</v>
      </c>
      <c r="B6138" s="25" t="s">
        <v>122</v>
      </c>
      <c r="C6138" s="25" t="s">
        <v>142</v>
      </c>
      <c r="D6138" s="51">
        <v>254256.9</v>
      </c>
    </row>
    <row r="6139" spans="1:4" x14ac:dyDescent="0.2">
      <c r="A6139" s="24">
        <v>45597</v>
      </c>
      <c r="B6139" s="25" t="s">
        <v>122</v>
      </c>
      <c r="C6139" s="25" t="s">
        <v>2</v>
      </c>
      <c r="D6139" s="51">
        <v>840464.96</v>
      </c>
    </row>
    <row r="6140" spans="1:4" x14ac:dyDescent="0.2">
      <c r="A6140" s="24">
        <v>45597</v>
      </c>
      <c r="B6140" s="25" t="s">
        <v>123</v>
      </c>
      <c r="C6140" s="25" t="s">
        <v>4</v>
      </c>
      <c r="D6140" s="51">
        <v>3397581</v>
      </c>
    </row>
    <row r="6141" spans="1:4" x14ac:dyDescent="0.2">
      <c r="A6141" s="24">
        <v>45597</v>
      </c>
      <c r="B6141" s="25" t="s">
        <v>123</v>
      </c>
      <c r="C6141" s="25" t="s">
        <v>8</v>
      </c>
      <c r="D6141" s="51">
        <v>186741</v>
      </c>
    </row>
    <row r="6142" spans="1:4" x14ac:dyDescent="0.2">
      <c r="A6142" s="24">
        <v>45597</v>
      </c>
      <c r="B6142" s="25" t="s">
        <v>123</v>
      </c>
      <c r="C6142" s="25" t="s">
        <v>26</v>
      </c>
      <c r="D6142" s="51">
        <v>334334</v>
      </c>
    </row>
    <row r="6143" spans="1:4" x14ac:dyDescent="0.2">
      <c r="A6143" s="24">
        <v>45597</v>
      </c>
      <c r="B6143" s="25" t="s">
        <v>123</v>
      </c>
      <c r="C6143" s="25" t="s">
        <v>142</v>
      </c>
      <c r="D6143" s="51">
        <v>406178.8</v>
      </c>
    </row>
    <row r="6144" spans="1:4" x14ac:dyDescent="0.2">
      <c r="A6144" s="24">
        <v>45597</v>
      </c>
      <c r="B6144" s="25" t="s">
        <v>123</v>
      </c>
      <c r="C6144" s="25" t="s">
        <v>2</v>
      </c>
      <c r="D6144" s="51">
        <v>2406584.1800000002</v>
      </c>
    </row>
    <row r="6145" spans="1:4" x14ac:dyDescent="0.2">
      <c r="A6145" s="24">
        <v>45597</v>
      </c>
      <c r="B6145" s="25" t="s">
        <v>124</v>
      </c>
      <c r="C6145" s="25" t="s">
        <v>8</v>
      </c>
      <c r="D6145" s="51">
        <v>23008</v>
      </c>
    </row>
    <row r="6146" spans="1:4" x14ac:dyDescent="0.2">
      <c r="A6146" s="24">
        <v>45597</v>
      </c>
      <c r="B6146" s="25" t="s">
        <v>125</v>
      </c>
      <c r="C6146" s="25" t="s">
        <v>8</v>
      </c>
      <c r="D6146" s="51">
        <v>7529</v>
      </c>
    </row>
    <row r="6147" spans="1:4" x14ac:dyDescent="0.2">
      <c r="A6147" s="24">
        <v>45597</v>
      </c>
      <c r="B6147" s="25" t="s">
        <v>127</v>
      </c>
      <c r="C6147" s="25" t="s">
        <v>26</v>
      </c>
      <c r="D6147" s="51">
        <v>2971</v>
      </c>
    </row>
    <row r="6148" spans="1:4" x14ac:dyDescent="0.2">
      <c r="A6148" s="24">
        <v>45597</v>
      </c>
      <c r="B6148" s="25" t="s">
        <v>128</v>
      </c>
      <c r="C6148" s="25" t="s">
        <v>26</v>
      </c>
      <c r="D6148" s="51">
        <v>1083</v>
      </c>
    </row>
    <row r="6149" spans="1:4" x14ac:dyDescent="0.2">
      <c r="A6149" s="24">
        <v>45597</v>
      </c>
      <c r="B6149" s="25" t="s">
        <v>129</v>
      </c>
      <c r="C6149" s="25" t="s">
        <v>142</v>
      </c>
      <c r="D6149" s="51">
        <v>10781.89</v>
      </c>
    </row>
    <row r="6150" spans="1:4" x14ac:dyDescent="0.2">
      <c r="A6150" s="24">
        <v>45597</v>
      </c>
      <c r="B6150" s="25" t="s">
        <v>129</v>
      </c>
      <c r="C6150" s="25" t="s">
        <v>2</v>
      </c>
      <c r="D6150" s="51">
        <v>84223.72</v>
      </c>
    </row>
    <row r="6151" spans="1:4" x14ac:dyDescent="0.2">
      <c r="A6151" s="24">
        <v>45597</v>
      </c>
      <c r="B6151" s="25" t="s">
        <v>130</v>
      </c>
      <c r="C6151" s="25" t="s">
        <v>142</v>
      </c>
      <c r="D6151" s="51">
        <v>9816.15</v>
      </c>
    </row>
    <row r="6152" spans="1:4" x14ac:dyDescent="0.2">
      <c r="A6152" s="24">
        <v>45597</v>
      </c>
      <c r="B6152" s="25" t="s">
        <v>130</v>
      </c>
      <c r="C6152" s="25" t="s">
        <v>2</v>
      </c>
      <c r="D6152" s="51">
        <v>38469.57</v>
      </c>
    </row>
    <row r="6153" spans="1:4" x14ac:dyDescent="0.2">
      <c r="A6153" s="24">
        <v>45597</v>
      </c>
      <c r="B6153" s="25" t="s">
        <v>144</v>
      </c>
      <c r="C6153" s="25" t="s">
        <v>4</v>
      </c>
      <c r="D6153" s="51">
        <v>82</v>
      </c>
    </row>
    <row r="6154" spans="1:4" x14ac:dyDescent="0.2">
      <c r="A6154" s="24">
        <v>45597</v>
      </c>
      <c r="B6154" s="25" t="s">
        <v>144</v>
      </c>
      <c r="C6154" s="25" t="s">
        <v>142</v>
      </c>
      <c r="D6154" s="51">
        <v>7.87</v>
      </c>
    </row>
    <row r="6155" spans="1:4" x14ac:dyDescent="0.2">
      <c r="A6155" s="24">
        <v>45597</v>
      </c>
      <c r="B6155" s="25" t="s">
        <v>144</v>
      </c>
      <c r="C6155" s="25" t="s">
        <v>2</v>
      </c>
      <c r="D6155" s="51">
        <v>109.24</v>
      </c>
    </row>
    <row r="6156" spans="1:4" x14ac:dyDescent="0.2">
      <c r="A6156" s="24">
        <v>45566</v>
      </c>
      <c r="B6156" s="25" t="s">
        <v>117</v>
      </c>
      <c r="C6156" s="25" t="s">
        <v>4</v>
      </c>
      <c r="D6156" s="51">
        <v>7053562</v>
      </c>
    </row>
    <row r="6157" spans="1:4" x14ac:dyDescent="0.2">
      <c r="A6157" s="24">
        <v>45566</v>
      </c>
      <c r="B6157" s="25" t="s">
        <v>117</v>
      </c>
      <c r="C6157" s="25" t="s">
        <v>8</v>
      </c>
      <c r="D6157" s="51">
        <v>408097</v>
      </c>
    </row>
    <row r="6158" spans="1:4" x14ac:dyDescent="0.2">
      <c r="A6158" s="24">
        <v>45566</v>
      </c>
      <c r="B6158" s="25" t="s">
        <v>117</v>
      </c>
      <c r="C6158" s="25" t="s">
        <v>26</v>
      </c>
      <c r="D6158" s="51">
        <v>1307363</v>
      </c>
    </row>
    <row r="6159" spans="1:4" x14ac:dyDescent="0.2">
      <c r="A6159" s="24">
        <v>45566</v>
      </c>
      <c r="B6159" s="25" t="s">
        <v>117</v>
      </c>
      <c r="C6159" s="25" t="s">
        <v>142</v>
      </c>
      <c r="D6159" s="51">
        <v>2269269.37</v>
      </c>
    </row>
    <row r="6160" spans="1:4" x14ac:dyDescent="0.2">
      <c r="A6160" s="24">
        <v>45566</v>
      </c>
      <c r="B6160" s="25" t="s">
        <v>117</v>
      </c>
      <c r="C6160" s="25" t="s">
        <v>2</v>
      </c>
      <c r="D6160" s="51">
        <v>10627470.039999999</v>
      </c>
    </row>
    <row r="6161" spans="1:4" x14ac:dyDescent="0.2">
      <c r="A6161" s="24">
        <v>45566</v>
      </c>
      <c r="B6161" s="25" t="s">
        <v>137</v>
      </c>
      <c r="C6161" s="25" t="s">
        <v>4</v>
      </c>
      <c r="D6161" s="51">
        <v>7714601</v>
      </c>
    </row>
    <row r="6162" spans="1:4" x14ac:dyDescent="0.2">
      <c r="A6162" s="24">
        <v>45566</v>
      </c>
      <c r="B6162" s="25" t="s">
        <v>137</v>
      </c>
      <c r="C6162" s="25" t="s">
        <v>8</v>
      </c>
      <c r="D6162" s="51">
        <v>816379</v>
      </c>
    </row>
    <row r="6163" spans="1:4" x14ac:dyDescent="0.2">
      <c r="A6163" s="24">
        <v>45566</v>
      </c>
      <c r="B6163" s="25" t="s">
        <v>137</v>
      </c>
      <c r="C6163" s="25" t="s">
        <v>26</v>
      </c>
      <c r="D6163" s="51">
        <v>1636626</v>
      </c>
    </row>
    <row r="6164" spans="1:4" x14ac:dyDescent="0.2">
      <c r="A6164" s="24">
        <v>45566</v>
      </c>
      <c r="B6164" s="25" t="s">
        <v>137</v>
      </c>
      <c r="C6164" s="25" t="s">
        <v>142</v>
      </c>
      <c r="D6164" s="51">
        <v>2297414.6</v>
      </c>
    </row>
    <row r="6165" spans="1:4" x14ac:dyDescent="0.2">
      <c r="A6165" s="24">
        <v>45566</v>
      </c>
      <c r="B6165" s="25" t="s">
        <v>137</v>
      </c>
      <c r="C6165" s="25" t="s">
        <v>2</v>
      </c>
      <c r="D6165" s="51">
        <v>9858128.5399999991</v>
      </c>
    </row>
    <row r="6166" spans="1:4" x14ac:dyDescent="0.2">
      <c r="A6166" s="24">
        <v>45566</v>
      </c>
      <c r="B6166" s="25" t="s">
        <v>118</v>
      </c>
      <c r="C6166" s="25" t="s">
        <v>4</v>
      </c>
      <c r="D6166" s="51">
        <v>767597</v>
      </c>
    </row>
    <row r="6167" spans="1:4" x14ac:dyDescent="0.2">
      <c r="A6167" s="24">
        <v>45566</v>
      </c>
      <c r="B6167" s="25" t="s">
        <v>118</v>
      </c>
      <c r="C6167" s="25" t="s">
        <v>8</v>
      </c>
      <c r="D6167" s="51">
        <v>103478</v>
      </c>
    </row>
    <row r="6168" spans="1:4" x14ac:dyDescent="0.2">
      <c r="A6168" s="24">
        <v>45566</v>
      </c>
      <c r="B6168" s="25" t="s">
        <v>118</v>
      </c>
      <c r="C6168" s="25" t="s">
        <v>26</v>
      </c>
      <c r="D6168" s="51">
        <v>119546</v>
      </c>
    </row>
    <row r="6169" spans="1:4" x14ac:dyDescent="0.2">
      <c r="A6169" s="24">
        <v>45566</v>
      </c>
      <c r="B6169" s="25" t="s">
        <v>118</v>
      </c>
      <c r="C6169" s="25" t="s">
        <v>142</v>
      </c>
      <c r="D6169" s="51">
        <v>247324.36</v>
      </c>
    </row>
    <row r="6170" spans="1:4" x14ac:dyDescent="0.2">
      <c r="A6170" s="24">
        <v>45566</v>
      </c>
      <c r="B6170" s="25" t="s">
        <v>118</v>
      </c>
      <c r="C6170" s="25" t="s">
        <v>2</v>
      </c>
      <c r="D6170" s="51">
        <v>785404.43</v>
      </c>
    </row>
    <row r="6171" spans="1:4" x14ac:dyDescent="0.2">
      <c r="A6171" s="24">
        <v>45566</v>
      </c>
      <c r="B6171" s="25" t="s">
        <v>119</v>
      </c>
      <c r="C6171" s="25" t="s">
        <v>4</v>
      </c>
      <c r="D6171" s="51">
        <v>1017636</v>
      </c>
    </row>
    <row r="6172" spans="1:4" x14ac:dyDescent="0.2">
      <c r="A6172" s="24">
        <v>45566</v>
      </c>
      <c r="B6172" s="25" t="s">
        <v>119</v>
      </c>
      <c r="C6172" s="25" t="s">
        <v>8</v>
      </c>
      <c r="D6172" s="51">
        <v>24163</v>
      </c>
    </row>
    <row r="6173" spans="1:4" x14ac:dyDescent="0.2">
      <c r="A6173" s="24">
        <v>45566</v>
      </c>
      <c r="B6173" s="25" t="s">
        <v>119</v>
      </c>
      <c r="C6173" s="25" t="s">
        <v>26</v>
      </c>
      <c r="D6173" s="51">
        <v>321353</v>
      </c>
    </row>
    <row r="6174" spans="1:4" x14ac:dyDescent="0.2">
      <c r="A6174" s="24">
        <v>45566</v>
      </c>
      <c r="B6174" s="25" t="s">
        <v>119</v>
      </c>
      <c r="C6174" s="25" t="s">
        <v>142</v>
      </c>
      <c r="D6174" s="51">
        <v>419412.92</v>
      </c>
    </row>
    <row r="6175" spans="1:4" x14ac:dyDescent="0.2">
      <c r="A6175" s="24">
        <v>45566</v>
      </c>
      <c r="B6175" s="25" t="s">
        <v>119</v>
      </c>
      <c r="C6175" s="25" t="s">
        <v>2</v>
      </c>
      <c r="D6175" s="51">
        <v>1367423.46</v>
      </c>
    </row>
    <row r="6176" spans="1:4" x14ac:dyDescent="0.2">
      <c r="A6176" s="24">
        <v>45566</v>
      </c>
      <c r="B6176" s="25" t="s">
        <v>138</v>
      </c>
      <c r="C6176" s="25" t="s">
        <v>4</v>
      </c>
      <c r="D6176" s="51">
        <v>47</v>
      </c>
    </row>
    <row r="6177" spans="1:4" x14ac:dyDescent="0.2">
      <c r="A6177" s="24">
        <v>45566</v>
      </c>
      <c r="B6177" s="25" t="s">
        <v>138</v>
      </c>
      <c r="C6177" s="25" t="s">
        <v>8</v>
      </c>
      <c r="D6177" s="51">
        <v>71</v>
      </c>
    </row>
    <row r="6178" spans="1:4" x14ac:dyDescent="0.2">
      <c r="A6178" s="24">
        <v>45566</v>
      </c>
      <c r="B6178" s="25" t="s">
        <v>138</v>
      </c>
      <c r="C6178" s="25" t="s">
        <v>26</v>
      </c>
      <c r="D6178" s="51">
        <v>8</v>
      </c>
    </row>
    <row r="6179" spans="1:4" x14ac:dyDescent="0.2">
      <c r="A6179" s="24">
        <v>45566</v>
      </c>
      <c r="B6179" s="25" t="s">
        <v>138</v>
      </c>
      <c r="C6179" s="25" t="s">
        <v>2</v>
      </c>
      <c r="D6179" s="51">
        <v>141</v>
      </c>
    </row>
    <row r="6180" spans="1:4" x14ac:dyDescent="0.2">
      <c r="A6180" s="24">
        <v>45566</v>
      </c>
      <c r="B6180" s="25" t="s">
        <v>139</v>
      </c>
      <c r="C6180" s="25" t="s">
        <v>4</v>
      </c>
      <c r="D6180" s="51">
        <v>1215</v>
      </c>
    </row>
    <row r="6181" spans="1:4" x14ac:dyDescent="0.2">
      <c r="A6181" s="24">
        <v>45566</v>
      </c>
      <c r="B6181" s="25" t="s">
        <v>139</v>
      </c>
      <c r="C6181" s="25" t="s">
        <v>8</v>
      </c>
      <c r="D6181" s="51">
        <v>89</v>
      </c>
    </row>
    <row r="6182" spans="1:4" x14ac:dyDescent="0.2">
      <c r="A6182" s="24">
        <v>45566</v>
      </c>
      <c r="B6182" s="25" t="s">
        <v>139</v>
      </c>
      <c r="C6182" s="25" t="s">
        <v>26</v>
      </c>
      <c r="D6182" s="51">
        <v>90</v>
      </c>
    </row>
    <row r="6183" spans="1:4" x14ac:dyDescent="0.2">
      <c r="A6183" s="24">
        <v>45566</v>
      </c>
      <c r="B6183" s="25" t="s">
        <v>139</v>
      </c>
      <c r="C6183" s="25" t="s">
        <v>142</v>
      </c>
      <c r="D6183" s="51">
        <v>74.25</v>
      </c>
    </row>
    <row r="6184" spans="1:4" x14ac:dyDescent="0.2">
      <c r="A6184" s="24">
        <v>45566</v>
      </c>
      <c r="B6184" s="25" t="s">
        <v>139</v>
      </c>
      <c r="C6184" s="25" t="s">
        <v>2</v>
      </c>
      <c r="D6184" s="51">
        <v>1097.42</v>
      </c>
    </row>
    <row r="6185" spans="1:4" x14ac:dyDescent="0.2">
      <c r="A6185" s="24">
        <v>45566</v>
      </c>
      <c r="B6185" s="25" t="s">
        <v>120</v>
      </c>
      <c r="C6185" s="25" t="s">
        <v>4</v>
      </c>
      <c r="D6185" s="51">
        <v>76815</v>
      </c>
    </row>
    <row r="6186" spans="1:4" x14ac:dyDescent="0.2">
      <c r="A6186" s="24">
        <v>45566</v>
      </c>
      <c r="B6186" s="25" t="s">
        <v>120</v>
      </c>
      <c r="C6186" s="25" t="s">
        <v>8</v>
      </c>
      <c r="D6186" s="51">
        <v>5062</v>
      </c>
    </row>
    <row r="6187" spans="1:4" x14ac:dyDescent="0.2">
      <c r="A6187" s="24">
        <v>45566</v>
      </c>
      <c r="B6187" s="25" t="s">
        <v>120</v>
      </c>
      <c r="C6187" s="25" t="s">
        <v>26</v>
      </c>
      <c r="D6187" s="51">
        <v>12005</v>
      </c>
    </row>
    <row r="6188" spans="1:4" x14ac:dyDescent="0.2">
      <c r="A6188" s="24">
        <v>45566</v>
      </c>
      <c r="B6188" s="25" t="s">
        <v>120</v>
      </c>
      <c r="C6188" s="25" t="s">
        <v>142</v>
      </c>
      <c r="D6188" s="51">
        <v>31268.55</v>
      </c>
    </row>
    <row r="6189" spans="1:4" x14ac:dyDescent="0.2">
      <c r="A6189" s="24">
        <v>45566</v>
      </c>
      <c r="B6189" s="25" t="s">
        <v>120</v>
      </c>
      <c r="C6189" s="25" t="s">
        <v>2</v>
      </c>
      <c r="D6189" s="51">
        <v>205893.54</v>
      </c>
    </row>
    <row r="6190" spans="1:4" x14ac:dyDescent="0.2">
      <c r="A6190" s="24">
        <v>45566</v>
      </c>
      <c r="B6190" s="25" t="s">
        <v>121</v>
      </c>
      <c r="C6190" s="25" t="s">
        <v>4</v>
      </c>
      <c r="D6190" s="51">
        <v>30366</v>
      </c>
    </row>
    <row r="6191" spans="1:4" x14ac:dyDescent="0.2">
      <c r="A6191" s="24">
        <v>45566</v>
      </c>
      <c r="B6191" s="25" t="s">
        <v>121</v>
      </c>
      <c r="C6191" s="25" t="s">
        <v>8</v>
      </c>
      <c r="D6191" s="51">
        <v>2160</v>
      </c>
    </row>
    <row r="6192" spans="1:4" x14ac:dyDescent="0.2">
      <c r="A6192" s="24">
        <v>45566</v>
      </c>
      <c r="B6192" s="25" t="s">
        <v>121</v>
      </c>
      <c r="C6192" s="25" t="s">
        <v>26</v>
      </c>
      <c r="D6192" s="51">
        <v>3385</v>
      </c>
    </row>
    <row r="6193" spans="1:4" x14ac:dyDescent="0.2">
      <c r="A6193" s="24">
        <v>45566</v>
      </c>
      <c r="B6193" s="25" t="s">
        <v>121</v>
      </c>
      <c r="C6193" s="25" t="s">
        <v>142</v>
      </c>
      <c r="D6193" s="51">
        <v>5040.3</v>
      </c>
    </row>
    <row r="6194" spans="1:4" x14ac:dyDescent="0.2">
      <c r="A6194" s="24">
        <v>45566</v>
      </c>
      <c r="B6194" s="25" t="s">
        <v>121</v>
      </c>
      <c r="C6194" s="25" t="s">
        <v>2</v>
      </c>
      <c r="D6194" s="51">
        <v>24328.59</v>
      </c>
    </row>
    <row r="6195" spans="1:4" x14ac:dyDescent="0.2">
      <c r="A6195" s="24">
        <v>45566</v>
      </c>
      <c r="B6195" s="25" t="s">
        <v>140</v>
      </c>
      <c r="C6195" s="25" t="s">
        <v>4</v>
      </c>
      <c r="D6195" s="51">
        <v>3557</v>
      </c>
    </row>
    <row r="6196" spans="1:4" x14ac:dyDescent="0.2">
      <c r="A6196" s="24">
        <v>45566</v>
      </c>
      <c r="B6196" s="25" t="s">
        <v>122</v>
      </c>
      <c r="C6196" s="25" t="s">
        <v>4</v>
      </c>
      <c r="D6196" s="51">
        <v>826006</v>
      </c>
    </row>
    <row r="6197" spans="1:4" x14ac:dyDescent="0.2">
      <c r="A6197" s="24">
        <v>45566</v>
      </c>
      <c r="B6197" s="25" t="s">
        <v>122</v>
      </c>
      <c r="C6197" s="25" t="s">
        <v>8</v>
      </c>
      <c r="D6197" s="51">
        <v>6241</v>
      </c>
    </row>
    <row r="6198" spans="1:4" x14ac:dyDescent="0.2">
      <c r="A6198" s="24">
        <v>45566</v>
      </c>
      <c r="B6198" s="25" t="s">
        <v>122</v>
      </c>
      <c r="C6198" s="25" t="s">
        <v>26</v>
      </c>
      <c r="D6198" s="51">
        <v>23328</v>
      </c>
    </row>
    <row r="6199" spans="1:4" x14ac:dyDescent="0.2">
      <c r="A6199" s="24">
        <v>45566</v>
      </c>
      <c r="B6199" s="25" t="s">
        <v>122</v>
      </c>
      <c r="C6199" s="25" t="s">
        <v>142</v>
      </c>
      <c r="D6199" s="51">
        <v>170905.61</v>
      </c>
    </row>
    <row r="6200" spans="1:4" x14ac:dyDescent="0.2">
      <c r="A6200" s="24">
        <v>45566</v>
      </c>
      <c r="B6200" s="25" t="s">
        <v>122</v>
      </c>
      <c r="C6200" s="25" t="s">
        <v>2</v>
      </c>
      <c r="D6200" s="51">
        <v>578496.24</v>
      </c>
    </row>
    <row r="6201" spans="1:4" x14ac:dyDescent="0.2">
      <c r="A6201" s="24">
        <v>45566</v>
      </c>
      <c r="B6201" s="25" t="s">
        <v>123</v>
      </c>
      <c r="C6201" s="25" t="s">
        <v>4</v>
      </c>
      <c r="D6201" s="51">
        <v>3446156</v>
      </c>
    </row>
    <row r="6202" spans="1:4" x14ac:dyDescent="0.2">
      <c r="A6202" s="24">
        <v>45566</v>
      </c>
      <c r="B6202" s="25" t="s">
        <v>123</v>
      </c>
      <c r="C6202" s="25" t="s">
        <v>8</v>
      </c>
      <c r="D6202" s="51">
        <v>199363</v>
      </c>
    </row>
    <row r="6203" spans="1:4" x14ac:dyDescent="0.2">
      <c r="A6203" s="24">
        <v>45566</v>
      </c>
      <c r="B6203" s="25" t="s">
        <v>123</v>
      </c>
      <c r="C6203" s="25" t="s">
        <v>26</v>
      </c>
      <c r="D6203" s="51">
        <v>438677</v>
      </c>
    </row>
    <row r="6204" spans="1:4" x14ac:dyDescent="0.2">
      <c r="A6204" s="24">
        <v>45566</v>
      </c>
      <c r="B6204" s="25" t="s">
        <v>123</v>
      </c>
      <c r="C6204" s="25" t="s">
        <v>142</v>
      </c>
      <c r="D6204" s="51">
        <v>442110.89</v>
      </c>
    </row>
    <row r="6205" spans="1:4" x14ac:dyDescent="0.2">
      <c r="A6205" s="24">
        <v>45566</v>
      </c>
      <c r="B6205" s="25" t="s">
        <v>123</v>
      </c>
      <c r="C6205" s="25" t="s">
        <v>2</v>
      </c>
      <c r="D6205" s="51">
        <v>2500547.9300000002</v>
      </c>
    </row>
    <row r="6206" spans="1:4" x14ac:dyDescent="0.2">
      <c r="A6206" s="24">
        <v>45566</v>
      </c>
      <c r="B6206" s="25" t="s">
        <v>124</v>
      </c>
      <c r="C6206" s="25" t="s">
        <v>8</v>
      </c>
      <c r="D6206" s="51">
        <v>23798</v>
      </c>
    </row>
    <row r="6207" spans="1:4" x14ac:dyDescent="0.2">
      <c r="A6207" s="24">
        <v>45566</v>
      </c>
      <c r="B6207" s="25" t="s">
        <v>125</v>
      </c>
      <c r="C6207" s="25" t="s">
        <v>8</v>
      </c>
      <c r="D6207" s="51">
        <v>13260</v>
      </c>
    </row>
    <row r="6208" spans="1:4" x14ac:dyDescent="0.2">
      <c r="A6208" s="24">
        <v>45566</v>
      </c>
      <c r="B6208" s="25" t="s">
        <v>127</v>
      </c>
      <c r="C6208" s="25" t="s">
        <v>26</v>
      </c>
      <c r="D6208" s="51">
        <v>3841</v>
      </c>
    </row>
    <row r="6209" spans="1:4" x14ac:dyDescent="0.2">
      <c r="A6209" s="24">
        <v>45566</v>
      </c>
      <c r="B6209" s="25" t="s">
        <v>128</v>
      </c>
      <c r="C6209" s="25" t="s">
        <v>26</v>
      </c>
      <c r="D6209" s="51">
        <v>1960</v>
      </c>
    </row>
    <row r="6210" spans="1:4" x14ac:dyDescent="0.2">
      <c r="A6210" s="24">
        <v>45566</v>
      </c>
      <c r="B6210" s="25" t="s">
        <v>129</v>
      </c>
      <c r="C6210" s="25" t="s">
        <v>142</v>
      </c>
      <c r="D6210" s="51">
        <v>10751.94</v>
      </c>
    </row>
    <row r="6211" spans="1:4" x14ac:dyDescent="0.2">
      <c r="A6211" s="24">
        <v>45566</v>
      </c>
      <c r="B6211" s="25" t="s">
        <v>129</v>
      </c>
      <c r="C6211" s="25" t="s">
        <v>2</v>
      </c>
      <c r="D6211" s="51">
        <v>80540.45</v>
      </c>
    </row>
    <row r="6212" spans="1:4" x14ac:dyDescent="0.2">
      <c r="A6212" s="24">
        <v>45566</v>
      </c>
      <c r="B6212" s="25" t="s">
        <v>130</v>
      </c>
      <c r="C6212" s="25" t="s">
        <v>142</v>
      </c>
      <c r="D6212" s="51">
        <v>13969.17</v>
      </c>
    </row>
    <row r="6213" spans="1:4" x14ac:dyDescent="0.2">
      <c r="A6213" s="24">
        <v>45566</v>
      </c>
      <c r="B6213" s="25" t="s">
        <v>130</v>
      </c>
      <c r="C6213" s="25" t="s">
        <v>2</v>
      </c>
      <c r="D6213" s="51">
        <v>51393.34</v>
      </c>
    </row>
    <row r="6214" spans="1:4" x14ac:dyDescent="0.2">
      <c r="A6214" s="24">
        <v>45566</v>
      </c>
      <c r="B6214" s="25" t="s">
        <v>144</v>
      </c>
      <c r="C6214" s="25" t="s">
        <v>4</v>
      </c>
      <c r="D6214" s="51">
        <v>82</v>
      </c>
    </row>
    <row r="6215" spans="1:4" x14ac:dyDescent="0.2">
      <c r="A6215" s="24">
        <v>45566</v>
      </c>
      <c r="B6215" s="25" t="s">
        <v>144</v>
      </c>
      <c r="C6215" s="25" t="s">
        <v>8</v>
      </c>
      <c r="D6215" s="51">
        <v>2</v>
      </c>
    </row>
    <row r="6216" spans="1:4" x14ac:dyDescent="0.2">
      <c r="A6216" s="24">
        <v>45566</v>
      </c>
      <c r="B6216" s="25" t="s">
        <v>144</v>
      </c>
      <c r="C6216" s="25" t="s">
        <v>26</v>
      </c>
      <c r="D6216" s="51">
        <v>1</v>
      </c>
    </row>
    <row r="6217" spans="1:4" x14ac:dyDescent="0.2">
      <c r="A6217" s="24">
        <v>45566</v>
      </c>
      <c r="B6217" s="25" t="s">
        <v>144</v>
      </c>
      <c r="C6217" s="25" t="s">
        <v>142</v>
      </c>
      <c r="D6217" s="51">
        <v>6.7</v>
      </c>
    </row>
    <row r="6218" spans="1:4" x14ac:dyDescent="0.2">
      <c r="A6218" s="24">
        <v>45566</v>
      </c>
      <c r="B6218" s="25" t="s">
        <v>144</v>
      </c>
      <c r="C6218" s="25" t="s">
        <v>2</v>
      </c>
      <c r="D6218" s="51">
        <v>78.94</v>
      </c>
    </row>
    <row r="6219" spans="1:4" x14ac:dyDescent="0.2">
      <c r="A6219" s="24">
        <v>45536</v>
      </c>
      <c r="B6219" s="25" t="s">
        <v>117</v>
      </c>
      <c r="C6219" s="25" t="s">
        <v>4</v>
      </c>
      <c r="D6219" s="51">
        <v>6791044</v>
      </c>
    </row>
    <row r="6220" spans="1:4" x14ac:dyDescent="0.2">
      <c r="A6220" s="24">
        <v>45536</v>
      </c>
      <c r="B6220" s="25" t="s">
        <v>117</v>
      </c>
      <c r="C6220" s="25" t="s">
        <v>8</v>
      </c>
      <c r="D6220" s="51">
        <v>357380</v>
      </c>
    </row>
    <row r="6221" spans="1:4" x14ac:dyDescent="0.2">
      <c r="A6221" s="24">
        <v>45536</v>
      </c>
      <c r="B6221" s="25" t="s">
        <v>117</v>
      </c>
      <c r="C6221" s="25" t="s">
        <v>26</v>
      </c>
      <c r="D6221" s="51">
        <v>1194986</v>
      </c>
    </row>
    <row r="6222" spans="1:4" x14ac:dyDescent="0.2">
      <c r="A6222" s="24">
        <v>45536</v>
      </c>
      <c r="B6222" s="25" t="s">
        <v>117</v>
      </c>
      <c r="C6222" s="25" t="s">
        <v>142</v>
      </c>
      <c r="D6222" s="51">
        <v>2030403.08</v>
      </c>
    </row>
    <row r="6223" spans="1:4" x14ac:dyDescent="0.2">
      <c r="A6223" s="24">
        <v>45536</v>
      </c>
      <c r="B6223" s="25" t="s">
        <v>117</v>
      </c>
      <c r="C6223" s="25" t="s">
        <v>2</v>
      </c>
      <c r="D6223" s="51">
        <v>10032585.93</v>
      </c>
    </row>
    <row r="6224" spans="1:4" x14ac:dyDescent="0.2">
      <c r="A6224" s="24">
        <v>45536</v>
      </c>
      <c r="B6224" s="25" t="s">
        <v>137</v>
      </c>
      <c r="C6224" s="25" t="s">
        <v>4</v>
      </c>
      <c r="D6224" s="51">
        <v>7093109</v>
      </c>
    </row>
    <row r="6225" spans="1:4" x14ac:dyDescent="0.2">
      <c r="A6225" s="24">
        <v>45536</v>
      </c>
      <c r="B6225" s="25" t="s">
        <v>137</v>
      </c>
      <c r="C6225" s="25" t="s">
        <v>8</v>
      </c>
      <c r="D6225" s="51">
        <v>717003</v>
      </c>
    </row>
    <row r="6226" spans="1:4" x14ac:dyDescent="0.2">
      <c r="A6226" s="24">
        <v>45536</v>
      </c>
      <c r="B6226" s="25" t="s">
        <v>137</v>
      </c>
      <c r="C6226" s="25" t="s">
        <v>26</v>
      </c>
      <c r="D6226" s="51">
        <v>1449325</v>
      </c>
    </row>
    <row r="6227" spans="1:4" x14ac:dyDescent="0.2">
      <c r="A6227" s="24">
        <v>45536</v>
      </c>
      <c r="B6227" s="25" t="s">
        <v>137</v>
      </c>
      <c r="C6227" s="25" t="s">
        <v>142</v>
      </c>
      <c r="D6227" s="51">
        <v>2007227.05</v>
      </c>
    </row>
    <row r="6228" spans="1:4" x14ac:dyDescent="0.2">
      <c r="A6228" s="24">
        <v>45536</v>
      </c>
      <c r="B6228" s="25" t="s">
        <v>137</v>
      </c>
      <c r="C6228" s="25" t="s">
        <v>2</v>
      </c>
      <c r="D6228" s="51">
        <v>8940245.5700000003</v>
      </c>
    </row>
    <row r="6229" spans="1:4" x14ac:dyDescent="0.2">
      <c r="A6229" s="24">
        <v>45536</v>
      </c>
      <c r="B6229" s="25" t="s">
        <v>118</v>
      </c>
      <c r="C6229" s="25" t="s">
        <v>4</v>
      </c>
      <c r="D6229" s="51">
        <v>587333</v>
      </c>
    </row>
    <row r="6230" spans="1:4" x14ac:dyDescent="0.2">
      <c r="A6230" s="24">
        <v>45536</v>
      </c>
      <c r="B6230" s="25" t="s">
        <v>118</v>
      </c>
      <c r="C6230" s="25" t="s">
        <v>8</v>
      </c>
      <c r="D6230" s="51">
        <v>66671</v>
      </c>
    </row>
    <row r="6231" spans="1:4" x14ac:dyDescent="0.2">
      <c r="A6231" s="24">
        <v>45536</v>
      </c>
      <c r="B6231" s="25" t="s">
        <v>118</v>
      </c>
      <c r="C6231" s="25" t="s">
        <v>26</v>
      </c>
      <c r="D6231" s="51">
        <v>88609</v>
      </c>
    </row>
    <row r="6232" spans="1:4" x14ac:dyDescent="0.2">
      <c r="A6232" s="24">
        <v>45536</v>
      </c>
      <c r="B6232" s="25" t="s">
        <v>118</v>
      </c>
      <c r="C6232" s="25" t="s">
        <v>142</v>
      </c>
      <c r="D6232" s="51">
        <v>170479.58</v>
      </c>
    </row>
    <row r="6233" spans="1:4" x14ac:dyDescent="0.2">
      <c r="A6233" s="24">
        <v>45536</v>
      </c>
      <c r="B6233" s="25" t="s">
        <v>118</v>
      </c>
      <c r="C6233" s="25" t="s">
        <v>2</v>
      </c>
      <c r="D6233" s="51">
        <v>526028.15</v>
      </c>
    </row>
    <row r="6234" spans="1:4" x14ac:dyDescent="0.2">
      <c r="A6234" s="24">
        <v>45536</v>
      </c>
      <c r="B6234" s="25" t="s">
        <v>119</v>
      </c>
      <c r="C6234" s="25" t="s">
        <v>4</v>
      </c>
      <c r="D6234" s="51">
        <v>1022019</v>
      </c>
    </row>
    <row r="6235" spans="1:4" x14ac:dyDescent="0.2">
      <c r="A6235" s="24">
        <v>45536</v>
      </c>
      <c r="B6235" s="25" t="s">
        <v>119</v>
      </c>
      <c r="C6235" s="25" t="s">
        <v>8</v>
      </c>
      <c r="D6235" s="51">
        <v>23338</v>
      </c>
    </row>
    <row r="6236" spans="1:4" x14ac:dyDescent="0.2">
      <c r="A6236" s="24">
        <v>45536</v>
      </c>
      <c r="B6236" s="25" t="s">
        <v>119</v>
      </c>
      <c r="C6236" s="25" t="s">
        <v>26</v>
      </c>
      <c r="D6236" s="51">
        <v>304558</v>
      </c>
    </row>
    <row r="6237" spans="1:4" x14ac:dyDescent="0.2">
      <c r="A6237" s="24">
        <v>45536</v>
      </c>
      <c r="B6237" s="25" t="s">
        <v>119</v>
      </c>
      <c r="C6237" s="25" t="s">
        <v>142</v>
      </c>
      <c r="D6237" s="51">
        <v>381653.96</v>
      </c>
    </row>
    <row r="6238" spans="1:4" x14ac:dyDescent="0.2">
      <c r="A6238" s="24">
        <v>45536</v>
      </c>
      <c r="B6238" s="25" t="s">
        <v>119</v>
      </c>
      <c r="C6238" s="25" t="s">
        <v>2</v>
      </c>
      <c r="D6238" s="51">
        <v>1375668.24</v>
      </c>
    </row>
    <row r="6239" spans="1:4" x14ac:dyDescent="0.2">
      <c r="A6239" s="24">
        <v>45536</v>
      </c>
      <c r="B6239" s="25" t="s">
        <v>138</v>
      </c>
      <c r="C6239" s="25" t="s">
        <v>4</v>
      </c>
      <c r="D6239" s="51">
        <v>34</v>
      </c>
    </row>
    <row r="6240" spans="1:4" x14ac:dyDescent="0.2">
      <c r="A6240" s="24">
        <v>45536</v>
      </c>
      <c r="B6240" s="25" t="s">
        <v>138</v>
      </c>
      <c r="C6240" s="25" t="s">
        <v>8</v>
      </c>
      <c r="D6240" s="51">
        <v>79</v>
      </c>
    </row>
    <row r="6241" spans="1:4" x14ac:dyDescent="0.2">
      <c r="A6241" s="24">
        <v>45536</v>
      </c>
      <c r="B6241" s="25" t="s">
        <v>138</v>
      </c>
      <c r="C6241" s="25" t="s">
        <v>142</v>
      </c>
      <c r="D6241" s="51">
        <v>6</v>
      </c>
    </row>
    <row r="6242" spans="1:4" x14ac:dyDescent="0.2">
      <c r="A6242" s="24">
        <v>45536</v>
      </c>
      <c r="B6242" s="25" t="s">
        <v>138</v>
      </c>
      <c r="C6242" s="25" t="s">
        <v>2</v>
      </c>
      <c r="D6242" s="51">
        <v>52</v>
      </c>
    </row>
    <row r="6243" spans="1:4" x14ac:dyDescent="0.2">
      <c r="A6243" s="24">
        <v>45536</v>
      </c>
      <c r="B6243" s="25" t="s">
        <v>139</v>
      </c>
      <c r="C6243" s="25" t="s">
        <v>4</v>
      </c>
      <c r="D6243" s="51">
        <v>1272</v>
      </c>
    </row>
    <row r="6244" spans="1:4" x14ac:dyDescent="0.2">
      <c r="A6244" s="24">
        <v>45536</v>
      </c>
      <c r="B6244" s="25" t="s">
        <v>139</v>
      </c>
      <c r="C6244" s="25" t="s">
        <v>8</v>
      </c>
      <c r="D6244" s="51">
        <v>66</v>
      </c>
    </row>
    <row r="6245" spans="1:4" x14ac:dyDescent="0.2">
      <c r="A6245" s="24">
        <v>45536</v>
      </c>
      <c r="B6245" s="25" t="s">
        <v>139</v>
      </c>
      <c r="C6245" s="25" t="s">
        <v>26</v>
      </c>
      <c r="D6245" s="51">
        <v>62</v>
      </c>
    </row>
    <row r="6246" spans="1:4" x14ac:dyDescent="0.2">
      <c r="A6246" s="24">
        <v>45536</v>
      </c>
      <c r="B6246" s="25" t="s">
        <v>139</v>
      </c>
      <c r="C6246" s="25" t="s">
        <v>142</v>
      </c>
      <c r="D6246" s="51">
        <v>59.75</v>
      </c>
    </row>
    <row r="6247" spans="1:4" x14ac:dyDescent="0.2">
      <c r="A6247" s="24">
        <v>45536</v>
      </c>
      <c r="B6247" s="25" t="s">
        <v>139</v>
      </c>
      <c r="C6247" s="25" t="s">
        <v>2</v>
      </c>
      <c r="D6247" s="51">
        <v>923.48</v>
      </c>
    </row>
    <row r="6248" spans="1:4" x14ac:dyDescent="0.2">
      <c r="A6248" s="24">
        <v>45536</v>
      </c>
      <c r="B6248" s="25" t="s">
        <v>120</v>
      </c>
      <c r="C6248" s="25" t="s">
        <v>4</v>
      </c>
      <c r="D6248" s="51">
        <v>72709</v>
      </c>
    </row>
    <row r="6249" spans="1:4" x14ac:dyDescent="0.2">
      <c r="A6249" s="24">
        <v>45536</v>
      </c>
      <c r="B6249" s="25" t="s">
        <v>120</v>
      </c>
      <c r="C6249" s="25" t="s">
        <v>8</v>
      </c>
      <c r="D6249" s="51">
        <v>4624</v>
      </c>
    </row>
    <row r="6250" spans="1:4" x14ac:dyDescent="0.2">
      <c r="A6250" s="24">
        <v>45536</v>
      </c>
      <c r="B6250" s="25" t="s">
        <v>120</v>
      </c>
      <c r="C6250" s="25" t="s">
        <v>26</v>
      </c>
      <c r="D6250" s="51">
        <v>10126</v>
      </c>
    </row>
    <row r="6251" spans="1:4" x14ac:dyDescent="0.2">
      <c r="A6251" s="24">
        <v>45536</v>
      </c>
      <c r="B6251" s="25" t="s">
        <v>120</v>
      </c>
      <c r="C6251" s="25" t="s">
        <v>142</v>
      </c>
      <c r="D6251" s="51">
        <v>29372</v>
      </c>
    </row>
    <row r="6252" spans="1:4" x14ac:dyDescent="0.2">
      <c r="A6252" s="24">
        <v>45536</v>
      </c>
      <c r="B6252" s="25" t="s">
        <v>120</v>
      </c>
      <c r="C6252" s="25" t="s">
        <v>2</v>
      </c>
      <c r="D6252" s="51">
        <v>190974.46</v>
      </c>
    </row>
    <row r="6253" spans="1:4" x14ac:dyDescent="0.2">
      <c r="A6253" s="24">
        <v>45536</v>
      </c>
      <c r="B6253" s="25" t="s">
        <v>121</v>
      </c>
      <c r="C6253" s="25" t="s">
        <v>4</v>
      </c>
      <c r="D6253" s="51">
        <v>29723</v>
      </c>
    </row>
    <row r="6254" spans="1:4" x14ac:dyDescent="0.2">
      <c r="A6254" s="24">
        <v>45536</v>
      </c>
      <c r="B6254" s="25" t="s">
        <v>121</v>
      </c>
      <c r="C6254" s="25" t="s">
        <v>8</v>
      </c>
      <c r="D6254" s="51">
        <v>1891</v>
      </c>
    </row>
    <row r="6255" spans="1:4" x14ac:dyDescent="0.2">
      <c r="A6255" s="24">
        <v>45536</v>
      </c>
      <c r="B6255" s="25" t="s">
        <v>121</v>
      </c>
      <c r="C6255" s="25" t="s">
        <v>26</v>
      </c>
      <c r="D6255" s="51">
        <v>3191</v>
      </c>
    </row>
    <row r="6256" spans="1:4" x14ac:dyDescent="0.2">
      <c r="A6256" s="24">
        <v>45536</v>
      </c>
      <c r="B6256" s="25" t="s">
        <v>121</v>
      </c>
      <c r="C6256" s="25" t="s">
        <v>142</v>
      </c>
      <c r="D6256" s="51">
        <v>5206.82</v>
      </c>
    </row>
    <row r="6257" spans="1:4" x14ac:dyDescent="0.2">
      <c r="A6257" s="24">
        <v>45536</v>
      </c>
      <c r="B6257" s="25" t="s">
        <v>121</v>
      </c>
      <c r="C6257" s="25" t="s">
        <v>2</v>
      </c>
      <c r="D6257" s="51">
        <v>23033</v>
      </c>
    </row>
    <row r="6258" spans="1:4" x14ac:dyDescent="0.2">
      <c r="A6258" s="24">
        <v>45536</v>
      </c>
      <c r="B6258" s="25" t="s">
        <v>140</v>
      </c>
      <c r="C6258" s="25" t="s">
        <v>4</v>
      </c>
      <c r="D6258" s="51">
        <v>17261</v>
      </c>
    </row>
    <row r="6259" spans="1:4" x14ac:dyDescent="0.2">
      <c r="A6259" s="24">
        <v>45536</v>
      </c>
      <c r="B6259" s="25" t="s">
        <v>122</v>
      </c>
      <c r="C6259" s="25" t="s">
        <v>4</v>
      </c>
      <c r="D6259" s="51">
        <v>1237555</v>
      </c>
    </row>
    <row r="6260" spans="1:4" x14ac:dyDescent="0.2">
      <c r="A6260" s="24">
        <v>45536</v>
      </c>
      <c r="B6260" s="25" t="s">
        <v>122</v>
      </c>
      <c r="C6260" s="25" t="s">
        <v>8</v>
      </c>
      <c r="D6260" s="51">
        <v>11076</v>
      </c>
    </row>
    <row r="6261" spans="1:4" x14ac:dyDescent="0.2">
      <c r="A6261" s="24">
        <v>45536</v>
      </c>
      <c r="B6261" s="25" t="s">
        <v>122</v>
      </c>
      <c r="C6261" s="25" t="s">
        <v>26</v>
      </c>
      <c r="D6261" s="51">
        <v>36084</v>
      </c>
    </row>
    <row r="6262" spans="1:4" x14ac:dyDescent="0.2">
      <c r="A6262" s="24">
        <v>45536</v>
      </c>
      <c r="B6262" s="25" t="s">
        <v>122</v>
      </c>
      <c r="C6262" s="25" t="s">
        <v>142</v>
      </c>
      <c r="D6262" s="51">
        <v>258775.51</v>
      </c>
    </row>
    <row r="6263" spans="1:4" x14ac:dyDescent="0.2">
      <c r="A6263" s="24">
        <v>45536</v>
      </c>
      <c r="B6263" s="25" t="s">
        <v>122</v>
      </c>
      <c r="C6263" s="25" t="s">
        <v>2</v>
      </c>
      <c r="D6263" s="51">
        <v>885623.83</v>
      </c>
    </row>
    <row r="6264" spans="1:4" x14ac:dyDescent="0.2">
      <c r="A6264" s="24">
        <v>45536</v>
      </c>
      <c r="B6264" s="25" t="s">
        <v>123</v>
      </c>
      <c r="C6264" s="25" t="s">
        <v>4</v>
      </c>
      <c r="D6264" s="51">
        <v>3259372</v>
      </c>
    </row>
    <row r="6265" spans="1:4" x14ac:dyDescent="0.2">
      <c r="A6265" s="24">
        <v>45536</v>
      </c>
      <c r="B6265" s="25" t="s">
        <v>123</v>
      </c>
      <c r="C6265" s="25" t="s">
        <v>8</v>
      </c>
      <c r="D6265" s="51">
        <v>176678</v>
      </c>
    </row>
    <row r="6266" spans="1:4" x14ac:dyDescent="0.2">
      <c r="A6266" s="24">
        <v>45536</v>
      </c>
      <c r="B6266" s="25" t="s">
        <v>123</v>
      </c>
      <c r="C6266" s="25" t="s">
        <v>26</v>
      </c>
      <c r="D6266" s="51">
        <v>392022</v>
      </c>
    </row>
    <row r="6267" spans="1:4" x14ac:dyDescent="0.2">
      <c r="A6267" s="24">
        <v>45536</v>
      </c>
      <c r="B6267" s="25" t="s">
        <v>123</v>
      </c>
      <c r="C6267" s="25" t="s">
        <v>142</v>
      </c>
      <c r="D6267" s="51">
        <v>432097.95</v>
      </c>
    </row>
    <row r="6268" spans="1:4" x14ac:dyDescent="0.2">
      <c r="A6268" s="24">
        <v>45536</v>
      </c>
      <c r="B6268" s="25" t="s">
        <v>123</v>
      </c>
      <c r="C6268" s="25" t="s">
        <v>2</v>
      </c>
      <c r="D6268" s="51">
        <v>2332520.62</v>
      </c>
    </row>
    <row r="6269" spans="1:4" x14ac:dyDescent="0.2">
      <c r="A6269" s="24">
        <v>45536</v>
      </c>
      <c r="B6269" s="25" t="s">
        <v>124</v>
      </c>
      <c r="C6269" s="25" t="s">
        <v>8</v>
      </c>
      <c r="D6269" s="51">
        <v>20542</v>
      </c>
    </row>
    <row r="6270" spans="1:4" x14ac:dyDescent="0.2">
      <c r="A6270" s="24">
        <v>45536</v>
      </c>
      <c r="B6270" s="25" t="s">
        <v>125</v>
      </c>
      <c r="C6270" s="25" t="s">
        <v>8</v>
      </c>
      <c r="D6270" s="51">
        <v>11093</v>
      </c>
    </row>
    <row r="6271" spans="1:4" x14ac:dyDescent="0.2">
      <c r="A6271" s="24">
        <v>45536</v>
      </c>
      <c r="B6271" s="25" t="s">
        <v>127</v>
      </c>
      <c r="C6271" s="25" t="s">
        <v>26</v>
      </c>
      <c r="D6271" s="51">
        <v>3200</v>
      </c>
    </row>
    <row r="6272" spans="1:4" x14ac:dyDescent="0.2">
      <c r="A6272" s="24">
        <v>45536</v>
      </c>
      <c r="B6272" s="25" t="s">
        <v>128</v>
      </c>
      <c r="C6272" s="25" t="s">
        <v>26</v>
      </c>
      <c r="D6272" s="51">
        <v>1622</v>
      </c>
    </row>
    <row r="6273" spans="1:4" x14ac:dyDescent="0.2">
      <c r="A6273" s="24">
        <v>45536</v>
      </c>
      <c r="B6273" s="25" t="s">
        <v>129</v>
      </c>
      <c r="C6273" s="25" t="s">
        <v>142</v>
      </c>
      <c r="D6273" s="51">
        <v>9274.64</v>
      </c>
    </row>
    <row r="6274" spans="1:4" x14ac:dyDescent="0.2">
      <c r="A6274" s="24">
        <v>45536</v>
      </c>
      <c r="B6274" s="25" t="s">
        <v>129</v>
      </c>
      <c r="C6274" s="25" t="s">
        <v>2</v>
      </c>
      <c r="D6274" s="51">
        <v>70123.55</v>
      </c>
    </row>
    <row r="6275" spans="1:4" x14ac:dyDescent="0.2">
      <c r="A6275" s="24">
        <v>45536</v>
      </c>
      <c r="B6275" s="25" t="s">
        <v>130</v>
      </c>
      <c r="C6275" s="25" t="s">
        <v>142</v>
      </c>
      <c r="D6275" s="51">
        <v>10060.11</v>
      </c>
    </row>
    <row r="6276" spans="1:4" x14ac:dyDescent="0.2">
      <c r="A6276" s="24">
        <v>45536</v>
      </c>
      <c r="B6276" s="25" t="s">
        <v>130</v>
      </c>
      <c r="C6276" s="25" t="s">
        <v>2</v>
      </c>
      <c r="D6276" s="51">
        <v>37495.51</v>
      </c>
    </row>
    <row r="6277" spans="1:4" x14ac:dyDescent="0.2">
      <c r="A6277" s="24">
        <v>45536</v>
      </c>
      <c r="B6277" s="25" t="s">
        <v>144</v>
      </c>
      <c r="C6277" s="25" t="s">
        <v>4</v>
      </c>
      <c r="D6277" s="51">
        <v>78</v>
      </c>
    </row>
    <row r="6278" spans="1:4" x14ac:dyDescent="0.2">
      <c r="A6278" s="24">
        <v>45536</v>
      </c>
      <c r="B6278" s="25" t="s">
        <v>144</v>
      </c>
      <c r="C6278" s="25" t="s">
        <v>8</v>
      </c>
      <c r="D6278" s="51">
        <v>5</v>
      </c>
    </row>
    <row r="6279" spans="1:4" x14ac:dyDescent="0.2">
      <c r="A6279" s="24">
        <v>45536</v>
      </c>
      <c r="B6279" s="25" t="s">
        <v>144</v>
      </c>
      <c r="C6279" s="25" t="s">
        <v>26</v>
      </c>
      <c r="D6279" s="51">
        <v>1</v>
      </c>
    </row>
    <row r="6280" spans="1:4" x14ac:dyDescent="0.2">
      <c r="A6280" s="24">
        <v>45536</v>
      </c>
      <c r="B6280" s="25" t="s">
        <v>144</v>
      </c>
      <c r="C6280" s="25" t="s">
        <v>142</v>
      </c>
      <c r="D6280" s="51">
        <v>3.52</v>
      </c>
    </row>
    <row r="6281" spans="1:4" x14ac:dyDescent="0.2">
      <c r="A6281" s="24">
        <v>45536</v>
      </c>
      <c r="B6281" s="25" t="s">
        <v>144</v>
      </c>
      <c r="C6281" s="25" t="s">
        <v>2</v>
      </c>
      <c r="D6281" s="51">
        <v>112.79</v>
      </c>
    </row>
    <row r="6282" spans="1:4" x14ac:dyDescent="0.2">
      <c r="D6282" s="52">
        <f>SUM(D1554:D6280)</f>
        <v>3350095958.7300014</v>
      </c>
    </row>
    <row r="6283" spans="1:4" x14ac:dyDescent="0.2">
      <c r="D6283" s="52">
        <f>SUM(D2:D6277)</f>
        <v>5351626106.2099953</v>
      </c>
    </row>
    <row r="6306" spans="2:4" x14ac:dyDescent="0.2">
      <c r="D6306" s="52">
        <f>SUM(B6307:B6397)</f>
        <v>14213365</v>
      </c>
    </row>
    <row r="6307" spans="2:4" x14ac:dyDescent="0.2">
      <c r="B6307" s="51">
        <v>219429</v>
      </c>
    </row>
    <row r="6308" spans="2:4" x14ac:dyDescent="0.2">
      <c r="B6308" s="51">
        <v>7887</v>
      </c>
    </row>
    <row r="6309" spans="2:4" x14ac:dyDescent="0.2">
      <c r="B6309" s="51">
        <v>6186</v>
      </c>
    </row>
    <row r="6310" spans="2:4" x14ac:dyDescent="0.2">
      <c r="B6310" s="51">
        <v>19058</v>
      </c>
    </row>
    <row r="6311" spans="2:4" x14ac:dyDescent="0.2">
      <c r="B6311" s="51">
        <v>5</v>
      </c>
    </row>
    <row r="6312" spans="2:4" x14ac:dyDescent="0.2">
      <c r="B6312" s="51">
        <v>3142</v>
      </c>
    </row>
    <row r="6313" spans="2:4" x14ac:dyDescent="0.2">
      <c r="B6313" s="51">
        <v>333</v>
      </c>
    </row>
    <row r="6314" spans="2:4" x14ac:dyDescent="0.2">
      <c r="B6314" s="51">
        <v>13436</v>
      </c>
    </row>
    <row r="6315" spans="2:4" x14ac:dyDescent="0.2">
      <c r="B6315" s="51">
        <v>24600</v>
      </c>
    </row>
    <row r="6316" spans="2:4" x14ac:dyDescent="0.2">
      <c r="B6316" s="51">
        <v>1696</v>
      </c>
    </row>
    <row r="6317" spans="2:4" x14ac:dyDescent="0.2">
      <c r="B6317" s="51">
        <v>332</v>
      </c>
    </row>
    <row r="6318" spans="2:4" x14ac:dyDescent="0.2">
      <c r="B6318" s="51">
        <v>1144461</v>
      </c>
    </row>
    <row r="6319" spans="2:4" x14ac:dyDescent="0.2">
      <c r="B6319" s="51">
        <v>34882</v>
      </c>
    </row>
    <row r="6320" spans="2:4" x14ac:dyDescent="0.2">
      <c r="B6320" s="51">
        <v>112236</v>
      </c>
    </row>
    <row r="6321" spans="2:2" x14ac:dyDescent="0.2">
      <c r="B6321" s="51">
        <v>145218</v>
      </c>
    </row>
    <row r="6322" spans="2:2" x14ac:dyDescent="0.2">
      <c r="B6322" s="51">
        <v>6</v>
      </c>
    </row>
    <row r="6323" spans="2:2" x14ac:dyDescent="0.2">
      <c r="B6323" s="51">
        <v>10974</v>
      </c>
    </row>
    <row r="6324" spans="2:2" x14ac:dyDescent="0.2">
      <c r="B6324" s="51">
        <v>2296</v>
      </c>
    </row>
    <row r="6325" spans="2:2" x14ac:dyDescent="0.2">
      <c r="B6325" s="51">
        <v>92249</v>
      </c>
    </row>
    <row r="6326" spans="2:2" x14ac:dyDescent="0.2">
      <c r="B6326" s="51">
        <v>143843</v>
      </c>
    </row>
    <row r="6327" spans="2:2" x14ac:dyDescent="0.2">
      <c r="B6327" s="51">
        <v>12588</v>
      </c>
    </row>
    <row r="6328" spans="2:2" x14ac:dyDescent="0.2">
      <c r="B6328" s="51">
        <v>7851</v>
      </c>
    </row>
    <row r="6329" spans="2:2" x14ac:dyDescent="0.2">
      <c r="B6329" s="51">
        <v>1390001</v>
      </c>
    </row>
    <row r="6330" spans="2:2" x14ac:dyDescent="0.2">
      <c r="B6330" s="51">
        <v>36923</v>
      </c>
    </row>
    <row r="6331" spans="2:2" x14ac:dyDescent="0.2">
      <c r="B6331" s="51">
        <v>164783</v>
      </c>
    </row>
    <row r="6332" spans="2:2" x14ac:dyDescent="0.2">
      <c r="B6332" s="51">
        <v>134159</v>
      </c>
    </row>
    <row r="6333" spans="2:2" x14ac:dyDescent="0.2">
      <c r="B6333" s="51">
        <v>1</v>
      </c>
    </row>
    <row r="6334" spans="2:2" x14ac:dyDescent="0.2">
      <c r="B6334" s="51">
        <v>22</v>
      </c>
    </row>
    <row r="6335" spans="2:2" x14ac:dyDescent="0.2">
      <c r="B6335" s="51">
        <v>10328</v>
      </c>
    </row>
    <row r="6336" spans="2:2" x14ac:dyDescent="0.2">
      <c r="B6336" s="51">
        <v>2159</v>
      </c>
    </row>
    <row r="6337" spans="2:2" x14ac:dyDescent="0.2">
      <c r="B6337" s="51">
        <v>45109</v>
      </c>
    </row>
    <row r="6338" spans="2:2" x14ac:dyDescent="0.2">
      <c r="B6338" s="51">
        <v>155990</v>
      </c>
    </row>
    <row r="6339" spans="2:2" x14ac:dyDescent="0.2">
      <c r="B6339" s="51">
        <v>10958</v>
      </c>
    </row>
    <row r="6340" spans="2:2" x14ac:dyDescent="0.2">
      <c r="B6340" s="51">
        <v>8387</v>
      </c>
    </row>
    <row r="6341" spans="2:2" x14ac:dyDescent="0.2">
      <c r="B6341" s="51">
        <v>1437608</v>
      </c>
    </row>
    <row r="6342" spans="2:2" x14ac:dyDescent="0.2">
      <c r="B6342" s="51">
        <v>56587</v>
      </c>
    </row>
    <row r="6343" spans="2:2" x14ac:dyDescent="0.2">
      <c r="B6343" s="51">
        <v>85909</v>
      </c>
    </row>
    <row r="6344" spans="2:2" x14ac:dyDescent="0.2">
      <c r="B6344" s="51">
        <v>251912</v>
      </c>
    </row>
    <row r="6345" spans="2:2" x14ac:dyDescent="0.2">
      <c r="B6345" s="51">
        <v>2</v>
      </c>
    </row>
    <row r="6346" spans="2:2" x14ac:dyDescent="0.2">
      <c r="B6346" s="51">
        <v>11</v>
      </c>
    </row>
    <row r="6347" spans="2:2" x14ac:dyDescent="0.2">
      <c r="B6347" s="51">
        <v>9627</v>
      </c>
    </row>
    <row r="6348" spans="2:2" x14ac:dyDescent="0.2">
      <c r="B6348" s="51">
        <v>1974</v>
      </c>
    </row>
    <row r="6349" spans="2:2" x14ac:dyDescent="0.2">
      <c r="B6349" s="51">
        <v>93320</v>
      </c>
    </row>
    <row r="6350" spans="2:2" x14ac:dyDescent="0.2">
      <c r="B6350" s="51">
        <v>135069</v>
      </c>
    </row>
    <row r="6351" spans="2:2" x14ac:dyDescent="0.2">
      <c r="B6351" s="51">
        <v>8621</v>
      </c>
    </row>
    <row r="6352" spans="2:2" x14ac:dyDescent="0.2">
      <c r="B6352" s="51">
        <v>3949</v>
      </c>
    </row>
    <row r="6353" spans="2:2" x14ac:dyDescent="0.2">
      <c r="B6353" s="51">
        <v>1395364</v>
      </c>
    </row>
    <row r="6354" spans="2:2" x14ac:dyDescent="0.2">
      <c r="B6354" s="51">
        <v>78623</v>
      </c>
    </row>
    <row r="6355" spans="2:2" x14ac:dyDescent="0.2">
      <c r="B6355" s="51">
        <v>87350</v>
      </c>
    </row>
    <row r="6356" spans="2:2" x14ac:dyDescent="0.2">
      <c r="B6356" s="51">
        <v>188829</v>
      </c>
    </row>
    <row r="6357" spans="2:2" x14ac:dyDescent="0.2">
      <c r="B6357" s="51">
        <v>8</v>
      </c>
    </row>
    <row r="6358" spans="2:2" x14ac:dyDescent="0.2">
      <c r="B6358" s="51">
        <v>9631</v>
      </c>
    </row>
    <row r="6359" spans="2:2" x14ac:dyDescent="0.2">
      <c r="B6359" s="51">
        <v>1872</v>
      </c>
    </row>
    <row r="6360" spans="2:2" x14ac:dyDescent="0.2">
      <c r="B6360" s="51">
        <v>88990</v>
      </c>
    </row>
    <row r="6361" spans="2:2" x14ac:dyDescent="0.2">
      <c r="B6361" s="51">
        <v>127687</v>
      </c>
    </row>
    <row r="6362" spans="2:2" x14ac:dyDescent="0.2">
      <c r="B6362" s="51">
        <v>7742</v>
      </c>
    </row>
    <row r="6363" spans="2:2" x14ac:dyDescent="0.2">
      <c r="B6363" s="51">
        <v>3881</v>
      </c>
    </row>
    <row r="6364" spans="2:2" x14ac:dyDescent="0.2">
      <c r="B6364" s="51">
        <v>1461547</v>
      </c>
    </row>
    <row r="6365" spans="2:2" x14ac:dyDescent="0.2">
      <c r="B6365" s="51">
        <v>148911</v>
      </c>
    </row>
    <row r="6366" spans="2:2" x14ac:dyDescent="0.2">
      <c r="B6366" s="51">
        <v>139949</v>
      </c>
    </row>
    <row r="6367" spans="2:2" x14ac:dyDescent="0.2">
      <c r="B6367" s="51">
        <v>234295</v>
      </c>
    </row>
    <row r="6368" spans="2:2" x14ac:dyDescent="0.2">
      <c r="B6368" s="51">
        <v>12</v>
      </c>
    </row>
    <row r="6369" spans="2:2" x14ac:dyDescent="0.2">
      <c r="B6369" s="51">
        <v>9796</v>
      </c>
    </row>
    <row r="6370" spans="2:2" x14ac:dyDescent="0.2">
      <c r="B6370" s="51">
        <v>1994</v>
      </c>
    </row>
    <row r="6371" spans="2:2" x14ac:dyDescent="0.2">
      <c r="B6371" s="51">
        <v>58308</v>
      </c>
    </row>
    <row r="6372" spans="2:2" x14ac:dyDescent="0.2">
      <c r="B6372" s="51">
        <v>139063</v>
      </c>
    </row>
    <row r="6373" spans="2:2" x14ac:dyDescent="0.2">
      <c r="B6373" s="51">
        <v>7919</v>
      </c>
    </row>
    <row r="6374" spans="2:2" x14ac:dyDescent="0.2">
      <c r="B6374" s="51">
        <v>5122</v>
      </c>
    </row>
    <row r="6375" spans="2:2" x14ac:dyDescent="0.2">
      <c r="B6375" s="51">
        <v>1368787</v>
      </c>
    </row>
    <row r="6376" spans="2:2" x14ac:dyDescent="0.2">
      <c r="B6376" s="51">
        <v>174479</v>
      </c>
    </row>
    <row r="6377" spans="2:2" x14ac:dyDescent="0.2">
      <c r="B6377" s="51">
        <v>92154</v>
      </c>
    </row>
    <row r="6378" spans="2:2" x14ac:dyDescent="0.2">
      <c r="B6378" s="51">
        <v>168049</v>
      </c>
    </row>
    <row r="6379" spans="2:2" x14ac:dyDescent="0.2">
      <c r="B6379" s="51">
        <v>5</v>
      </c>
    </row>
    <row r="6380" spans="2:2" x14ac:dyDescent="0.2">
      <c r="B6380" s="51">
        <v>17</v>
      </c>
    </row>
    <row r="6381" spans="2:2" x14ac:dyDescent="0.2">
      <c r="B6381" s="51">
        <v>9411</v>
      </c>
    </row>
    <row r="6382" spans="2:2" x14ac:dyDescent="0.2">
      <c r="B6382" s="51">
        <v>1906</v>
      </c>
    </row>
    <row r="6383" spans="2:2" x14ac:dyDescent="0.2">
      <c r="B6383" s="51">
        <v>92178</v>
      </c>
    </row>
    <row r="6384" spans="2:2" x14ac:dyDescent="0.2">
      <c r="B6384" s="51">
        <v>130042</v>
      </c>
    </row>
    <row r="6385" spans="2:2" x14ac:dyDescent="0.2">
      <c r="B6385" s="51">
        <v>7271</v>
      </c>
    </row>
    <row r="6386" spans="2:2" x14ac:dyDescent="0.2">
      <c r="B6386" s="51">
        <v>3238</v>
      </c>
    </row>
    <row r="6387" spans="2:2" x14ac:dyDescent="0.2">
      <c r="B6387" s="51">
        <v>1240804</v>
      </c>
    </row>
    <row r="6388" spans="2:2" x14ac:dyDescent="0.2">
      <c r="B6388" s="51">
        <v>191824</v>
      </c>
    </row>
    <row r="6389" spans="2:2" x14ac:dyDescent="0.2">
      <c r="B6389" s="51">
        <v>151506</v>
      </c>
    </row>
    <row r="6390" spans="2:2" x14ac:dyDescent="0.2">
      <c r="B6390" s="51">
        <v>117858</v>
      </c>
    </row>
    <row r="6391" spans="2:2" x14ac:dyDescent="0.2">
      <c r="B6391" s="51">
        <v>7</v>
      </c>
    </row>
    <row r="6392" spans="2:2" x14ac:dyDescent="0.2">
      <c r="B6392" s="51">
        <v>9472</v>
      </c>
    </row>
    <row r="6393" spans="2:2" x14ac:dyDescent="0.2">
      <c r="B6393" s="51">
        <v>1910</v>
      </c>
    </row>
    <row r="6394" spans="2:2" x14ac:dyDescent="0.2">
      <c r="B6394" s="51">
        <v>51793</v>
      </c>
    </row>
    <row r="6395" spans="2:2" x14ac:dyDescent="0.2">
      <c r="B6395" s="51">
        <v>140387</v>
      </c>
    </row>
    <row r="6396" spans="2:2" x14ac:dyDescent="0.2">
      <c r="B6396" s="51">
        <v>10143</v>
      </c>
    </row>
    <row r="6397" spans="2:2" x14ac:dyDescent="0.2">
      <c r="B6397" s="51">
        <v>7114</v>
      </c>
    </row>
  </sheetData>
  <autoFilter ref="A1:D6283" xr:uid="{26A4E23E-D6B9-2844-A7F5-B3967F3A3D6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9FEC-2B64-7944-B4FC-5C1AFF9EE936}">
  <dimension ref="A1:F177"/>
  <sheetViews>
    <sheetView zoomScale="91" workbookViewId="0">
      <selection activeCell="H173" sqref="H173"/>
    </sheetView>
  </sheetViews>
  <sheetFormatPr baseColWidth="10" defaultRowHeight="16" x14ac:dyDescent="0.2"/>
  <cols>
    <col min="1" max="1" width="7.1640625" bestFit="1" customWidth="1"/>
    <col min="2" max="2" width="12.6640625" customWidth="1"/>
    <col min="3" max="3" width="18.6640625" bestFit="1" customWidth="1"/>
    <col min="4" max="4" width="46.1640625" bestFit="1" customWidth="1"/>
    <col min="5" max="5" width="14.5" bestFit="1" customWidth="1"/>
    <col min="6" max="6" width="16.1640625" customWidth="1"/>
  </cols>
  <sheetData>
    <row r="1" spans="1:6" x14ac:dyDescent="0.2">
      <c r="A1" s="7" t="s">
        <v>156</v>
      </c>
      <c r="B1" s="7" t="s">
        <v>157</v>
      </c>
      <c r="C1" s="7" t="s">
        <v>160</v>
      </c>
      <c r="D1" s="7" t="s">
        <v>158</v>
      </c>
      <c r="E1" s="7" t="s">
        <v>159</v>
      </c>
      <c r="F1" s="7" t="s">
        <v>171</v>
      </c>
    </row>
    <row r="2" spans="1:6" ht="17" x14ac:dyDescent="0.2">
      <c r="A2" s="31">
        <v>2016</v>
      </c>
      <c r="B2" s="31" t="s">
        <v>8</v>
      </c>
      <c r="C2" s="32" t="s">
        <v>161</v>
      </c>
      <c r="D2" s="33" t="s">
        <v>172</v>
      </c>
      <c r="E2" s="31" t="s">
        <v>202</v>
      </c>
      <c r="F2" s="37">
        <v>0.97403104896731418</v>
      </c>
    </row>
    <row r="3" spans="1:6" ht="17" x14ac:dyDescent="0.2">
      <c r="A3" s="31">
        <v>2016</v>
      </c>
      <c r="B3" s="31" t="s">
        <v>8</v>
      </c>
      <c r="C3" s="34" t="s">
        <v>162</v>
      </c>
      <c r="D3" s="35" t="s">
        <v>173</v>
      </c>
      <c r="E3" s="31" t="s">
        <v>202</v>
      </c>
      <c r="F3" s="37">
        <v>0.96516735186682856</v>
      </c>
    </row>
    <row r="4" spans="1:6" ht="17" x14ac:dyDescent="0.2">
      <c r="A4" s="31">
        <v>2016</v>
      </c>
      <c r="B4" s="31" t="s">
        <v>8</v>
      </c>
      <c r="C4" s="34" t="s">
        <v>162</v>
      </c>
      <c r="D4" s="35" t="s">
        <v>174</v>
      </c>
      <c r="E4" s="31" t="s">
        <v>202</v>
      </c>
      <c r="F4" s="37">
        <v>0.8680503231297001</v>
      </c>
    </row>
    <row r="5" spans="1:6" ht="17" x14ac:dyDescent="0.2">
      <c r="A5" s="31">
        <v>2016</v>
      </c>
      <c r="B5" s="31" t="s">
        <v>8</v>
      </c>
      <c r="C5" s="34" t="s">
        <v>162</v>
      </c>
      <c r="D5" s="35" t="s">
        <v>175</v>
      </c>
      <c r="E5" s="31" t="s">
        <v>202</v>
      </c>
      <c r="F5" s="37">
        <v>0.95676802901809999</v>
      </c>
    </row>
    <row r="6" spans="1:6" ht="17" x14ac:dyDescent="0.2">
      <c r="A6" s="31">
        <v>2016</v>
      </c>
      <c r="B6" s="31" t="s">
        <v>8</v>
      </c>
      <c r="C6" s="34" t="s">
        <v>162</v>
      </c>
      <c r="D6" s="35" t="s">
        <v>176</v>
      </c>
      <c r="E6" s="31" t="s">
        <v>202</v>
      </c>
      <c r="F6" s="37">
        <v>0.92970316468174274</v>
      </c>
    </row>
    <row r="7" spans="1:6" ht="17" x14ac:dyDescent="0.2">
      <c r="A7" s="31">
        <v>2016</v>
      </c>
      <c r="B7" s="31" t="s">
        <v>8</v>
      </c>
      <c r="C7" s="34" t="s">
        <v>163</v>
      </c>
      <c r="D7" s="35" t="s">
        <v>177</v>
      </c>
      <c r="E7" s="31" t="s">
        <v>202</v>
      </c>
      <c r="F7" s="37">
        <v>0.9820224507366857</v>
      </c>
    </row>
    <row r="8" spans="1:6" ht="17" x14ac:dyDescent="0.2">
      <c r="A8" s="31">
        <v>2016</v>
      </c>
      <c r="B8" s="31" t="s">
        <v>8</v>
      </c>
      <c r="C8" s="34" t="s">
        <v>163</v>
      </c>
      <c r="D8" s="35" t="s">
        <v>178</v>
      </c>
      <c r="E8" s="31" t="s">
        <v>202</v>
      </c>
      <c r="F8" s="37">
        <v>0.98663433254951438</v>
      </c>
    </row>
    <row r="9" spans="1:6" ht="17" x14ac:dyDescent="0.2">
      <c r="A9" s="31">
        <v>2016</v>
      </c>
      <c r="B9" s="31" t="s">
        <v>8</v>
      </c>
      <c r="C9" s="34" t="s">
        <v>163</v>
      </c>
      <c r="D9" s="35" t="s">
        <v>179</v>
      </c>
      <c r="E9" s="31" t="s">
        <v>202</v>
      </c>
      <c r="F9" s="37">
        <v>0.98838601019128569</v>
      </c>
    </row>
    <row r="10" spans="1:6" ht="17" x14ac:dyDescent="0.2">
      <c r="A10" s="31">
        <v>2016</v>
      </c>
      <c r="B10" s="31" t="s">
        <v>8</v>
      </c>
      <c r="C10" s="34" t="s">
        <v>164</v>
      </c>
      <c r="D10" s="35" t="s">
        <v>180</v>
      </c>
      <c r="E10" s="31" t="s">
        <v>202</v>
      </c>
      <c r="F10" s="37">
        <v>0.90978336554107142</v>
      </c>
    </row>
    <row r="11" spans="1:6" ht="17" x14ac:dyDescent="0.2">
      <c r="A11" s="31">
        <v>2016</v>
      </c>
      <c r="B11" s="31" t="s">
        <v>8</v>
      </c>
      <c r="C11" s="34" t="s">
        <v>164</v>
      </c>
      <c r="D11" s="35" t="s">
        <v>181</v>
      </c>
      <c r="E11" s="31" t="s">
        <v>202</v>
      </c>
      <c r="F11" s="37">
        <v>0.91026807271358579</v>
      </c>
    </row>
    <row r="12" spans="1:6" ht="17" x14ac:dyDescent="0.2">
      <c r="A12" s="31">
        <v>2016</v>
      </c>
      <c r="B12" s="31" t="s">
        <v>8</v>
      </c>
      <c r="C12" s="34" t="s">
        <v>165</v>
      </c>
      <c r="D12" s="35" t="s">
        <v>182</v>
      </c>
      <c r="E12" s="31" t="s">
        <v>202</v>
      </c>
      <c r="F12" s="37">
        <v>0.96193427250584285</v>
      </c>
    </row>
    <row r="13" spans="1:6" ht="17" x14ac:dyDescent="0.2">
      <c r="A13" s="31">
        <v>2016</v>
      </c>
      <c r="B13" s="31" t="s">
        <v>8</v>
      </c>
      <c r="C13" s="34" t="s">
        <v>165</v>
      </c>
      <c r="D13" s="35" t="s">
        <v>183</v>
      </c>
      <c r="E13" s="31" t="s">
        <v>202</v>
      </c>
      <c r="F13" s="37">
        <v>0.95090367983781421</v>
      </c>
    </row>
    <row r="14" spans="1:6" ht="17" x14ac:dyDescent="0.2">
      <c r="A14" s="31">
        <v>2016</v>
      </c>
      <c r="B14" s="31" t="s">
        <v>8</v>
      </c>
      <c r="C14" s="34" t="s">
        <v>166</v>
      </c>
      <c r="D14" s="35" t="s">
        <v>184</v>
      </c>
      <c r="E14" s="31" t="s">
        <v>202</v>
      </c>
      <c r="F14" s="37">
        <v>0.97316875666899993</v>
      </c>
    </row>
    <row r="15" spans="1:6" ht="17" x14ac:dyDescent="0.2">
      <c r="A15" s="31">
        <v>2016</v>
      </c>
      <c r="B15" s="31" t="s">
        <v>8</v>
      </c>
      <c r="C15" s="34" t="s">
        <v>166</v>
      </c>
      <c r="D15" s="35" t="s">
        <v>185</v>
      </c>
      <c r="E15" s="31" t="s">
        <v>202</v>
      </c>
      <c r="F15" s="37">
        <v>0.97777227368338571</v>
      </c>
    </row>
    <row r="16" spans="1:6" ht="17" x14ac:dyDescent="0.2">
      <c r="A16" s="31">
        <v>2016</v>
      </c>
      <c r="B16" s="31" t="s">
        <v>8</v>
      </c>
      <c r="C16" s="34" t="s">
        <v>166</v>
      </c>
      <c r="D16" s="35" t="s">
        <v>186</v>
      </c>
      <c r="E16" s="31" t="s">
        <v>202</v>
      </c>
      <c r="F16" s="37">
        <v>0.94436843635301437</v>
      </c>
    </row>
    <row r="17" spans="1:6" ht="15" customHeight="1" x14ac:dyDescent="0.2">
      <c r="A17" s="31">
        <v>2016</v>
      </c>
      <c r="B17" s="31" t="s">
        <v>8</v>
      </c>
      <c r="C17" s="34" t="s">
        <v>167</v>
      </c>
      <c r="D17" s="35" t="s">
        <v>187</v>
      </c>
      <c r="E17" s="31" t="s">
        <v>202</v>
      </c>
      <c r="F17" s="37">
        <v>0.92483313436932846</v>
      </c>
    </row>
    <row r="18" spans="1:6" ht="17" x14ac:dyDescent="0.2">
      <c r="A18" s="31">
        <v>2016</v>
      </c>
      <c r="B18" s="31" t="s">
        <v>8</v>
      </c>
      <c r="C18" s="34" t="s">
        <v>167</v>
      </c>
      <c r="D18" s="35" t="s">
        <v>188</v>
      </c>
      <c r="E18" s="31" t="s">
        <v>202</v>
      </c>
      <c r="F18" s="37">
        <v>0.9803339357113573</v>
      </c>
    </row>
    <row r="19" spans="1:6" ht="17" x14ac:dyDescent="0.2">
      <c r="A19" s="31">
        <v>2016</v>
      </c>
      <c r="B19" s="31" t="s">
        <v>8</v>
      </c>
      <c r="C19" s="34" t="s">
        <v>167</v>
      </c>
      <c r="D19" s="35" t="s">
        <v>189</v>
      </c>
      <c r="E19" s="31" t="s">
        <v>202</v>
      </c>
      <c r="F19" s="37">
        <v>0.95816733144304289</v>
      </c>
    </row>
    <row r="20" spans="1:6" ht="17" x14ac:dyDescent="0.2">
      <c r="A20" s="31">
        <v>2016</v>
      </c>
      <c r="B20" s="31" t="s">
        <v>8</v>
      </c>
      <c r="C20" s="34" t="s">
        <v>167</v>
      </c>
      <c r="D20" s="35" t="s">
        <v>190</v>
      </c>
      <c r="E20" s="31" t="s">
        <v>202</v>
      </c>
      <c r="F20" s="37">
        <v>0.96250934290415713</v>
      </c>
    </row>
    <row r="21" spans="1:6" ht="17" x14ac:dyDescent="0.2">
      <c r="A21" s="31">
        <v>2016</v>
      </c>
      <c r="B21" s="31" t="s">
        <v>8</v>
      </c>
      <c r="C21" s="34" t="s">
        <v>167</v>
      </c>
      <c r="D21" s="35" t="s">
        <v>191</v>
      </c>
      <c r="E21" s="31" t="s">
        <v>202</v>
      </c>
      <c r="F21" s="37">
        <v>0.97348004587551429</v>
      </c>
    </row>
    <row r="22" spans="1:6" ht="17" x14ac:dyDescent="0.2">
      <c r="A22" s="31">
        <v>2016</v>
      </c>
      <c r="B22" s="31" t="s">
        <v>8</v>
      </c>
      <c r="C22" s="34" t="s">
        <v>167</v>
      </c>
      <c r="D22" s="35" t="s">
        <v>192</v>
      </c>
      <c r="E22" s="31" t="s">
        <v>202</v>
      </c>
      <c r="F22" s="37">
        <v>0.97996017740754282</v>
      </c>
    </row>
    <row r="23" spans="1:6" ht="17" x14ac:dyDescent="0.2">
      <c r="A23" s="31">
        <v>2016</v>
      </c>
      <c r="B23" s="31" t="s">
        <v>8</v>
      </c>
      <c r="C23" s="34" t="s">
        <v>168</v>
      </c>
      <c r="D23" s="35" t="s">
        <v>193</v>
      </c>
      <c r="E23" s="31" t="s">
        <v>202</v>
      </c>
      <c r="F23" s="37">
        <v>0.96431890041912849</v>
      </c>
    </row>
    <row r="24" spans="1:6" ht="17" x14ac:dyDescent="0.2">
      <c r="A24" s="31">
        <v>2016</v>
      </c>
      <c r="B24" s="31" t="s">
        <v>8</v>
      </c>
      <c r="C24" s="34" t="s">
        <v>168</v>
      </c>
      <c r="D24" s="35" t="s">
        <v>194</v>
      </c>
      <c r="E24" s="31" t="s">
        <v>202</v>
      </c>
      <c r="F24" s="37">
        <v>0.97094720394321432</v>
      </c>
    </row>
    <row r="25" spans="1:6" ht="17" x14ac:dyDescent="0.2">
      <c r="A25" s="31">
        <v>2016</v>
      </c>
      <c r="B25" s="31" t="s">
        <v>8</v>
      </c>
      <c r="C25" s="34" t="s">
        <v>169</v>
      </c>
      <c r="D25" s="35" t="s">
        <v>195</v>
      </c>
      <c r="E25" s="31" t="s">
        <v>202</v>
      </c>
      <c r="F25" s="37">
        <v>0.94525485931897146</v>
      </c>
    </row>
    <row r="26" spans="1:6" ht="17" x14ac:dyDescent="0.2">
      <c r="A26" s="31">
        <v>2016</v>
      </c>
      <c r="B26" s="31" t="s">
        <v>8</v>
      </c>
      <c r="C26" s="34" t="s">
        <v>169</v>
      </c>
      <c r="D26" s="35" t="s">
        <v>196</v>
      </c>
      <c r="E26" s="31" t="s">
        <v>202</v>
      </c>
      <c r="F26" s="37">
        <v>0.94068458613005723</v>
      </c>
    </row>
    <row r="27" spans="1:6" ht="17" x14ac:dyDescent="0.2">
      <c r="A27" s="31">
        <v>2016</v>
      </c>
      <c r="B27" s="31" t="s">
        <v>8</v>
      </c>
      <c r="C27" s="34" t="s">
        <v>169</v>
      </c>
      <c r="D27" s="35" t="s">
        <v>197</v>
      </c>
      <c r="E27" s="31" t="s">
        <v>202</v>
      </c>
      <c r="F27" s="37">
        <v>0.89901397730628563</v>
      </c>
    </row>
    <row r="28" spans="1:6" ht="17" x14ac:dyDescent="0.2">
      <c r="A28" s="31">
        <v>2016</v>
      </c>
      <c r="B28" s="31" t="s">
        <v>8</v>
      </c>
      <c r="C28" s="34" t="s">
        <v>169</v>
      </c>
      <c r="D28" s="35" t="s">
        <v>198</v>
      </c>
      <c r="E28" s="31" t="s">
        <v>202</v>
      </c>
      <c r="F28" s="37">
        <v>0.91752852700151422</v>
      </c>
    </row>
    <row r="29" spans="1:6" ht="17" x14ac:dyDescent="0.2">
      <c r="A29" s="31">
        <v>2016</v>
      </c>
      <c r="B29" s="31" t="s">
        <v>8</v>
      </c>
      <c r="C29" s="34" t="s">
        <v>170</v>
      </c>
      <c r="D29" s="35" t="s">
        <v>199</v>
      </c>
      <c r="E29" s="31" t="s">
        <v>202</v>
      </c>
      <c r="F29" s="37">
        <v>0.94176467968700006</v>
      </c>
    </row>
    <row r="30" spans="1:6" ht="17" x14ac:dyDescent="0.2">
      <c r="A30" s="31">
        <v>2016</v>
      </c>
      <c r="B30" s="31" t="s">
        <v>8</v>
      </c>
      <c r="C30" s="34" t="s">
        <v>170</v>
      </c>
      <c r="D30" s="35" t="s">
        <v>200</v>
      </c>
      <c r="E30" s="31" t="s">
        <v>202</v>
      </c>
      <c r="F30" s="37">
        <v>0.93504758692802858</v>
      </c>
    </row>
    <row r="31" spans="1:6" ht="17" x14ac:dyDescent="0.2">
      <c r="A31" s="31">
        <v>2016</v>
      </c>
      <c r="B31" s="31" t="s">
        <v>8</v>
      </c>
      <c r="C31" s="34" t="s">
        <v>170</v>
      </c>
      <c r="D31" s="35" t="s">
        <v>201</v>
      </c>
      <c r="E31" s="31" t="s">
        <v>202</v>
      </c>
      <c r="F31" s="37">
        <v>0.95381458033584288</v>
      </c>
    </row>
    <row r="32" spans="1:6" ht="17" x14ac:dyDescent="0.2">
      <c r="A32" s="31">
        <v>2016</v>
      </c>
      <c r="B32" s="31" t="s">
        <v>8</v>
      </c>
      <c r="C32" s="32" t="s">
        <v>161</v>
      </c>
      <c r="D32" s="33" t="s">
        <v>172</v>
      </c>
      <c r="E32" s="31" t="s">
        <v>203</v>
      </c>
      <c r="F32" s="38">
        <v>1.6505329055315428E-2</v>
      </c>
    </row>
    <row r="33" spans="1:6" ht="17" x14ac:dyDescent="0.2">
      <c r="A33" s="31">
        <v>2016</v>
      </c>
      <c r="B33" s="31" t="s">
        <v>8</v>
      </c>
      <c r="C33" s="34" t="s">
        <v>162</v>
      </c>
      <c r="D33" s="35" t="s">
        <v>173</v>
      </c>
      <c r="E33" s="31" t="s">
        <v>203</v>
      </c>
      <c r="F33" s="38">
        <v>2.6218379770115714E-2</v>
      </c>
    </row>
    <row r="34" spans="1:6" ht="17" x14ac:dyDescent="0.2">
      <c r="A34" s="31">
        <v>2016</v>
      </c>
      <c r="B34" s="31" t="s">
        <v>8</v>
      </c>
      <c r="C34" s="34" t="s">
        <v>162</v>
      </c>
      <c r="D34" s="35" t="s">
        <v>174</v>
      </c>
      <c r="E34" s="31" t="s">
        <v>203</v>
      </c>
      <c r="F34" s="38">
        <v>9.7703210895001433E-2</v>
      </c>
    </row>
    <row r="35" spans="1:6" ht="17" x14ac:dyDescent="0.2">
      <c r="A35" s="31">
        <v>2016</v>
      </c>
      <c r="B35" s="31" t="s">
        <v>8</v>
      </c>
      <c r="C35" s="34" t="s">
        <v>162</v>
      </c>
      <c r="D35" s="35" t="s">
        <v>175</v>
      </c>
      <c r="E35" s="31" t="s">
        <v>203</v>
      </c>
      <c r="F35" s="38">
        <v>2.0392631459381999E-2</v>
      </c>
    </row>
    <row r="36" spans="1:6" ht="17" x14ac:dyDescent="0.2">
      <c r="A36" s="31">
        <v>2016</v>
      </c>
      <c r="B36" s="31" t="s">
        <v>8</v>
      </c>
      <c r="C36" s="34" t="s">
        <v>162</v>
      </c>
      <c r="D36" s="35" t="s">
        <v>176</v>
      </c>
      <c r="E36" s="31" t="s">
        <v>203</v>
      </c>
      <c r="F36" s="38">
        <v>3.3014681607829999E-2</v>
      </c>
    </row>
    <row r="37" spans="1:6" ht="17" x14ac:dyDescent="0.2">
      <c r="A37" s="31">
        <v>2016</v>
      </c>
      <c r="B37" s="31" t="s">
        <v>8</v>
      </c>
      <c r="C37" s="34" t="s">
        <v>163</v>
      </c>
      <c r="D37" s="35" t="s">
        <v>177</v>
      </c>
      <c r="E37" s="31" t="s">
        <v>203</v>
      </c>
      <c r="F37" s="38">
        <v>8.7678393816121424E-3</v>
      </c>
    </row>
    <row r="38" spans="1:6" ht="17" x14ac:dyDescent="0.2">
      <c r="A38" s="31">
        <v>2016</v>
      </c>
      <c r="B38" s="31" t="s">
        <v>8</v>
      </c>
      <c r="C38" s="34" t="s">
        <v>163</v>
      </c>
      <c r="D38" s="35" t="s">
        <v>178</v>
      </c>
      <c r="E38" s="31" t="s">
        <v>203</v>
      </c>
      <c r="F38" s="38">
        <v>6.5768194036704281E-3</v>
      </c>
    </row>
    <row r="39" spans="1:6" ht="17" x14ac:dyDescent="0.2">
      <c r="A39" s="31">
        <v>2016</v>
      </c>
      <c r="B39" s="31" t="s">
        <v>8</v>
      </c>
      <c r="C39" s="34" t="s">
        <v>163</v>
      </c>
      <c r="D39" s="35" t="s">
        <v>179</v>
      </c>
      <c r="E39" s="31" t="s">
        <v>203</v>
      </c>
      <c r="F39" s="38">
        <v>6.3630156193194278E-3</v>
      </c>
    </row>
    <row r="40" spans="1:6" ht="15" customHeight="1" x14ac:dyDescent="0.2">
      <c r="A40" s="31">
        <v>2016</v>
      </c>
      <c r="B40" s="31" t="s">
        <v>8</v>
      </c>
      <c r="C40" s="34" t="s">
        <v>164</v>
      </c>
      <c r="D40" s="35" t="s">
        <v>180</v>
      </c>
      <c r="E40" s="31" t="s">
        <v>203</v>
      </c>
      <c r="F40" s="38">
        <v>6.3193824600495704E-2</v>
      </c>
    </row>
    <row r="41" spans="1:6" ht="17" x14ac:dyDescent="0.2">
      <c r="A41" s="31">
        <v>2016</v>
      </c>
      <c r="B41" s="31" t="s">
        <v>8</v>
      </c>
      <c r="C41" s="34" t="s">
        <v>164</v>
      </c>
      <c r="D41" s="35" t="s">
        <v>181</v>
      </c>
      <c r="E41" s="31" t="s">
        <v>203</v>
      </c>
      <c r="F41" s="38">
        <v>2.4957930729545715E-2</v>
      </c>
    </row>
    <row r="42" spans="1:6" ht="17" x14ac:dyDescent="0.2">
      <c r="A42" s="31">
        <v>2016</v>
      </c>
      <c r="B42" s="31" t="s">
        <v>8</v>
      </c>
      <c r="C42" s="34" t="s">
        <v>165</v>
      </c>
      <c r="D42" s="35" t="s">
        <v>182</v>
      </c>
      <c r="E42" s="31" t="s">
        <v>203</v>
      </c>
      <c r="F42" s="38">
        <v>2.3835786414540427E-2</v>
      </c>
    </row>
    <row r="43" spans="1:6" ht="17" x14ac:dyDescent="0.2">
      <c r="A43" s="31">
        <v>2016</v>
      </c>
      <c r="B43" s="31" t="s">
        <v>8</v>
      </c>
      <c r="C43" s="34" t="s">
        <v>165</v>
      </c>
      <c r="D43" s="35" t="s">
        <v>183</v>
      </c>
      <c r="E43" s="31" t="s">
        <v>203</v>
      </c>
      <c r="F43" s="38">
        <v>2.8932559299857139E-2</v>
      </c>
    </row>
    <row r="44" spans="1:6" ht="17" x14ac:dyDescent="0.2">
      <c r="A44" s="31">
        <v>2016</v>
      </c>
      <c r="B44" s="31" t="s">
        <v>8</v>
      </c>
      <c r="C44" s="34" t="s">
        <v>166</v>
      </c>
      <c r="D44" s="35" t="s">
        <v>184</v>
      </c>
      <c r="E44" s="31" t="s">
        <v>203</v>
      </c>
      <c r="F44" s="38">
        <v>1.5927602486287142E-2</v>
      </c>
    </row>
    <row r="45" spans="1:6" ht="17" x14ac:dyDescent="0.2">
      <c r="A45" s="31">
        <v>2016</v>
      </c>
      <c r="B45" s="31" t="s">
        <v>8</v>
      </c>
      <c r="C45" s="34" t="s">
        <v>166</v>
      </c>
      <c r="D45" s="35" t="s">
        <v>185</v>
      </c>
      <c r="E45" s="31" t="s">
        <v>203</v>
      </c>
      <c r="F45" s="38">
        <v>1.2084211909204287E-2</v>
      </c>
    </row>
    <row r="46" spans="1:6" ht="17" x14ac:dyDescent="0.2">
      <c r="A46" s="31">
        <v>2016</v>
      </c>
      <c r="B46" s="31" t="s">
        <v>8</v>
      </c>
      <c r="C46" s="34" t="s">
        <v>166</v>
      </c>
      <c r="D46" s="35" t="s">
        <v>186</v>
      </c>
      <c r="E46" s="31" t="s">
        <v>203</v>
      </c>
      <c r="F46" s="38">
        <v>2.5156353282728573E-2</v>
      </c>
    </row>
    <row r="47" spans="1:6" ht="17" x14ac:dyDescent="0.2">
      <c r="A47" s="31">
        <v>2016</v>
      </c>
      <c r="B47" s="31" t="s">
        <v>8</v>
      </c>
      <c r="C47" s="34" t="s">
        <v>167</v>
      </c>
      <c r="D47" s="35" t="s">
        <v>187</v>
      </c>
      <c r="E47" s="31" t="s">
        <v>203</v>
      </c>
      <c r="F47" s="38">
        <v>4.3096738709195712E-2</v>
      </c>
    </row>
    <row r="48" spans="1:6" ht="15" customHeight="1" x14ac:dyDescent="0.2">
      <c r="A48" s="31">
        <v>2016</v>
      </c>
      <c r="B48" s="31" t="s">
        <v>8</v>
      </c>
      <c r="C48" s="34" t="s">
        <v>167</v>
      </c>
      <c r="D48" s="35" t="s">
        <v>188</v>
      </c>
      <c r="E48" s="31" t="s">
        <v>203</v>
      </c>
      <c r="F48" s="38">
        <v>7.4134474197915714E-3</v>
      </c>
    </row>
    <row r="49" spans="1:6" ht="17" x14ac:dyDescent="0.2">
      <c r="A49" s="31">
        <v>2016</v>
      </c>
      <c r="B49" s="31" t="s">
        <v>8</v>
      </c>
      <c r="C49" s="34" t="s">
        <v>167</v>
      </c>
      <c r="D49" s="35" t="s">
        <v>189</v>
      </c>
      <c r="E49" s="31" t="s">
        <v>203</v>
      </c>
      <c r="F49" s="38">
        <v>1.8570171112356426E-2</v>
      </c>
    </row>
    <row r="50" spans="1:6" ht="17" x14ac:dyDescent="0.2">
      <c r="A50" s="31">
        <v>2016</v>
      </c>
      <c r="B50" s="31" t="s">
        <v>8</v>
      </c>
      <c r="C50" s="34" t="s">
        <v>167</v>
      </c>
      <c r="D50" s="35" t="s">
        <v>190</v>
      </c>
      <c r="E50" s="31" t="s">
        <v>203</v>
      </c>
      <c r="F50" s="38">
        <v>1.6644803190774288E-2</v>
      </c>
    </row>
    <row r="51" spans="1:6" ht="17" x14ac:dyDescent="0.2">
      <c r="A51" s="31">
        <v>2016</v>
      </c>
      <c r="B51" s="31" t="s">
        <v>8</v>
      </c>
      <c r="C51" s="34" t="s">
        <v>167</v>
      </c>
      <c r="D51" s="35" t="s">
        <v>191</v>
      </c>
      <c r="E51" s="31" t="s">
        <v>203</v>
      </c>
      <c r="F51" s="38">
        <v>8.6398636459959991E-3</v>
      </c>
    </row>
    <row r="52" spans="1:6" ht="17" x14ac:dyDescent="0.2">
      <c r="A52" s="31">
        <v>2016</v>
      </c>
      <c r="B52" s="31" t="s">
        <v>8</v>
      </c>
      <c r="C52" s="34" t="s">
        <v>167</v>
      </c>
      <c r="D52" s="35" t="s">
        <v>192</v>
      </c>
      <c r="E52" s="31" t="s">
        <v>203</v>
      </c>
      <c r="F52" s="38">
        <v>5.0487768933500004E-3</v>
      </c>
    </row>
    <row r="53" spans="1:6" ht="17" x14ac:dyDescent="0.2">
      <c r="A53" s="31">
        <v>2016</v>
      </c>
      <c r="B53" s="31" t="s">
        <v>8</v>
      </c>
      <c r="C53" s="34" t="s">
        <v>168</v>
      </c>
      <c r="D53" s="35" t="s">
        <v>193</v>
      </c>
      <c r="E53" s="31" t="s">
        <v>203</v>
      </c>
      <c r="F53" s="38">
        <v>1.5380451919708145E-2</v>
      </c>
    </row>
    <row r="54" spans="1:6" ht="17" x14ac:dyDescent="0.2">
      <c r="A54" s="31">
        <v>2016</v>
      </c>
      <c r="B54" s="31" t="s">
        <v>8</v>
      </c>
      <c r="C54" s="34" t="s">
        <v>168</v>
      </c>
      <c r="D54" s="35" t="s">
        <v>194</v>
      </c>
      <c r="E54" s="31" t="s">
        <v>203</v>
      </c>
      <c r="F54" s="38">
        <v>1.2939737837752858E-2</v>
      </c>
    </row>
    <row r="55" spans="1:6" ht="17" x14ac:dyDescent="0.2">
      <c r="A55" s="31">
        <v>2016</v>
      </c>
      <c r="B55" s="31" t="s">
        <v>8</v>
      </c>
      <c r="C55" s="34" t="s">
        <v>169</v>
      </c>
      <c r="D55" s="35" t="s">
        <v>195</v>
      </c>
      <c r="E55" s="31" t="s">
        <v>203</v>
      </c>
      <c r="F55" s="38">
        <v>2.4077167995811426E-2</v>
      </c>
    </row>
    <row r="56" spans="1:6" ht="17" x14ac:dyDescent="0.2">
      <c r="A56" s="31">
        <v>2016</v>
      </c>
      <c r="B56" s="31" t="s">
        <v>8</v>
      </c>
      <c r="C56" s="34" t="s">
        <v>169</v>
      </c>
      <c r="D56" s="35" t="s">
        <v>196</v>
      </c>
      <c r="E56" s="31" t="s">
        <v>203</v>
      </c>
      <c r="F56" s="38">
        <v>2.2362937818045714E-2</v>
      </c>
    </row>
    <row r="57" spans="1:6" ht="17" x14ac:dyDescent="0.2">
      <c r="A57" s="31">
        <v>2016</v>
      </c>
      <c r="B57" s="31" t="s">
        <v>8</v>
      </c>
      <c r="C57" s="34" t="s">
        <v>169</v>
      </c>
      <c r="D57" s="35" t="s">
        <v>197</v>
      </c>
      <c r="E57" s="31" t="s">
        <v>203</v>
      </c>
      <c r="F57" s="38">
        <v>3.9671584315120002E-2</v>
      </c>
    </row>
    <row r="58" spans="1:6" ht="17" x14ac:dyDescent="0.2">
      <c r="A58" s="31">
        <v>2016</v>
      </c>
      <c r="B58" s="31" t="s">
        <v>8</v>
      </c>
      <c r="C58" s="34" t="s">
        <v>169</v>
      </c>
      <c r="D58" s="35" t="s">
        <v>198</v>
      </c>
      <c r="E58" s="31" t="s">
        <v>203</v>
      </c>
      <c r="F58" s="38">
        <v>3.6868151808001424E-2</v>
      </c>
    </row>
    <row r="59" spans="1:6" ht="17" x14ac:dyDescent="0.2">
      <c r="A59" s="31">
        <v>2016</v>
      </c>
      <c r="B59" s="31" t="s">
        <v>8</v>
      </c>
      <c r="C59" s="34" t="s">
        <v>170</v>
      </c>
      <c r="D59" s="35" t="s">
        <v>199</v>
      </c>
      <c r="E59" s="31" t="s">
        <v>203</v>
      </c>
      <c r="F59" s="38">
        <v>1.6205246756107287E-2</v>
      </c>
    </row>
    <row r="60" spans="1:6" ht="17" x14ac:dyDescent="0.2">
      <c r="A60" s="31">
        <v>2016</v>
      </c>
      <c r="B60" s="31" t="s">
        <v>8</v>
      </c>
      <c r="C60" s="34" t="s">
        <v>170</v>
      </c>
      <c r="D60" s="35" t="s">
        <v>200</v>
      </c>
      <c r="E60" s="31" t="s">
        <v>203</v>
      </c>
      <c r="F60" s="38">
        <v>1.2539924272631857E-2</v>
      </c>
    </row>
    <row r="61" spans="1:6" ht="17" x14ac:dyDescent="0.2">
      <c r="A61" s="31">
        <v>2016</v>
      </c>
      <c r="B61" s="31" t="s">
        <v>8</v>
      </c>
      <c r="C61" s="34" t="s">
        <v>170</v>
      </c>
      <c r="D61" s="35" t="s">
        <v>201</v>
      </c>
      <c r="E61" s="31" t="s">
        <v>203</v>
      </c>
      <c r="F61" s="38">
        <v>1.051721405275843E-2</v>
      </c>
    </row>
    <row r="62" spans="1:6" x14ac:dyDescent="0.2">
      <c r="A62" s="31">
        <v>2016</v>
      </c>
      <c r="B62" s="31" t="s">
        <v>2</v>
      </c>
      <c r="C62" s="33" t="s">
        <v>161</v>
      </c>
      <c r="D62" s="33" t="s">
        <v>172</v>
      </c>
      <c r="E62" s="31" t="s">
        <v>202</v>
      </c>
      <c r="F62" s="37">
        <v>0.86400613099641821</v>
      </c>
    </row>
    <row r="63" spans="1:6" x14ac:dyDescent="0.2">
      <c r="A63" s="31">
        <v>2016</v>
      </c>
      <c r="B63" s="31" t="s">
        <v>2</v>
      </c>
      <c r="C63" s="36" t="s">
        <v>162</v>
      </c>
      <c r="D63" s="35" t="s">
        <v>204</v>
      </c>
      <c r="E63" s="31" t="s">
        <v>202</v>
      </c>
      <c r="F63" s="37">
        <v>0.89532477198667271</v>
      </c>
    </row>
    <row r="64" spans="1:6" x14ac:dyDescent="0.2">
      <c r="A64" s="31">
        <v>2016</v>
      </c>
      <c r="B64" s="31" t="s">
        <v>2</v>
      </c>
      <c r="C64" s="36" t="s">
        <v>162</v>
      </c>
      <c r="D64" s="35" t="s">
        <v>205</v>
      </c>
      <c r="E64" s="31" t="s">
        <v>202</v>
      </c>
      <c r="F64" s="37">
        <v>0.70247481853428184</v>
      </c>
    </row>
    <row r="65" spans="1:6" x14ac:dyDescent="0.2">
      <c r="A65" s="31">
        <v>2016</v>
      </c>
      <c r="B65" s="31" t="s">
        <v>2</v>
      </c>
      <c r="C65" s="36" t="s">
        <v>162</v>
      </c>
      <c r="D65" s="35" t="s">
        <v>175</v>
      </c>
      <c r="E65" s="31" t="s">
        <v>202</v>
      </c>
      <c r="F65" s="37">
        <v>0.79844844832020001</v>
      </c>
    </row>
    <row r="66" spans="1:6" x14ac:dyDescent="0.2">
      <c r="A66" s="31">
        <v>2016</v>
      </c>
      <c r="B66" s="31" t="s">
        <v>2</v>
      </c>
      <c r="C66" s="36" t="s">
        <v>162</v>
      </c>
      <c r="D66" s="35" t="s">
        <v>176</v>
      </c>
      <c r="E66" s="31" t="s">
        <v>202</v>
      </c>
      <c r="F66" s="37">
        <v>0.76399185486155463</v>
      </c>
    </row>
    <row r="67" spans="1:6" x14ac:dyDescent="0.2">
      <c r="A67" s="31">
        <v>2016</v>
      </c>
      <c r="B67" s="31" t="s">
        <v>2</v>
      </c>
      <c r="C67" s="36" t="s">
        <v>163</v>
      </c>
      <c r="D67" s="35" t="s">
        <v>206</v>
      </c>
      <c r="E67" s="31" t="s">
        <v>202</v>
      </c>
      <c r="F67" s="37">
        <v>0.88254548645237274</v>
      </c>
    </row>
    <row r="68" spans="1:6" x14ac:dyDescent="0.2">
      <c r="A68" s="31">
        <v>2016</v>
      </c>
      <c r="B68" s="31" t="s">
        <v>2</v>
      </c>
      <c r="C68" s="36" t="s">
        <v>163</v>
      </c>
      <c r="D68" s="35" t="s">
        <v>207</v>
      </c>
      <c r="E68" s="31" t="s">
        <v>202</v>
      </c>
      <c r="F68" s="37">
        <v>0.88995541157166358</v>
      </c>
    </row>
    <row r="69" spans="1:6" x14ac:dyDescent="0.2">
      <c r="A69" s="31">
        <v>2016</v>
      </c>
      <c r="B69" s="31" t="s">
        <v>2</v>
      </c>
      <c r="C69" s="36" t="s">
        <v>164</v>
      </c>
      <c r="D69" s="35" t="s">
        <v>180</v>
      </c>
      <c r="E69" s="31" t="s">
        <v>202</v>
      </c>
      <c r="F69" s="37">
        <v>0.85014504987263639</v>
      </c>
    </row>
    <row r="70" spans="1:6" x14ac:dyDescent="0.2">
      <c r="A70" s="31">
        <v>2016</v>
      </c>
      <c r="B70" s="31" t="s">
        <v>2</v>
      </c>
      <c r="C70" s="36" t="s">
        <v>164</v>
      </c>
      <c r="D70" s="35" t="s">
        <v>181</v>
      </c>
      <c r="E70" s="31" t="s">
        <v>202</v>
      </c>
      <c r="F70" s="37">
        <v>0.92036425811552725</v>
      </c>
    </row>
    <row r="71" spans="1:6" x14ac:dyDescent="0.2">
      <c r="A71" s="31">
        <v>2016</v>
      </c>
      <c r="B71" s="31" t="s">
        <v>2</v>
      </c>
      <c r="C71" s="36" t="s">
        <v>165</v>
      </c>
      <c r="D71" s="35" t="s">
        <v>208</v>
      </c>
      <c r="E71" s="31" t="s">
        <v>202</v>
      </c>
      <c r="F71" s="37">
        <v>0.86308120355910911</v>
      </c>
    </row>
    <row r="72" spans="1:6" x14ac:dyDescent="0.2">
      <c r="A72" s="31">
        <v>2016</v>
      </c>
      <c r="B72" s="31" t="s">
        <v>2</v>
      </c>
      <c r="C72" s="36" t="s">
        <v>165</v>
      </c>
      <c r="D72" s="35" t="s">
        <v>183</v>
      </c>
      <c r="E72" s="31" t="s">
        <v>202</v>
      </c>
      <c r="F72" s="37">
        <v>0.81634034503690889</v>
      </c>
    </row>
    <row r="73" spans="1:6" x14ac:dyDescent="0.2">
      <c r="A73" s="31">
        <v>2016</v>
      </c>
      <c r="B73" s="31" t="s">
        <v>2</v>
      </c>
      <c r="C73" s="36" t="s">
        <v>166</v>
      </c>
      <c r="D73" s="35" t="s">
        <v>209</v>
      </c>
      <c r="E73" s="31" t="s">
        <v>202</v>
      </c>
      <c r="F73" s="37">
        <v>0.90190852798217269</v>
      </c>
    </row>
    <row r="74" spans="1:6" x14ac:dyDescent="0.2">
      <c r="A74" s="31">
        <v>2016</v>
      </c>
      <c r="B74" s="31" t="s">
        <v>2</v>
      </c>
      <c r="C74" s="36" t="s">
        <v>166</v>
      </c>
      <c r="D74" s="35" t="s">
        <v>210</v>
      </c>
      <c r="E74" s="31" t="s">
        <v>202</v>
      </c>
      <c r="F74" s="37">
        <v>0.9083105140526001</v>
      </c>
    </row>
    <row r="75" spans="1:6" x14ac:dyDescent="0.2">
      <c r="A75" s="31">
        <v>2016</v>
      </c>
      <c r="B75" s="31" t="s">
        <v>2</v>
      </c>
      <c r="C75" s="36" t="s">
        <v>166</v>
      </c>
      <c r="D75" s="35" t="s">
        <v>186</v>
      </c>
      <c r="E75" s="31" t="s">
        <v>202</v>
      </c>
      <c r="F75" s="37">
        <v>0.87685521469198191</v>
      </c>
    </row>
    <row r="76" spans="1:6" x14ac:dyDescent="0.2">
      <c r="A76" s="31">
        <v>2016</v>
      </c>
      <c r="B76" s="31" t="s">
        <v>2</v>
      </c>
      <c r="C76" s="36" t="s">
        <v>167</v>
      </c>
      <c r="D76" s="35" t="s">
        <v>211</v>
      </c>
      <c r="E76" s="31" t="s">
        <v>202</v>
      </c>
      <c r="F76" s="37">
        <v>0.8104934514730453</v>
      </c>
    </row>
    <row r="77" spans="1:6" x14ac:dyDescent="0.2">
      <c r="A77" s="31">
        <v>2016</v>
      </c>
      <c r="B77" s="31" t="s">
        <v>2</v>
      </c>
      <c r="C77" s="36" t="s">
        <v>167</v>
      </c>
      <c r="D77" s="35" t="s">
        <v>212</v>
      </c>
      <c r="E77" s="31" t="s">
        <v>202</v>
      </c>
      <c r="F77" s="37">
        <v>0.86982627887022734</v>
      </c>
    </row>
    <row r="78" spans="1:6" x14ac:dyDescent="0.2">
      <c r="A78" s="31">
        <v>2016</v>
      </c>
      <c r="B78" s="31" t="s">
        <v>2</v>
      </c>
      <c r="C78" s="36" t="s">
        <v>167</v>
      </c>
      <c r="D78" s="35" t="s">
        <v>213</v>
      </c>
      <c r="E78" s="31" t="s">
        <v>202</v>
      </c>
      <c r="F78" s="37">
        <v>0.83854798819418186</v>
      </c>
    </row>
    <row r="79" spans="1:6" x14ac:dyDescent="0.2">
      <c r="A79" s="31">
        <v>2016</v>
      </c>
      <c r="B79" s="31" t="s">
        <v>2</v>
      </c>
      <c r="C79" s="36" t="s">
        <v>167</v>
      </c>
      <c r="D79" s="35" t="s">
        <v>214</v>
      </c>
      <c r="E79" s="31" t="s">
        <v>202</v>
      </c>
      <c r="F79" s="37">
        <v>0.82857507637167271</v>
      </c>
    </row>
    <row r="80" spans="1:6" x14ac:dyDescent="0.2">
      <c r="A80" s="31">
        <v>2016</v>
      </c>
      <c r="B80" s="31" t="s">
        <v>2</v>
      </c>
      <c r="C80" s="36" t="s">
        <v>167</v>
      </c>
      <c r="D80" s="35" t="s">
        <v>215</v>
      </c>
      <c r="E80" s="31" t="s">
        <v>202</v>
      </c>
      <c r="F80" s="37">
        <v>0.83106279725621812</v>
      </c>
    </row>
    <row r="81" spans="1:6" x14ac:dyDescent="0.2">
      <c r="A81" s="31">
        <v>2016</v>
      </c>
      <c r="B81" s="31" t="s">
        <v>2</v>
      </c>
      <c r="C81" s="36" t="s">
        <v>168</v>
      </c>
      <c r="D81" s="35" t="s">
        <v>216</v>
      </c>
      <c r="E81" s="31" t="s">
        <v>202</v>
      </c>
      <c r="F81" s="37">
        <v>0.87024365613676369</v>
      </c>
    </row>
    <row r="82" spans="1:6" x14ac:dyDescent="0.2">
      <c r="A82" s="31">
        <v>2016</v>
      </c>
      <c r="B82" s="31" t="s">
        <v>2</v>
      </c>
      <c r="C82" s="36" t="s">
        <v>168</v>
      </c>
      <c r="D82" s="35" t="s">
        <v>217</v>
      </c>
      <c r="E82" s="31" t="s">
        <v>202</v>
      </c>
      <c r="F82" s="37">
        <v>0.85380758002460011</v>
      </c>
    </row>
    <row r="83" spans="1:6" x14ac:dyDescent="0.2">
      <c r="A83" s="31">
        <v>2016</v>
      </c>
      <c r="B83" s="31" t="s">
        <v>2</v>
      </c>
      <c r="C83" s="36" t="s">
        <v>169</v>
      </c>
      <c r="D83" s="35" t="s">
        <v>218</v>
      </c>
      <c r="E83" s="31" t="s">
        <v>202</v>
      </c>
      <c r="F83" s="37">
        <v>0.86834557885774544</v>
      </c>
    </row>
    <row r="84" spans="1:6" x14ac:dyDescent="0.2">
      <c r="A84" s="31">
        <v>2016</v>
      </c>
      <c r="B84" s="31" t="s">
        <v>2</v>
      </c>
      <c r="C84" s="36" t="s">
        <v>169</v>
      </c>
      <c r="D84" s="35" t="s">
        <v>219</v>
      </c>
      <c r="E84" s="31" t="s">
        <v>202</v>
      </c>
      <c r="F84" s="37">
        <v>0.86359717151663629</v>
      </c>
    </row>
    <row r="85" spans="1:6" x14ac:dyDescent="0.2">
      <c r="A85" s="31">
        <v>2016</v>
      </c>
      <c r="B85" s="31" t="s">
        <v>2</v>
      </c>
      <c r="C85" s="36" t="s">
        <v>169</v>
      </c>
      <c r="D85" s="35" t="s">
        <v>197</v>
      </c>
      <c r="E85" s="31" t="s">
        <v>202</v>
      </c>
      <c r="F85" s="37">
        <v>0.78708685245600907</v>
      </c>
    </row>
    <row r="86" spans="1:6" x14ac:dyDescent="0.2">
      <c r="A86" s="31">
        <v>2016</v>
      </c>
      <c r="B86" s="31" t="s">
        <v>2</v>
      </c>
      <c r="C86" s="36" t="s">
        <v>169</v>
      </c>
      <c r="D86" s="35" t="s">
        <v>198</v>
      </c>
      <c r="E86" s="31" t="s">
        <v>202</v>
      </c>
      <c r="F86" s="37">
        <v>0.83369190937609083</v>
      </c>
    </row>
    <row r="87" spans="1:6" x14ac:dyDescent="0.2">
      <c r="A87" s="31">
        <v>2016</v>
      </c>
      <c r="B87" s="31" t="s">
        <v>2</v>
      </c>
      <c r="C87" s="36" t="s">
        <v>170</v>
      </c>
      <c r="D87" s="35" t="s">
        <v>220</v>
      </c>
      <c r="E87" s="31" t="s">
        <v>202</v>
      </c>
      <c r="F87" s="37">
        <v>0.83803734625149096</v>
      </c>
    </row>
    <row r="88" spans="1:6" x14ac:dyDescent="0.2">
      <c r="A88" s="31">
        <v>2016</v>
      </c>
      <c r="B88" s="31" t="s">
        <v>2</v>
      </c>
      <c r="C88" s="36" t="s">
        <v>170</v>
      </c>
      <c r="D88" s="35" t="s">
        <v>221</v>
      </c>
      <c r="E88" s="31" t="s">
        <v>202</v>
      </c>
      <c r="F88" s="37">
        <v>0.83865492690309085</v>
      </c>
    </row>
    <row r="89" spans="1:6" x14ac:dyDescent="0.2">
      <c r="A89" s="31">
        <v>2016</v>
      </c>
      <c r="B89" s="31" t="s">
        <v>2</v>
      </c>
      <c r="C89" s="36" t="s">
        <v>170</v>
      </c>
      <c r="D89" s="35" t="s">
        <v>222</v>
      </c>
      <c r="E89" s="31" t="s">
        <v>202</v>
      </c>
      <c r="F89" s="37">
        <v>0.86428144671003648</v>
      </c>
    </row>
    <row r="90" spans="1:6" x14ac:dyDescent="0.2">
      <c r="A90" s="31">
        <v>2016</v>
      </c>
      <c r="B90" s="31" t="s">
        <v>2</v>
      </c>
      <c r="C90" s="33" t="s">
        <v>161</v>
      </c>
      <c r="D90" s="33" t="s">
        <v>172</v>
      </c>
      <c r="E90" s="31" t="s">
        <v>202</v>
      </c>
      <c r="F90" s="37">
        <v>7.6822643826876355E-2</v>
      </c>
    </row>
    <row r="91" spans="1:6" x14ac:dyDescent="0.2">
      <c r="A91" s="31">
        <v>2016</v>
      </c>
      <c r="B91" s="31" t="s">
        <v>2</v>
      </c>
      <c r="C91" s="36" t="s">
        <v>162</v>
      </c>
      <c r="D91" s="35" t="s">
        <v>204</v>
      </c>
      <c r="E91" s="31" t="s">
        <v>202</v>
      </c>
      <c r="F91" s="37">
        <v>6.2007540671187279E-2</v>
      </c>
    </row>
    <row r="92" spans="1:6" x14ac:dyDescent="0.2">
      <c r="A92" s="31">
        <v>2016</v>
      </c>
      <c r="B92" s="31" t="s">
        <v>2</v>
      </c>
      <c r="C92" s="36" t="s">
        <v>162</v>
      </c>
      <c r="D92" s="35" t="s">
        <v>205</v>
      </c>
      <c r="E92" s="31" t="s">
        <v>203</v>
      </c>
      <c r="F92" s="37">
        <v>0.23537527877604456</v>
      </c>
    </row>
    <row r="93" spans="1:6" x14ac:dyDescent="0.2">
      <c r="A93" s="31">
        <v>2016</v>
      </c>
      <c r="B93" s="31" t="s">
        <v>2</v>
      </c>
      <c r="C93" s="36" t="s">
        <v>162</v>
      </c>
      <c r="D93" s="35" t="s">
        <v>175</v>
      </c>
      <c r="E93" s="31" t="s">
        <v>203</v>
      </c>
      <c r="F93" s="37">
        <v>0.12480480752932638</v>
      </c>
    </row>
    <row r="94" spans="1:6" x14ac:dyDescent="0.2">
      <c r="A94" s="31">
        <v>2016</v>
      </c>
      <c r="B94" s="31" t="s">
        <v>2</v>
      </c>
      <c r="C94" s="36" t="s">
        <v>162</v>
      </c>
      <c r="D94" s="35" t="s">
        <v>176</v>
      </c>
      <c r="E94" s="31" t="s">
        <v>203</v>
      </c>
      <c r="F94" s="37">
        <v>0.13243752456487182</v>
      </c>
    </row>
    <row r="95" spans="1:6" x14ac:dyDescent="0.2">
      <c r="A95" s="31">
        <v>2016</v>
      </c>
      <c r="B95" s="31" t="s">
        <v>2</v>
      </c>
      <c r="C95" s="36" t="s">
        <v>163</v>
      </c>
      <c r="D95" s="35" t="s">
        <v>206</v>
      </c>
      <c r="E95" s="31" t="s">
        <v>203</v>
      </c>
      <c r="F95" s="37">
        <v>5.91062985823309E-2</v>
      </c>
    </row>
    <row r="96" spans="1:6" x14ac:dyDescent="0.2">
      <c r="A96" s="31">
        <v>2016</v>
      </c>
      <c r="B96" s="31" t="s">
        <v>2</v>
      </c>
      <c r="C96" s="36" t="s">
        <v>163</v>
      </c>
      <c r="D96" s="35" t="s">
        <v>207</v>
      </c>
      <c r="E96" s="31" t="s">
        <v>203</v>
      </c>
      <c r="F96" s="37">
        <v>5.249923294009818E-2</v>
      </c>
    </row>
    <row r="97" spans="1:6" x14ac:dyDescent="0.2">
      <c r="A97" s="31">
        <v>2016</v>
      </c>
      <c r="B97" s="31" t="s">
        <v>2</v>
      </c>
      <c r="C97" s="36" t="s">
        <v>164</v>
      </c>
      <c r="D97" s="35" t="s">
        <v>180</v>
      </c>
      <c r="E97" s="31" t="s">
        <v>203</v>
      </c>
      <c r="F97" s="37">
        <v>8.249820199567727E-2</v>
      </c>
    </row>
    <row r="98" spans="1:6" x14ac:dyDescent="0.2">
      <c r="A98" s="31">
        <v>2016</v>
      </c>
      <c r="B98" s="31" t="s">
        <v>2</v>
      </c>
      <c r="C98" s="36" t="s">
        <v>164</v>
      </c>
      <c r="D98" s="35" t="s">
        <v>181</v>
      </c>
      <c r="E98" s="31" t="s">
        <v>203</v>
      </c>
      <c r="F98" s="37">
        <v>4.3922854003781819E-2</v>
      </c>
    </row>
    <row r="99" spans="1:6" x14ac:dyDescent="0.2">
      <c r="A99" s="31">
        <v>2016</v>
      </c>
      <c r="B99" s="31" t="s">
        <v>2</v>
      </c>
      <c r="C99" s="36" t="s">
        <v>165</v>
      </c>
      <c r="D99" s="35" t="s">
        <v>208</v>
      </c>
      <c r="E99" s="31" t="s">
        <v>203</v>
      </c>
      <c r="F99" s="37">
        <v>7.0331341261657271E-2</v>
      </c>
    </row>
    <row r="100" spans="1:6" x14ac:dyDescent="0.2">
      <c r="A100" s="31">
        <v>2016</v>
      </c>
      <c r="B100" s="31" t="s">
        <v>2</v>
      </c>
      <c r="C100" s="36" t="s">
        <v>165</v>
      </c>
      <c r="D100" s="35" t="s">
        <v>183</v>
      </c>
      <c r="E100" s="31" t="s">
        <v>203</v>
      </c>
      <c r="F100" s="37">
        <v>0.10584512379895</v>
      </c>
    </row>
    <row r="101" spans="1:6" x14ac:dyDescent="0.2">
      <c r="A101" s="31">
        <v>2016</v>
      </c>
      <c r="B101" s="31" t="s">
        <v>2</v>
      </c>
      <c r="C101" s="36" t="s">
        <v>166</v>
      </c>
      <c r="D101" s="35" t="s">
        <v>209</v>
      </c>
      <c r="E101" s="31" t="s">
        <v>203</v>
      </c>
      <c r="F101" s="37">
        <v>4.3253876430260914E-2</v>
      </c>
    </row>
    <row r="102" spans="1:6" x14ac:dyDescent="0.2">
      <c r="A102" s="31">
        <v>2016</v>
      </c>
      <c r="B102" s="31" t="s">
        <v>2</v>
      </c>
      <c r="C102" s="36" t="s">
        <v>166</v>
      </c>
      <c r="D102" s="35" t="s">
        <v>210</v>
      </c>
      <c r="E102" s="31" t="s">
        <v>203</v>
      </c>
      <c r="F102" s="37">
        <v>3.7310465406130915E-2</v>
      </c>
    </row>
    <row r="103" spans="1:6" x14ac:dyDescent="0.2">
      <c r="A103" s="31">
        <v>2016</v>
      </c>
      <c r="B103" s="31" t="s">
        <v>2</v>
      </c>
      <c r="C103" s="36" t="s">
        <v>166</v>
      </c>
      <c r="D103" s="35" t="s">
        <v>186</v>
      </c>
      <c r="E103" s="31" t="s">
        <v>203</v>
      </c>
      <c r="F103" s="37">
        <v>4.9336972078226363E-2</v>
      </c>
    </row>
    <row r="104" spans="1:6" x14ac:dyDescent="0.2">
      <c r="A104" s="31">
        <v>2016</v>
      </c>
      <c r="B104" s="31" t="s">
        <v>2</v>
      </c>
      <c r="C104" s="36" t="s">
        <v>167</v>
      </c>
      <c r="D104" s="35" t="s">
        <v>211</v>
      </c>
      <c r="E104" s="31" t="s">
        <v>203</v>
      </c>
      <c r="F104" s="37">
        <v>0.11080625626045726</v>
      </c>
    </row>
    <row r="105" spans="1:6" x14ac:dyDescent="0.2">
      <c r="A105" s="31">
        <v>2016</v>
      </c>
      <c r="B105" s="31" t="s">
        <v>2</v>
      </c>
      <c r="C105" s="36" t="s">
        <v>167</v>
      </c>
      <c r="D105" s="35" t="s">
        <v>212</v>
      </c>
      <c r="E105" s="31" t="s">
        <v>203</v>
      </c>
      <c r="F105" s="37">
        <v>8.0801144179133644E-2</v>
      </c>
    </row>
    <row r="106" spans="1:6" x14ac:dyDescent="0.2">
      <c r="A106" s="31">
        <v>2016</v>
      </c>
      <c r="B106" s="31" t="s">
        <v>2</v>
      </c>
      <c r="C106" s="36" t="s">
        <v>167</v>
      </c>
      <c r="D106" s="35" t="s">
        <v>213</v>
      </c>
      <c r="E106" s="31" t="s">
        <v>203</v>
      </c>
      <c r="F106" s="37">
        <v>0.1059504662954709</v>
      </c>
    </row>
    <row r="107" spans="1:6" x14ac:dyDescent="0.2">
      <c r="A107" s="31">
        <v>2016</v>
      </c>
      <c r="B107" s="31" t="s">
        <v>2</v>
      </c>
      <c r="C107" s="36" t="s">
        <v>167</v>
      </c>
      <c r="D107" s="35" t="s">
        <v>214</v>
      </c>
      <c r="E107" s="31" t="s">
        <v>203</v>
      </c>
      <c r="F107" s="37">
        <v>0.10999123889223911</v>
      </c>
    </row>
    <row r="108" spans="1:6" x14ac:dyDescent="0.2">
      <c r="A108" s="31">
        <v>2016</v>
      </c>
      <c r="B108" s="31" t="s">
        <v>2</v>
      </c>
      <c r="C108" s="36" t="s">
        <v>167</v>
      </c>
      <c r="D108" s="35" t="s">
        <v>215</v>
      </c>
      <c r="E108" s="31" t="s">
        <v>203</v>
      </c>
      <c r="F108" s="37">
        <v>0.10675756965594183</v>
      </c>
    </row>
    <row r="109" spans="1:6" x14ac:dyDescent="0.2">
      <c r="A109" s="31">
        <v>2016</v>
      </c>
      <c r="B109" s="31" t="s">
        <v>2</v>
      </c>
      <c r="C109" s="36" t="s">
        <v>168</v>
      </c>
      <c r="D109" s="35" t="s">
        <v>216</v>
      </c>
      <c r="E109" s="31" t="s">
        <v>203</v>
      </c>
      <c r="F109" s="37">
        <v>6.6251050975916354E-2</v>
      </c>
    </row>
    <row r="110" spans="1:6" x14ac:dyDescent="0.2">
      <c r="A110" s="31">
        <v>2016</v>
      </c>
      <c r="B110" s="31" t="s">
        <v>2</v>
      </c>
      <c r="C110" s="36" t="s">
        <v>168</v>
      </c>
      <c r="D110" s="35" t="s">
        <v>217</v>
      </c>
      <c r="E110" s="31" t="s">
        <v>203</v>
      </c>
      <c r="F110" s="37">
        <v>8.1487288830508195E-2</v>
      </c>
    </row>
    <row r="111" spans="1:6" x14ac:dyDescent="0.2">
      <c r="A111" s="31">
        <v>2016</v>
      </c>
      <c r="B111" s="31" t="s">
        <v>2</v>
      </c>
      <c r="C111" s="36" t="s">
        <v>169</v>
      </c>
      <c r="D111" s="35" t="s">
        <v>218</v>
      </c>
      <c r="E111" s="31" t="s">
        <v>203</v>
      </c>
      <c r="F111" s="37">
        <v>6.6748676550531835E-2</v>
      </c>
    </row>
    <row r="112" spans="1:6" x14ac:dyDescent="0.2">
      <c r="A112" s="31">
        <v>2016</v>
      </c>
      <c r="B112" s="31" t="s">
        <v>2</v>
      </c>
      <c r="C112" s="36" t="s">
        <v>169</v>
      </c>
      <c r="D112" s="35" t="s">
        <v>219</v>
      </c>
      <c r="E112" s="31" t="s">
        <v>203</v>
      </c>
      <c r="F112" s="37">
        <v>6.4721531109587283E-2</v>
      </c>
    </row>
    <row r="113" spans="1:6" x14ac:dyDescent="0.2">
      <c r="A113" s="31">
        <v>2016</v>
      </c>
      <c r="B113" s="31" t="s">
        <v>2</v>
      </c>
      <c r="C113" s="36" t="s">
        <v>169</v>
      </c>
      <c r="D113" s="35" t="s">
        <v>197</v>
      </c>
      <c r="E113" s="31" t="s">
        <v>203</v>
      </c>
      <c r="F113" s="37">
        <v>0.11886595946849182</v>
      </c>
    </row>
    <row r="114" spans="1:6" x14ac:dyDescent="0.2">
      <c r="A114" s="31">
        <v>2016</v>
      </c>
      <c r="B114" s="31" t="s">
        <v>2</v>
      </c>
      <c r="C114" s="36" t="s">
        <v>169</v>
      </c>
      <c r="D114" s="35" t="s">
        <v>198</v>
      </c>
      <c r="E114" s="31" t="s">
        <v>203</v>
      </c>
      <c r="F114" s="37">
        <v>7.4543827058798168E-2</v>
      </c>
    </row>
    <row r="115" spans="1:6" x14ac:dyDescent="0.2">
      <c r="A115" s="31">
        <v>2016</v>
      </c>
      <c r="B115" s="31" t="s">
        <v>2</v>
      </c>
      <c r="C115" s="36" t="s">
        <v>170</v>
      </c>
      <c r="D115" s="35" t="s">
        <v>220</v>
      </c>
      <c r="E115" s="31" t="s">
        <v>203</v>
      </c>
      <c r="F115" s="37">
        <v>5.8902759589150915E-2</v>
      </c>
    </row>
    <row r="116" spans="1:6" x14ac:dyDescent="0.2">
      <c r="A116" s="31">
        <v>2016</v>
      </c>
      <c r="B116" s="31" t="s">
        <v>2</v>
      </c>
      <c r="C116" s="36" t="s">
        <v>170</v>
      </c>
      <c r="D116" s="35" t="s">
        <v>221</v>
      </c>
      <c r="E116" s="31" t="s">
        <v>203</v>
      </c>
      <c r="F116" s="37">
        <v>5.1173918665077277E-2</v>
      </c>
    </row>
    <row r="117" spans="1:6" x14ac:dyDescent="0.2">
      <c r="A117" s="31">
        <v>2016</v>
      </c>
      <c r="B117" s="31" t="s">
        <v>2</v>
      </c>
      <c r="C117" s="36" t="s">
        <v>170</v>
      </c>
      <c r="D117" s="35" t="s">
        <v>222</v>
      </c>
      <c r="E117" s="31" t="s">
        <v>203</v>
      </c>
      <c r="F117" s="37">
        <v>4.0506181526988178E-2</v>
      </c>
    </row>
    <row r="118" spans="1:6" x14ac:dyDescent="0.2">
      <c r="A118" s="31">
        <v>2016</v>
      </c>
      <c r="B118" s="31" t="s">
        <v>4</v>
      </c>
      <c r="C118" s="33" t="s">
        <v>161</v>
      </c>
      <c r="D118" s="33" t="s">
        <v>172</v>
      </c>
      <c r="E118" s="31" t="s">
        <v>202</v>
      </c>
      <c r="F118" s="39">
        <v>0.94877978213499181</v>
      </c>
    </row>
    <row r="119" spans="1:6" x14ac:dyDescent="0.2">
      <c r="A119" s="31">
        <v>2016</v>
      </c>
      <c r="B119" s="31" t="s">
        <v>4</v>
      </c>
      <c r="C119" s="36" t="s">
        <v>162</v>
      </c>
      <c r="D119" s="35" t="s">
        <v>223</v>
      </c>
      <c r="E119" s="31" t="s">
        <v>202</v>
      </c>
      <c r="F119" s="39">
        <v>0.91026055631098324</v>
      </c>
    </row>
    <row r="120" spans="1:6" x14ac:dyDescent="0.2">
      <c r="A120" s="31">
        <v>2016</v>
      </c>
      <c r="B120" s="31" t="s">
        <v>4</v>
      </c>
      <c r="C120" s="36" t="s">
        <v>162</v>
      </c>
      <c r="D120" s="35" t="s">
        <v>224</v>
      </c>
      <c r="E120" s="31" t="s">
        <v>202</v>
      </c>
      <c r="F120" s="39">
        <v>0.83438760803824996</v>
      </c>
    </row>
    <row r="121" spans="1:6" x14ac:dyDescent="0.2">
      <c r="A121" s="31">
        <v>2016</v>
      </c>
      <c r="B121" s="31" t="s">
        <v>4</v>
      </c>
      <c r="C121" s="36" t="s">
        <v>162</v>
      </c>
      <c r="D121" s="35" t="s">
        <v>175</v>
      </c>
      <c r="E121" s="31" t="s">
        <v>202</v>
      </c>
      <c r="F121" s="39">
        <v>0.93125705691374161</v>
      </c>
    </row>
    <row r="122" spans="1:6" x14ac:dyDescent="0.2">
      <c r="A122" s="31">
        <v>2016</v>
      </c>
      <c r="B122" s="31" t="s">
        <v>4</v>
      </c>
      <c r="C122" s="36" t="s">
        <v>162</v>
      </c>
      <c r="D122" s="35" t="s">
        <v>176</v>
      </c>
      <c r="E122" s="31" t="s">
        <v>202</v>
      </c>
      <c r="F122" s="39">
        <v>0.86958710809154993</v>
      </c>
    </row>
    <row r="123" spans="1:6" x14ac:dyDescent="0.2">
      <c r="A123" s="31">
        <v>2016</v>
      </c>
      <c r="B123" s="31" t="s">
        <v>4</v>
      </c>
      <c r="C123" s="36" t="s">
        <v>163</v>
      </c>
      <c r="D123" s="35" t="s">
        <v>225</v>
      </c>
      <c r="E123" s="31" t="s">
        <v>202</v>
      </c>
      <c r="F123" s="39">
        <v>0.94002799381778324</v>
      </c>
    </row>
    <row r="124" spans="1:6" x14ac:dyDescent="0.2">
      <c r="A124" s="31">
        <v>2016</v>
      </c>
      <c r="B124" s="31" t="s">
        <v>4</v>
      </c>
      <c r="C124" s="36" t="s">
        <v>163</v>
      </c>
      <c r="D124" s="35" t="s">
        <v>226</v>
      </c>
      <c r="E124" s="31" t="s">
        <v>202</v>
      </c>
      <c r="F124" s="39">
        <v>0.96680621916656673</v>
      </c>
    </row>
    <row r="125" spans="1:6" x14ac:dyDescent="0.2">
      <c r="A125" s="31">
        <v>2016</v>
      </c>
      <c r="B125" s="31" t="s">
        <v>4</v>
      </c>
      <c r="C125" s="36" t="s">
        <v>163</v>
      </c>
      <c r="D125" s="35" t="s">
        <v>227</v>
      </c>
      <c r="E125" s="31" t="s">
        <v>202</v>
      </c>
      <c r="F125" s="39">
        <v>0.97130165730772511</v>
      </c>
    </row>
    <row r="126" spans="1:6" x14ac:dyDescent="0.2">
      <c r="A126" s="31">
        <v>2016</v>
      </c>
      <c r="B126" s="31" t="s">
        <v>4</v>
      </c>
      <c r="C126" s="36" t="s">
        <v>164</v>
      </c>
      <c r="D126" s="35" t="s">
        <v>180</v>
      </c>
      <c r="E126" s="31" t="s">
        <v>202</v>
      </c>
      <c r="F126" s="39">
        <v>0.9058548908760834</v>
      </c>
    </row>
    <row r="127" spans="1:6" x14ac:dyDescent="0.2">
      <c r="A127" s="31">
        <v>2016</v>
      </c>
      <c r="B127" s="31" t="s">
        <v>4</v>
      </c>
      <c r="C127" s="36" t="s">
        <v>164</v>
      </c>
      <c r="D127" s="35" t="s">
        <v>181</v>
      </c>
      <c r="E127" s="31" t="s">
        <v>202</v>
      </c>
      <c r="F127" s="39">
        <v>0.94252491814713346</v>
      </c>
    </row>
    <row r="128" spans="1:6" x14ac:dyDescent="0.2">
      <c r="A128" s="31">
        <v>2016</v>
      </c>
      <c r="B128" s="31" t="s">
        <v>4</v>
      </c>
      <c r="C128" s="36" t="s">
        <v>165</v>
      </c>
      <c r="D128" s="35" t="s">
        <v>228</v>
      </c>
      <c r="E128" s="31" t="s">
        <v>202</v>
      </c>
      <c r="F128" s="39">
        <v>0.93455184071684994</v>
      </c>
    </row>
    <row r="129" spans="1:6" x14ac:dyDescent="0.2">
      <c r="A129" s="31">
        <v>2016</v>
      </c>
      <c r="B129" s="31" t="s">
        <v>4</v>
      </c>
      <c r="C129" s="36" t="s">
        <v>165</v>
      </c>
      <c r="D129" s="35" t="s">
        <v>183</v>
      </c>
      <c r="E129" s="31" t="s">
        <v>202</v>
      </c>
      <c r="F129" s="39">
        <v>0.89015768382887484</v>
      </c>
    </row>
    <row r="130" spans="1:6" x14ac:dyDescent="0.2">
      <c r="A130" s="31">
        <v>2016</v>
      </c>
      <c r="B130" s="31" t="s">
        <v>4</v>
      </c>
      <c r="C130" s="36" t="s">
        <v>166</v>
      </c>
      <c r="D130" s="35" t="s">
        <v>229</v>
      </c>
      <c r="E130" s="31" t="s">
        <v>202</v>
      </c>
      <c r="F130" s="39">
        <v>0.94508280692254987</v>
      </c>
    </row>
    <row r="131" spans="1:6" x14ac:dyDescent="0.2">
      <c r="A131" s="31">
        <v>2016</v>
      </c>
      <c r="B131" s="31" t="s">
        <v>4</v>
      </c>
      <c r="C131" s="36" t="s">
        <v>166</v>
      </c>
      <c r="D131" s="35" t="s">
        <v>230</v>
      </c>
      <c r="E131" s="31" t="s">
        <v>202</v>
      </c>
      <c r="F131" s="39">
        <v>0.96274559712523333</v>
      </c>
    </row>
    <row r="132" spans="1:6" x14ac:dyDescent="0.2">
      <c r="A132" s="31">
        <v>2016</v>
      </c>
      <c r="B132" s="31" t="s">
        <v>4</v>
      </c>
      <c r="C132" s="36" t="s">
        <v>166</v>
      </c>
      <c r="D132" s="35" t="s">
        <v>186</v>
      </c>
      <c r="E132" s="31" t="s">
        <v>202</v>
      </c>
      <c r="F132" s="39">
        <v>0.9035828128524418</v>
      </c>
    </row>
    <row r="133" spans="1:6" x14ac:dyDescent="0.2">
      <c r="A133" s="31">
        <v>2016</v>
      </c>
      <c r="B133" s="31" t="s">
        <v>4</v>
      </c>
      <c r="C133" s="36" t="s">
        <v>167</v>
      </c>
      <c r="D133" s="35" t="s">
        <v>231</v>
      </c>
      <c r="E133" s="31" t="s">
        <v>202</v>
      </c>
      <c r="F133" s="39">
        <v>0.80518822006491675</v>
      </c>
    </row>
    <row r="134" spans="1:6" x14ac:dyDescent="0.2">
      <c r="A134" s="31">
        <v>2016</v>
      </c>
      <c r="B134" s="31" t="s">
        <v>4</v>
      </c>
      <c r="C134" s="36" t="s">
        <v>167</v>
      </c>
      <c r="D134" s="35" t="s">
        <v>232</v>
      </c>
      <c r="E134" s="31" t="s">
        <v>202</v>
      </c>
      <c r="F134" s="39">
        <v>0.96544706109126677</v>
      </c>
    </row>
    <row r="135" spans="1:6" x14ac:dyDescent="0.2">
      <c r="A135" s="31">
        <v>2016</v>
      </c>
      <c r="B135" s="31" t="s">
        <v>4</v>
      </c>
      <c r="C135" s="36" t="s">
        <v>167</v>
      </c>
      <c r="D135" s="35" t="s">
        <v>233</v>
      </c>
      <c r="E135" s="31" t="s">
        <v>202</v>
      </c>
      <c r="F135" s="39">
        <v>0.95221788536324159</v>
      </c>
    </row>
    <row r="136" spans="1:6" x14ac:dyDescent="0.2">
      <c r="A136" s="31">
        <v>2016</v>
      </c>
      <c r="B136" s="31" t="s">
        <v>4</v>
      </c>
      <c r="C136" s="36" t="s">
        <v>167</v>
      </c>
      <c r="D136" s="35" t="s">
        <v>234</v>
      </c>
      <c r="E136" s="31" t="s">
        <v>202</v>
      </c>
      <c r="F136" s="39">
        <v>0.93128256003319176</v>
      </c>
    </row>
    <row r="137" spans="1:6" x14ac:dyDescent="0.2">
      <c r="A137" s="31">
        <v>2016</v>
      </c>
      <c r="B137" s="31" t="s">
        <v>4</v>
      </c>
      <c r="C137" s="36" t="s">
        <v>167</v>
      </c>
      <c r="D137" s="35" t="s">
        <v>235</v>
      </c>
      <c r="E137" s="31" t="s">
        <v>202</v>
      </c>
      <c r="F137" s="39">
        <v>0.95093260876100849</v>
      </c>
    </row>
    <row r="138" spans="1:6" x14ac:dyDescent="0.2">
      <c r="A138" s="31">
        <v>2016</v>
      </c>
      <c r="B138" s="31" t="s">
        <v>4</v>
      </c>
      <c r="C138" s="36" t="s">
        <v>167</v>
      </c>
      <c r="D138" s="35" t="s">
        <v>236</v>
      </c>
      <c r="E138" s="31" t="s">
        <v>202</v>
      </c>
      <c r="F138" s="39">
        <v>0.92460627355994174</v>
      </c>
    </row>
    <row r="139" spans="1:6" x14ac:dyDescent="0.2">
      <c r="A139" s="31">
        <v>2016</v>
      </c>
      <c r="B139" s="31" t="s">
        <v>4</v>
      </c>
      <c r="C139" s="36" t="s">
        <v>168</v>
      </c>
      <c r="D139" s="35" t="s">
        <v>237</v>
      </c>
      <c r="E139" s="31" t="s">
        <v>202</v>
      </c>
      <c r="F139" s="39">
        <v>0.88570820492943325</v>
      </c>
    </row>
    <row r="140" spans="1:6" x14ac:dyDescent="0.2">
      <c r="A140" s="31">
        <v>2016</v>
      </c>
      <c r="B140" s="31" t="s">
        <v>4</v>
      </c>
      <c r="C140" s="36" t="s">
        <v>168</v>
      </c>
      <c r="D140" s="35" t="s">
        <v>238</v>
      </c>
      <c r="E140" s="31" t="s">
        <v>202</v>
      </c>
      <c r="F140" s="39">
        <v>0.96297848560210808</v>
      </c>
    </row>
    <row r="141" spans="1:6" x14ac:dyDescent="0.2">
      <c r="A141" s="31">
        <v>2016</v>
      </c>
      <c r="B141" s="31" t="s">
        <v>4</v>
      </c>
      <c r="C141" s="36" t="s">
        <v>169</v>
      </c>
      <c r="D141" s="35" t="s">
        <v>239</v>
      </c>
      <c r="E141" s="31" t="s">
        <v>202</v>
      </c>
      <c r="F141" s="39">
        <v>0.88759135287294999</v>
      </c>
    </row>
    <row r="142" spans="1:6" x14ac:dyDescent="0.2">
      <c r="A142" s="31">
        <v>2016</v>
      </c>
      <c r="B142" s="31" t="s">
        <v>4</v>
      </c>
      <c r="C142" s="36" t="s">
        <v>169</v>
      </c>
      <c r="D142" s="35" t="s">
        <v>240</v>
      </c>
      <c r="E142" s="31" t="s">
        <v>202</v>
      </c>
      <c r="F142" s="39">
        <v>0.85078839883745838</v>
      </c>
    </row>
    <row r="143" spans="1:6" x14ac:dyDescent="0.2">
      <c r="A143" s="31">
        <v>2016</v>
      </c>
      <c r="B143" s="31" t="s">
        <v>4</v>
      </c>
      <c r="C143" s="36" t="s">
        <v>169</v>
      </c>
      <c r="D143" s="35" t="s">
        <v>197</v>
      </c>
      <c r="E143" s="31" t="s">
        <v>202</v>
      </c>
      <c r="F143" s="39">
        <v>0.78176802013436664</v>
      </c>
    </row>
    <row r="144" spans="1:6" x14ac:dyDescent="0.2">
      <c r="A144" s="31">
        <v>2016</v>
      </c>
      <c r="B144" s="31" t="s">
        <v>4</v>
      </c>
      <c r="C144" s="36" t="s">
        <v>169</v>
      </c>
      <c r="D144" s="35" t="s">
        <v>198</v>
      </c>
      <c r="E144" s="31" t="s">
        <v>202</v>
      </c>
      <c r="F144" s="39">
        <v>0.86166251276121664</v>
      </c>
    </row>
    <row r="145" spans="1:6" x14ac:dyDescent="0.2">
      <c r="A145" s="31">
        <v>2016</v>
      </c>
      <c r="B145" s="31" t="s">
        <v>4</v>
      </c>
      <c r="C145" s="36" t="s">
        <v>170</v>
      </c>
      <c r="D145" s="35" t="s">
        <v>241</v>
      </c>
      <c r="E145" s="31" t="s">
        <v>202</v>
      </c>
      <c r="F145" s="39">
        <v>0.92956458177240819</v>
      </c>
    </row>
    <row r="146" spans="1:6" x14ac:dyDescent="0.2">
      <c r="A146" s="31">
        <v>2016</v>
      </c>
      <c r="B146" s="31" t="s">
        <v>4</v>
      </c>
      <c r="C146" s="36" t="s">
        <v>170</v>
      </c>
      <c r="D146" s="35" t="s">
        <v>242</v>
      </c>
      <c r="E146" s="31" t="s">
        <v>202</v>
      </c>
      <c r="F146" s="39">
        <v>0.93501232323209982</v>
      </c>
    </row>
    <row r="147" spans="1:6" x14ac:dyDescent="0.2">
      <c r="A147" s="31">
        <v>2016</v>
      </c>
      <c r="B147" s="31" t="s">
        <v>4</v>
      </c>
      <c r="C147" s="36" t="s">
        <v>170</v>
      </c>
      <c r="D147" s="35" t="s">
        <v>243</v>
      </c>
      <c r="E147" s="31" t="s">
        <v>202</v>
      </c>
      <c r="F147" s="39">
        <v>0.96104093750139175</v>
      </c>
    </row>
    <row r="148" spans="1:6" x14ac:dyDescent="0.2">
      <c r="A148" s="31">
        <v>2016</v>
      </c>
      <c r="B148" s="31" t="s">
        <v>4</v>
      </c>
      <c r="C148" s="33" t="s">
        <v>161</v>
      </c>
      <c r="D148" s="33" t="s">
        <v>172</v>
      </c>
      <c r="E148" s="31" t="s">
        <v>203</v>
      </c>
      <c r="F148" s="39">
        <v>2.8358314695431167E-2</v>
      </c>
    </row>
    <row r="149" spans="1:6" x14ac:dyDescent="0.2">
      <c r="A149" s="31">
        <v>2016</v>
      </c>
      <c r="B149" s="31" t="s">
        <v>4</v>
      </c>
      <c r="C149" s="36" t="s">
        <v>162</v>
      </c>
      <c r="D149" s="35" t="s">
        <v>223</v>
      </c>
      <c r="E149" s="31" t="s">
        <v>203</v>
      </c>
      <c r="F149" s="39">
        <v>5.6602912633027497E-2</v>
      </c>
    </row>
    <row r="150" spans="1:6" x14ac:dyDescent="0.2">
      <c r="A150" s="31">
        <v>2016</v>
      </c>
      <c r="B150" s="31" t="s">
        <v>4</v>
      </c>
      <c r="C150" s="36" t="s">
        <v>162</v>
      </c>
      <c r="D150" s="35" t="s">
        <v>224</v>
      </c>
      <c r="E150" s="31" t="s">
        <v>203</v>
      </c>
      <c r="F150" s="39">
        <v>0.11669318035680833</v>
      </c>
    </row>
    <row r="151" spans="1:6" x14ac:dyDescent="0.2">
      <c r="A151" s="31">
        <v>2016</v>
      </c>
      <c r="B151" s="31" t="s">
        <v>4</v>
      </c>
      <c r="C151" s="36" t="s">
        <v>162</v>
      </c>
      <c r="D151" s="35" t="s">
        <v>175</v>
      </c>
      <c r="E151" s="31" t="s">
        <v>203</v>
      </c>
      <c r="F151" s="39">
        <v>3.4011462704086663E-2</v>
      </c>
    </row>
    <row r="152" spans="1:6" x14ac:dyDescent="0.2">
      <c r="A152" s="31">
        <v>2016</v>
      </c>
      <c r="B152" s="31" t="s">
        <v>4</v>
      </c>
      <c r="C152" s="36" t="s">
        <v>162</v>
      </c>
      <c r="D152" s="35" t="s">
        <v>176</v>
      </c>
      <c r="E152" s="31" t="s">
        <v>203</v>
      </c>
      <c r="F152" s="39">
        <v>7.3703736513984167E-2</v>
      </c>
    </row>
    <row r="153" spans="1:6" x14ac:dyDescent="0.2">
      <c r="A153" s="31">
        <v>2016</v>
      </c>
      <c r="B153" s="31" t="s">
        <v>4</v>
      </c>
      <c r="C153" s="36" t="s">
        <v>163</v>
      </c>
      <c r="D153" s="35" t="s">
        <v>225</v>
      </c>
      <c r="E153" s="31" t="s">
        <v>203</v>
      </c>
      <c r="F153" s="39">
        <v>3.404533590227684E-2</v>
      </c>
    </row>
    <row r="154" spans="1:6" x14ac:dyDescent="0.2">
      <c r="A154" s="31">
        <v>2016</v>
      </c>
      <c r="B154" s="31" t="s">
        <v>4</v>
      </c>
      <c r="C154" s="36" t="s">
        <v>163</v>
      </c>
      <c r="D154" s="35" t="s">
        <v>226</v>
      </c>
      <c r="E154" s="31" t="s">
        <v>203</v>
      </c>
      <c r="F154" s="39">
        <v>1.5860370236735997E-2</v>
      </c>
    </row>
    <row r="155" spans="1:6" x14ac:dyDescent="0.2">
      <c r="A155" s="31">
        <v>2016</v>
      </c>
      <c r="B155" s="31" t="s">
        <v>4</v>
      </c>
      <c r="C155" s="36" t="s">
        <v>163</v>
      </c>
      <c r="D155" s="35" t="s">
        <v>227</v>
      </c>
      <c r="E155" s="31" t="s">
        <v>203</v>
      </c>
      <c r="F155" s="39">
        <v>1.3906409838838833E-2</v>
      </c>
    </row>
    <row r="156" spans="1:6" x14ac:dyDescent="0.2">
      <c r="A156" s="31">
        <v>2016</v>
      </c>
      <c r="B156" s="31" t="s">
        <v>4</v>
      </c>
      <c r="C156" s="36" t="s">
        <v>164</v>
      </c>
      <c r="D156" s="35" t="s">
        <v>180</v>
      </c>
      <c r="E156" s="31" t="s">
        <v>203</v>
      </c>
      <c r="F156" s="39">
        <v>4.9004079839577497E-2</v>
      </c>
    </row>
    <row r="157" spans="1:6" x14ac:dyDescent="0.2">
      <c r="A157" s="31">
        <v>2016</v>
      </c>
      <c r="B157" s="31" t="s">
        <v>4</v>
      </c>
      <c r="C157" s="36" t="s">
        <v>164</v>
      </c>
      <c r="D157" s="35" t="s">
        <v>181</v>
      </c>
      <c r="E157" s="31" t="s">
        <v>203</v>
      </c>
      <c r="F157" s="39">
        <v>3.4371089783944167E-2</v>
      </c>
    </row>
    <row r="158" spans="1:6" x14ac:dyDescent="0.2">
      <c r="A158" s="31">
        <v>2016</v>
      </c>
      <c r="B158" s="31" t="s">
        <v>4</v>
      </c>
      <c r="C158" s="36" t="s">
        <v>165</v>
      </c>
      <c r="D158" s="35" t="s">
        <v>228</v>
      </c>
      <c r="E158" s="31" t="s">
        <v>203</v>
      </c>
      <c r="F158" s="39">
        <v>3.3884918385049E-2</v>
      </c>
    </row>
    <row r="159" spans="1:6" x14ac:dyDescent="0.2">
      <c r="A159" s="31">
        <v>2016</v>
      </c>
      <c r="B159" s="31" t="s">
        <v>4</v>
      </c>
      <c r="C159" s="36" t="s">
        <v>165</v>
      </c>
      <c r="D159" s="35" t="s">
        <v>183</v>
      </c>
      <c r="E159" s="31" t="s">
        <v>203</v>
      </c>
      <c r="F159" s="39">
        <v>6.5902379725364169E-2</v>
      </c>
    </row>
    <row r="160" spans="1:6" x14ac:dyDescent="0.2">
      <c r="A160" s="31">
        <v>2016</v>
      </c>
      <c r="B160" s="31" t="s">
        <v>4</v>
      </c>
      <c r="C160" s="36" t="s">
        <v>166</v>
      </c>
      <c r="D160" s="35" t="s">
        <v>229</v>
      </c>
      <c r="E160" s="31" t="s">
        <v>203</v>
      </c>
      <c r="F160" s="39">
        <v>2.9693701980358918E-2</v>
      </c>
    </row>
    <row r="161" spans="1:6" x14ac:dyDescent="0.2">
      <c r="A161" s="31">
        <v>2016</v>
      </c>
      <c r="B161" s="31" t="s">
        <v>4</v>
      </c>
      <c r="C161" s="36" t="s">
        <v>166</v>
      </c>
      <c r="D161" s="35" t="s">
        <v>230</v>
      </c>
      <c r="E161" s="31" t="s">
        <v>203</v>
      </c>
      <c r="F161" s="39">
        <v>1.9010743122648666E-2</v>
      </c>
    </row>
    <row r="162" spans="1:6" x14ac:dyDescent="0.2">
      <c r="A162" s="31">
        <v>2016</v>
      </c>
      <c r="B162" s="31" t="s">
        <v>4</v>
      </c>
      <c r="C162" s="36" t="s">
        <v>166</v>
      </c>
      <c r="D162" s="35" t="s">
        <v>186</v>
      </c>
      <c r="E162" s="31" t="s">
        <v>203</v>
      </c>
      <c r="F162" s="39">
        <v>4.354982842929167E-2</v>
      </c>
    </row>
    <row r="163" spans="1:6" x14ac:dyDescent="0.2">
      <c r="A163" s="31">
        <v>2016</v>
      </c>
      <c r="B163" s="31" t="s">
        <v>4</v>
      </c>
      <c r="C163" s="36" t="s">
        <v>167</v>
      </c>
      <c r="D163" s="35" t="s">
        <v>231</v>
      </c>
      <c r="E163" s="31" t="s">
        <v>203</v>
      </c>
      <c r="F163" s="39">
        <v>0.14052964843689167</v>
      </c>
    </row>
    <row r="164" spans="1:6" x14ac:dyDescent="0.2">
      <c r="A164" s="31">
        <v>2016</v>
      </c>
      <c r="B164" s="31" t="s">
        <v>4</v>
      </c>
      <c r="C164" s="36" t="s">
        <v>167</v>
      </c>
      <c r="D164" s="35" t="s">
        <v>232</v>
      </c>
      <c r="E164" s="31" t="s">
        <v>203</v>
      </c>
      <c r="F164" s="39">
        <v>1.6522399712016581E-2</v>
      </c>
    </row>
    <row r="165" spans="1:6" x14ac:dyDescent="0.2">
      <c r="A165" s="31">
        <v>2016</v>
      </c>
      <c r="B165" s="31" t="s">
        <v>4</v>
      </c>
      <c r="C165" s="36" t="s">
        <v>167</v>
      </c>
      <c r="D165" s="35" t="s">
        <v>233</v>
      </c>
      <c r="E165" s="31" t="s">
        <v>203</v>
      </c>
      <c r="F165" s="39">
        <v>2.44814199731745E-2</v>
      </c>
    </row>
    <row r="166" spans="1:6" x14ac:dyDescent="0.2">
      <c r="A166" s="31">
        <v>2016</v>
      </c>
      <c r="B166" s="31" t="s">
        <v>4</v>
      </c>
      <c r="C166" s="36" t="s">
        <v>167</v>
      </c>
      <c r="D166" s="35" t="s">
        <v>234</v>
      </c>
      <c r="E166" s="31" t="s">
        <v>203</v>
      </c>
      <c r="F166" s="39">
        <v>4.4236644535524332E-2</v>
      </c>
    </row>
    <row r="167" spans="1:6" x14ac:dyDescent="0.2">
      <c r="A167" s="31">
        <v>2016</v>
      </c>
      <c r="B167" s="31" t="s">
        <v>4</v>
      </c>
      <c r="C167" s="36" t="s">
        <v>167</v>
      </c>
      <c r="D167" s="35" t="s">
        <v>235</v>
      </c>
      <c r="E167" s="31" t="s">
        <v>203</v>
      </c>
      <c r="F167" s="39">
        <v>2.2024211010756831E-2</v>
      </c>
    </row>
    <row r="168" spans="1:6" x14ac:dyDescent="0.2">
      <c r="A168" s="31">
        <v>2016</v>
      </c>
      <c r="B168" s="31" t="s">
        <v>4</v>
      </c>
      <c r="C168" s="36" t="s">
        <v>167</v>
      </c>
      <c r="D168" s="35" t="s">
        <v>236</v>
      </c>
      <c r="E168" s="31" t="s">
        <v>203</v>
      </c>
      <c r="F168" s="39">
        <v>3.7955702547055832E-2</v>
      </c>
    </row>
    <row r="169" spans="1:6" x14ac:dyDescent="0.2">
      <c r="A169" s="31">
        <v>2016</v>
      </c>
      <c r="B169" s="31" t="s">
        <v>4</v>
      </c>
      <c r="C169" s="36" t="s">
        <v>168</v>
      </c>
      <c r="D169" s="35" t="s">
        <v>237</v>
      </c>
      <c r="E169" s="31" t="s">
        <v>203</v>
      </c>
      <c r="F169" s="39">
        <v>6.6882400777535003E-2</v>
      </c>
    </row>
    <row r="170" spans="1:6" x14ac:dyDescent="0.2">
      <c r="A170" s="31">
        <v>2016</v>
      </c>
      <c r="B170" s="31" t="s">
        <v>4</v>
      </c>
      <c r="C170" s="36" t="s">
        <v>168</v>
      </c>
      <c r="D170" s="35" t="s">
        <v>238</v>
      </c>
      <c r="E170" s="31" t="s">
        <v>203</v>
      </c>
      <c r="F170" s="39">
        <v>1.5058540274124335E-2</v>
      </c>
    </row>
    <row r="171" spans="1:6" x14ac:dyDescent="0.2">
      <c r="A171" s="31">
        <v>2016</v>
      </c>
      <c r="B171" s="31" t="s">
        <v>4</v>
      </c>
      <c r="C171" s="36" t="s">
        <v>169</v>
      </c>
      <c r="D171" s="35" t="s">
        <v>239</v>
      </c>
      <c r="E171" s="31" t="s">
        <v>203</v>
      </c>
      <c r="F171" s="39">
        <v>6.7063692921427512E-2</v>
      </c>
    </row>
    <row r="172" spans="1:6" x14ac:dyDescent="0.2">
      <c r="A172" s="31">
        <v>2016</v>
      </c>
      <c r="B172" s="31" t="s">
        <v>4</v>
      </c>
      <c r="C172" s="36" t="s">
        <v>169</v>
      </c>
      <c r="D172" s="35" t="s">
        <v>240</v>
      </c>
      <c r="E172" s="31" t="s">
        <v>203</v>
      </c>
      <c r="F172" s="39">
        <v>7.8442449142516663E-2</v>
      </c>
    </row>
    <row r="173" spans="1:6" x14ac:dyDescent="0.2">
      <c r="A173" s="31">
        <v>2016</v>
      </c>
      <c r="B173" s="31" t="s">
        <v>4</v>
      </c>
      <c r="C173" s="36" t="s">
        <v>169</v>
      </c>
      <c r="D173" s="35" t="s">
        <v>197</v>
      </c>
      <c r="E173" s="31" t="s">
        <v>203</v>
      </c>
      <c r="F173" s="39">
        <v>0.12354643426769413</v>
      </c>
    </row>
    <row r="174" spans="1:6" x14ac:dyDescent="0.2">
      <c r="A174" s="31">
        <v>2016</v>
      </c>
      <c r="B174" s="31" t="s">
        <v>4</v>
      </c>
      <c r="C174" s="36" t="s">
        <v>169</v>
      </c>
      <c r="D174" s="35" t="s">
        <v>198</v>
      </c>
      <c r="E174" s="31" t="s">
        <v>203</v>
      </c>
      <c r="F174" s="39">
        <v>7.6901344423410012E-2</v>
      </c>
    </row>
    <row r="175" spans="1:6" x14ac:dyDescent="0.2">
      <c r="A175" s="31">
        <v>2016</v>
      </c>
      <c r="B175" s="31" t="s">
        <v>4</v>
      </c>
      <c r="C175" s="36" t="s">
        <v>170</v>
      </c>
      <c r="D175" s="35" t="s">
        <v>241</v>
      </c>
      <c r="E175" s="31" t="s">
        <v>203</v>
      </c>
      <c r="F175" s="39">
        <v>2.7521245652659246E-2</v>
      </c>
    </row>
    <row r="176" spans="1:6" x14ac:dyDescent="0.2">
      <c r="A176" s="31">
        <v>2016</v>
      </c>
      <c r="B176" s="31" t="s">
        <v>4</v>
      </c>
      <c r="C176" s="36" t="s">
        <v>170</v>
      </c>
      <c r="D176" s="35" t="s">
        <v>242</v>
      </c>
      <c r="E176" s="31" t="s">
        <v>203</v>
      </c>
      <c r="F176" s="39">
        <v>1.8001327204813084E-2</v>
      </c>
    </row>
    <row r="177" spans="1:6" x14ac:dyDescent="0.2">
      <c r="A177" s="31">
        <v>2016</v>
      </c>
      <c r="B177" s="31" t="s">
        <v>4</v>
      </c>
      <c r="C177" s="36" t="s">
        <v>170</v>
      </c>
      <c r="D177" s="35" t="s">
        <v>243</v>
      </c>
      <c r="E177" s="31" t="s">
        <v>203</v>
      </c>
      <c r="F177" s="39">
        <v>1.0742341042962582E-2</v>
      </c>
    </row>
  </sheetData>
  <autoFilter ref="A2:F177" xr:uid="{5C809FEC-2B64-7944-B4FC-5C1AFF9EE93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AB59-3C96-1241-8938-2E78595561D6}">
  <dimension ref="A1:C41"/>
  <sheetViews>
    <sheetView workbookViewId="0">
      <selection activeCell="A3" sqref="A3"/>
    </sheetView>
  </sheetViews>
  <sheetFormatPr baseColWidth="10" defaultRowHeight="16" x14ac:dyDescent="0.2"/>
  <cols>
    <col min="1" max="1" width="16" customWidth="1"/>
    <col min="3" max="3" width="21.83203125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t="s">
        <v>2</v>
      </c>
      <c r="B2">
        <v>2016</v>
      </c>
      <c r="C2" s="2">
        <v>0.89</v>
      </c>
    </row>
    <row r="3" spans="1:3" x14ac:dyDescent="0.2">
      <c r="A3" t="s">
        <v>2</v>
      </c>
      <c r="B3">
        <v>2017</v>
      </c>
      <c r="C3" s="2">
        <v>0.86</v>
      </c>
    </row>
    <row r="4" spans="1:3" x14ac:dyDescent="0.2">
      <c r="A4" t="s">
        <v>2</v>
      </c>
      <c r="B4">
        <v>2018</v>
      </c>
      <c r="C4" s="2">
        <v>0.89</v>
      </c>
    </row>
    <row r="5" spans="1:3" x14ac:dyDescent="0.2">
      <c r="A5" t="s">
        <v>2</v>
      </c>
      <c r="B5">
        <v>2019</v>
      </c>
      <c r="C5" s="2">
        <v>0.9</v>
      </c>
    </row>
    <row r="6" spans="1:3" x14ac:dyDescent="0.2">
      <c r="A6" t="s">
        <v>2</v>
      </c>
      <c r="B6">
        <v>2020</v>
      </c>
      <c r="C6" s="2">
        <v>0.93</v>
      </c>
    </row>
    <row r="7" spans="1:3" x14ac:dyDescent="0.2">
      <c r="A7" t="s">
        <v>2</v>
      </c>
      <c r="B7">
        <v>2021</v>
      </c>
      <c r="C7" s="2">
        <v>0.92</v>
      </c>
    </row>
    <row r="8" spans="1:3" x14ac:dyDescent="0.2">
      <c r="A8" t="s">
        <v>2</v>
      </c>
      <c r="B8">
        <v>2022</v>
      </c>
      <c r="C8" s="2">
        <v>0.9</v>
      </c>
    </row>
    <row r="9" spans="1:3" x14ac:dyDescent="0.2">
      <c r="A9" t="s">
        <v>2</v>
      </c>
      <c r="B9">
        <v>2023</v>
      </c>
      <c r="C9" s="2">
        <v>0.87</v>
      </c>
    </row>
    <row r="10" spans="1:3" x14ac:dyDescent="0.2">
      <c r="A10" t="s">
        <v>4</v>
      </c>
      <c r="B10">
        <v>2016</v>
      </c>
      <c r="C10" s="2">
        <v>0.89</v>
      </c>
    </row>
    <row r="11" spans="1:3" x14ac:dyDescent="0.2">
      <c r="A11" t="s">
        <v>4</v>
      </c>
      <c r="B11">
        <v>2017</v>
      </c>
      <c r="C11" s="2">
        <v>0.89</v>
      </c>
    </row>
    <row r="12" spans="1:3" x14ac:dyDescent="0.2">
      <c r="A12" t="s">
        <v>4</v>
      </c>
      <c r="B12">
        <v>2018</v>
      </c>
      <c r="C12" s="2">
        <v>0.91</v>
      </c>
    </row>
    <row r="13" spans="1:3" x14ac:dyDescent="0.2">
      <c r="A13" t="s">
        <v>4</v>
      </c>
      <c r="B13">
        <v>2019</v>
      </c>
      <c r="C13" s="2">
        <v>0.91</v>
      </c>
    </row>
    <row r="14" spans="1:3" x14ac:dyDescent="0.2">
      <c r="A14" t="s">
        <v>4</v>
      </c>
      <c r="B14">
        <v>2020</v>
      </c>
      <c r="C14" s="2">
        <v>0.93</v>
      </c>
    </row>
    <row r="15" spans="1:3" x14ac:dyDescent="0.2">
      <c r="A15" t="s">
        <v>4</v>
      </c>
      <c r="B15">
        <v>2021</v>
      </c>
      <c r="C15" s="2">
        <v>0.92</v>
      </c>
    </row>
    <row r="16" spans="1:3" x14ac:dyDescent="0.2">
      <c r="A16" t="s">
        <v>4</v>
      </c>
      <c r="B16">
        <v>2022</v>
      </c>
      <c r="C16" s="2">
        <v>0.9</v>
      </c>
    </row>
    <row r="17" spans="1:3" x14ac:dyDescent="0.2">
      <c r="A17" t="s">
        <v>4</v>
      </c>
      <c r="B17">
        <v>2023</v>
      </c>
      <c r="C17" s="2">
        <v>0.87</v>
      </c>
    </row>
    <row r="18" spans="1:3" x14ac:dyDescent="0.2">
      <c r="A18" t="s">
        <v>5</v>
      </c>
      <c r="B18">
        <v>2016</v>
      </c>
      <c r="C18" s="2">
        <v>0.97</v>
      </c>
    </row>
    <row r="19" spans="1:3" x14ac:dyDescent="0.2">
      <c r="A19" t="s">
        <v>5</v>
      </c>
      <c r="B19">
        <v>2017</v>
      </c>
      <c r="C19" s="2">
        <v>0.98</v>
      </c>
    </row>
    <row r="20" spans="1:3" x14ac:dyDescent="0.2">
      <c r="A20" t="s">
        <v>5</v>
      </c>
      <c r="B20">
        <v>2018</v>
      </c>
      <c r="C20" s="2">
        <v>0.98</v>
      </c>
    </row>
    <row r="21" spans="1:3" x14ac:dyDescent="0.2">
      <c r="A21" t="s">
        <v>5</v>
      </c>
      <c r="B21">
        <v>2019</v>
      </c>
      <c r="C21" s="2">
        <v>0.98</v>
      </c>
    </row>
    <row r="22" spans="1:3" x14ac:dyDescent="0.2">
      <c r="A22" t="s">
        <v>5</v>
      </c>
      <c r="B22">
        <v>2020</v>
      </c>
      <c r="C22" s="2">
        <v>0.99</v>
      </c>
    </row>
    <row r="23" spans="1:3" x14ac:dyDescent="0.2">
      <c r="A23" t="s">
        <v>5</v>
      </c>
      <c r="B23">
        <v>2021</v>
      </c>
      <c r="C23" s="2">
        <v>0.98</v>
      </c>
    </row>
    <row r="24" spans="1:3" x14ac:dyDescent="0.2">
      <c r="A24" t="s">
        <v>5</v>
      </c>
      <c r="B24">
        <v>2022</v>
      </c>
      <c r="C24" s="2">
        <v>0.98</v>
      </c>
    </row>
    <row r="25" spans="1:3" x14ac:dyDescent="0.2">
      <c r="A25" t="s">
        <v>5</v>
      </c>
      <c r="B25">
        <v>2023</v>
      </c>
      <c r="C25" s="2">
        <v>0.98</v>
      </c>
    </row>
    <row r="26" spans="1:3" x14ac:dyDescent="0.2">
      <c r="A26" t="s">
        <v>6</v>
      </c>
      <c r="B26">
        <v>2016</v>
      </c>
      <c r="C26" s="2">
        <v>0.9</v>
      </c>
    </row>
    <row r="27" spans="1:3" x14ac:dyDescent="0.2">
      <c r="A27" t="s">
        <v>6</v>
      </c>
      <c r="B27">
        <v>2017</v>
      </c>
      <c r="C27" s="2">
        <v>0.92</v>
      </c>
    </row>
    <row r="28" spans="1:3" x14ac:dyDescent="0.2">
      <c r="A28" t="s">
        <v>6</v>
      </c>
      <c r="B28">
        <v>2018</v>
      </c>
      <c r="C28" s="2">
        <v>0.91</v>
      </c>
    </row>
    <row r="29" spans="1:3" x14ac:dyDescent="0.2">
      <c r="A29" t="s">
        <v>6</v>
      </c>
      <c r="B29">
        <v>2019</v>
      </c>
      <c r="C29" s="2">
        <v>0.89</v>
      </c>
    </row>
    <row r="30" spans="1:3" x14ac:dyDescent="0.2">
      <c r="A30" t="s">
        <v>6</v>
      </c>
      <c r="B30">
        <v>2020</v>
      </c>
      <c r="C30" s="2">
        <v>0.93</v>
      </c>
    </row>
    <row r="31" spans="1:3" x14ac:dyDescent="0.2">
      <c r="A31" t="s">
        <v>6</v>
      </c>
      <c r="B31">
        <v>2021</v>
      </c>
      <c r="C31" s="2">
        <v>0.93</v>
      </c>
    </row>
    <row r="32" spans="1:3" x14ac:dyDescent="0.2">
      <c r="A32" t="s">
        <v>6</v>
      </c>
      <c r="B32">
        <v>2022</v>
      </c>
      <c r="C32" s="2">
        <v>0.93</v>
      </c>
    </row>
    <row r="33" spans="1:3" x14ac:dyDescent="0.2">
      <c r="A33" t="s">
        <v>6</v>
      </c>
      <c r="B33">
        <v>2023</v>
      </c>
      <c r="C33" s="2">
        <v>0.92</v>
      </c>
    </row>
    <row r="34" spans="1:3" x14ac:dyDescent="0.2">
      <c r="A34" t="s">
        <v>7</v>
      </c>
      <c r="B34">
        <v>2018</v>
      </c>
      <c r="C34" s="2">
        <v>0.95</v>
      </c>
    </row>
    <row r="35" spans="1:3" x14ac:dyDescent="0.2">
      <c r="A35" t="s">
        <v>7</v>
      </c>
      <c r="B35">
        <v>2019</v>
      </c>
      <c r="C35" s="2">
        <v>0.96</v>
      </c>
    </row>
    <row r="36" spans="1:3" x14ac:dyDescent="0.2">
      <c r="A36" t="s">
        <v>7</v>
      </c>
      <c r="B36">
        <v>2020</v>
      </c>
      <c r="C36" s="2">
        <v>0.98</v>
      </c>
    </row>
    <row r="37" spans="1:3" x14ac:dyDescent="0.2">
      <c r="A37" t="s">
        <v>7</v>
      </c>
      <c r="B37">
        <v>2021</v>
      </c>
      <c r="C37" s="2">
        <v>0.98</v>
      </c>
    </row>
    <row r="38" spans="1:3" x14ac:dyDescent="0.2">
      <c r="A38" t="s">
        <v>7</v>
      </c>
      <c r="B38">
        <v>2022</v>
      </c>
      <c r="C38" s="2">
        <v>0.99</v>
      </c>
    </row>
    <row r="39" spans="1:3" x14ac:dyDescent="0.2">
      <c r="A39" t="s">
        <v>7</v>
      </c>
      <c r="B39">
        <v>2023</v>
      </c>
      <c r="C39" s="2">
        <v>0.97</v>
      </c>
    </row>
    <row r="40" spans="1:3" x14ac:dyDescent="0.2">
      <c r="C40" s="2"/>
    </row>
    <row r="41" spans="1:3" x14ac:dyDescent="0.2">
      <c r="C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C7F3-8F7C-8447-936D-7C02FFC67A5D}">
  <dimension ref="A1:O69"/>
  <sheetViews>
    <sheetView tabSelected="1" topLeftCell="H1" workbookViewId="0">
      <selection activeCell="R29" sqref="R29"/>
    </sheetView>
  </sheetViews>
  <sheetFormatPr baseColWidth="10" defaultRowHeight="16" x14ac:dyDescent="0.2"/>
  <cols>
    <col min="4" max="4" width="13" bestFit="1" customWidth="1"/>
    <col min="5" max="5" width="22" bestFit="1" customWidth="1"/>
    <col min="6" max="7" width="22" customWidth="1"/>
    <col min="8" max="8" width="16.1640625" customWidth="1"/>
    <col min="13" max="13" width="13" bestFit="1" customWidth="1"/>
    <col min="14" max="14" width="32" bestFit="1" customWidth="1"/>
    <col min="15" max="15" width="28.33203125" bestFit="1" customWidth="1"/>
    <col min="17" max="17" width="23.83203125" bestFit="1" customWidth="1"/>
  </cols>
  <sheetData>
    <row r="1" spans="1:15" s="50" customFormat="1" x14ac:dyDescent="0.2">
      <c r="A1" s="50" t="s">
        <v>10</v>
      </c>
      <c r="B1" s="50" t="s">
        <v>11</v>
      </c>
      <c r="C1" s="50" t="s">
        <v>12</v>
      </c>
      <c r="D1" s="50" t="s">
        <v>13</v>
      </c>
      <c r="E1" s="50" t="s">
        <v>14</v>
      </c>
      <c r="F1" s="50" t="s">
        <v>9</v>
      </c>
      <c r="G1" s="50" t="s">
        <v>244</v>
      </c>
      <c r="H1" s="50" t="s">
        <v>15</v>
      </c>
      <c r="I1" s="50" t="s">
        <v>16</v>
      </c>
      <c r="K1" s="1"/>
      <c r="L1" s="1"/>
      <c r="M1" s="53" t="s">
        <v>248</v>
      </c>
      <c r="N1" t="s">
        <v>267</v>
      </c>
      <c r="O1" t="s">
        <v>268</v>
      </c>
    </row>
    <row r="2" spans="1:15" x14ac:dyDescent="0.2">
      <c r="A2">
        <v>2021</v>
      </c>
      <c r="B2" s="40" t="s">
        <v>17</v>
      </c>
      <c r="C2" t="s">
        <v>2</v>
      </c>
      <c r="D2" s="41" t="s">
        <v>18</v>
      </c>
      <c r="E2" s="42">
        <v>3.66</v>
      </c>
      <c r="F2" s="43">
        <v>118.5</v>
      </c>
      <c r="G2" s="42">
        <f>E2*($F$2/F2)</f>
        <v>3.66</v>
      </c>
      <c r="H2" s="44">
        <v>16.3</v>
      </c>
      <c r="I2" s="42">
        <v>50</v>
      </c>
      <c r="M2" s="54">
        <v>2021</v>
      </c>
      <c r="N2" s="4">
        <v>5.1623076923076923</v>
      </c>
      <c r="O2" s="4">
        <v>5.1623076923076923</v>
      </c>
    </row>
    <row r="3" spans="1:15" x14ac:dyDescent="0.2">
      <c r="A3">
        <v>2021</v>
      </c>
      <c r="B3" s="40" t="s">
        <v>17</v>
      </c>
      <c r="C3" t="s">
        <v>2</v>
      </c>
      <c r="D3" s="41" t="s">
        <v>19</v>
      </c>
      <c r="E3" s="42">
        <v>4.55</v>
      </c>
      <c r="F3" s="43">
        <v>118.5</v>
      </c>
      <c r="G3" s="42">
        <f t="shared" ref="G3:G66" si="0">E3*($F$2/F3)</f>
        <v>4.55</v>
      </c>
      <c r="H3" s="44">
        <v>16.3</v>
      </c>
      <c r="I3" s="42">
        <v>50</v>
      </c>
      <c r="M3" s="54">
        <v>2022</v>
      </c>
      <c r="N3" s="4">
        <v>4.3856250000000001</v>
      </c>
      <c r="O3" s="4">
        <v>4.2012656628940981</v>
      </c>
    </row>
    <row r="4" spans="1:15" x14ac:dyDescent="0.2">
      <c r="A4">
        <v>2021</v>
      </c>
      <c r="B4" s="40" t="s">
        <v>17</v>
      </c>
      <c r="C4" t="s">
        <v>2</v>
      </c>
      <c r="D4" s="45" t="s">
        <v>20</v>
      </c>
      <c r="E4" s="42">
        <v>5.23</v>
      </c>
      <c r="F4" s="43">
        <v>118.5</v>
      </c>
      <c r="G4" s="42">
        <f t="shared" si="0"/>
        <v>5.23</v>
      </c>
      <c r="H4" s="44">
        <v>16.3</v>
      </c>
      <c r="I4" s="42">
        <v>50</v>
      </c>
      <c r="M4" s="54">
        <v>2023</v>
      </c>
      <c r="N4" s="4">
        <v>5.6015384615384614</v>
      </c>
      <c r="O4" s="4">
        <v>5.0021274129036009</v>
      </c>
    </row>
    <row r="5" spans="1:15" x14ac:dyDescent="0.2">
      <c r="A5">
        <v>2021</v>
      </c>
      <c r="B5" s="40" t="s">
        <v>17</v>
      </c>
      <c r="C5" t="s">
        <v>2</v>
      </c>
      <c r="D5" s="45" t="s">
        <v>21</v>
      </c>
      <c r="E5" s="42">
        <v>6.99</v>
      </c>
      <c r="F5" s="43">
        <v>118.5</v>
      </c>
      <c r="G5" s="42">
        <f t="shared" si="0"/>
        <v>6.99</v>
      </c>
      <c r="H5" s="44">
        <v>16.3</v>
      </c>
      <c r="I5" s="42">
        <v>50</v>
      </c>
      <c r="M5" s="54">
        <v>2024</v>
      </c>
      <c r="N5" s="4">
        <v>5.8584615384615395</v>
      </c>
      <c r="O5" s="4">
        <v>5.041595441595442</v>
      </c>
    </row>
    <row r="6" spans="1:15" x14ac:dyDescent="0.2">
      <c r="A6">
        <v>2021</v>
      </c>
      <c r="B6" s="40" t="s">
        <v>17</v>
      </c>
      <c r="C6" t="s">
        <v>2</v>
      </c>
      <c r="D6" s="45" t="s">
        <v>22</v>
      </c>
      <c r="E6" s="42">
        <v>8.99</v>
      </c>
      <c r="F6" s="43">
        <v>118.5</v>
      </c>
      <c r="G6" s="42">
        <f t="shared" si="0"/>
        <v>8.99</v>
      </c>
      <c r="H6" s="44">
        <v>16.3</v>
      </c>
      <c r="I6" s="42">
        <v>50</v>
      </c>
      <c r="M6" s="54">
        <v>2025</v>
      </c>
      <c r="N6" s="4">
        <v>6.04</v>
      </c>
      <c r="O6" s="4">
        <v>5.0797728885734568</v>
      </c>
    </row>
    <row r="7" spans="1:15" x14ac:dyDescent="0.2">
      <c r="A7">
        <v>2021</v>
      </c>
      <c r="B7" s="40" t="s">
        <v>17</v>
      </c>
      <c r="C7" t="s">
        <v>4</v>
      </c>
      <c r="D7" s="41" t="s">
        <v>23</v>
      </c>
      <c r="E7" s="42">
        <v>3.2</v>
      </c>
      <c r="F7" s="43">
        <v>118.5</v>
      </c>
      <c r="G7" s="42">
        <f t="shared" si="0"/>
        <v>3.2</v>
      </c>
      <c r="H7" s="44">
        <v>16.3</v>
      </c>
      <c r="I7" s="42">
        <v>50</v>
      </c>
      <c r="M7" s="54" t="s">
        <v>250</v>
      </c>
      <c r="N7" s="4">
        <v>5.3644117647058831</v>
      </c>
      <c r="O7" s="4">
        <v>4.866701400974236</v>
      </c>
    </row>
    <row r="8" spans="1:15" x14ac:dyDescent="0.2">
      <c r="A8">
        <v>2021</v>
      </c>
      <c r="B8" s="40" t="s">
        <v>17</v>
      </c>
      <c r="C8" t="s">
        <v>4</v>
      </c>
      <c r="D8" s="41" t="s">
        <v>24</v>
      </c>
      <c r="E8" s="42">
        <v>3.79</v>
      </c>
      <c r="F8" s="43">
        <v>118.5</v>
      </c>
      <c r="G8" s="42">
        <f t="shared" si="0"/>
        <v>3.79</v>
      </c>
      <c r="H8" s="44">
        <v>16.3</v>
      </c>
      <c r="I8" s="42">
        <v>50</v>
      </c>
    </row>
    <row r="9" spans="1:15" x14ac:dyDescent="0.2">
      <c r="A9">
        <v>2021</v>
      </c>
      <c r="B9" s="40" t="s">
        <v>17</v>
      </c>
      <c r="C9" t="s">
        <v>4</v>
      </c>
      <c r="D9" s="45" t="s">
        <v>25</v>
      </c>
      <c r="E9" s="42">
        <v>4.87</v>
      </c>
      <c r="F9" s="43">
        <v>118.5</v>
      </c>
      <c r="G9" s="42">
        <f t="shared" si="0"/>
        <v>4.87</v>
      </c>
      <c r="H9" s="44">
        <v>16.3</v>
      </c>
      <c r="I9" s="42">
        <v>50</v>
      </c>
    </row>
    <row r="10" spans="1:15" x14ac:dyDescent="0.2">
      <c r="A10">
        <v>2021</v>
      </c>
      <c r="B10" s="40" t="s">
        <v>17</v>
      </c>
      <c r="C10" t="s">
        <v>26</v>
      </c>
      <c r="D10" s="41" t="s">
        <v>23</v>
      </c>
      <c r="E10" s="42">
        <v>3.2</v>
      </c>
      <c r="F10" s="43">
        <v>118.5</v>
      </c>
      <c r="G10" s="42">
        <f t="shared" si="0"/>
        <v>3.2</v>
      </c>
      <c r="H10" s="44">
        <v>16.3</v>
      </c>
      <c r="I10" s="42">
        <v>50</v>
      </c>
    </row>
    <row r="11" spans="1:15" x14ac:dyDescent="0.2">
      <c r="A11">
        <v>2021</v>
      </c>
      <c r="B11" s="40" t="s">
        <v>17</v>
      </c>
      <c r="C11" t="s">
        <v>26</v>
      </c>
      <c r="D11" s="41" t="s">
        <v>24</v>
      </c>
      <c r="E11" s="42">
        <v>3.79</v>
      </c>
      <c r="F11" s="43">
        <v>118.5</v>
      </c>
      <c r="G11" s="42">
        <f t="shared" si="0"/>
        <v>3.79</v>
      </c>
      <c r="H11" s="44">
        <v>16.3</v>
      </c>
      <c r="I11" s="42">
        <v>50</v>
      </c>
    </row>
    <row r="12" spans="1:15" x14ac:dyDescent="0.2">
      <c r="A12">
        <v>2021</v>
      </c>
      <c r="B12" s="40" t="s">
        <v>17</v>
      </c>
      <c r="C12" t="s">
        <v>26</v>
      </c>
      <c r="D12" s="45" t="s">
        <v>25</v>
      </c>
      <c r="E12" s="42">
        <v>4.87</v>
      </c>
      <c r="F12" s="43">
        <v>118.5</v>
      </c>
      <c r="G12" s="42">
        <f t="shared" si="0"/>
        <v>4.87</v>
      </c>
      <c r="H12" s="44">
        <v>16.3</v>
      </c>
      <c r="I12" s="42">
        <v>50</v>
      </c>
    </row>
    <row r="13" spans="1:15" x14ac:dyDescent="0.2">
      <c r="A13">
        <v>2021</v>
      </c>
      <c r="B13" s="40" t="s">
        <v>17</v>
      </c>
      <c r="C13" t="s">
        <v>8</v>
      </c>
      <c r="D13" s="41" t="s">
        <v>27</v>
      </c>
      <c r="E13" s="42">
        <v>6.21</v>
      </c>
      <c r="F13" s="43">
        <v>118.5</v>
      </c>
      <c r="G13" s="42">
        <f t="shared" si="0"/>
        <v>6.21</v>
      </c>
      <c r="H13" s="44">
        <v>16.3</v>
      </c>
      <c r="I13" s="42">
        <v>50</v>
      </c>
    </row>
    <row r="14" spans="1:15" x14ac:dyDescent="0.2">
      <c r="A14">
        <v>2021</v>
      </c>
      <c r="B14" s="40" t="s">
        <v>17</v>
      </c>
      <c r="C14" t="s">
        <v>8</v>
      </c>
      <c r="D14" s="45" t="s">
        <v>28</v>
      </c>
      <c r="E14" s="42">
        <v>7.76</v>
      </c>
      <c r="F14" s="43">
        <v>118.5</v>
      </c>
      <c r="G14" s="42">
        <f t="shared" si="0"/>
        <v>7.76</v>
      </c>
      <c r="H14" s="44">
        <v>16.3</v>
      </c>
      <c r="I14" s="42">
        <v>50</v>
      </c>
    </row>
    <row r="15" spans="1:15" x14ac:dyDescent="0.2">
      <c r="A15">
        <v>2022</v>
      </c>
      <c r="B15" s="40" t="s">
        <v>17</v>
      </c>
      <c r="C15" t="s">
        <v>2</v>
      </c>
      <c r="D15" s="41" t="s">
        <v>18</v>
      </c>
      <c r="E15" s="46">
        <v>3.79</v>
      </c>
      <c r="F15" s="47">
        <v>123.7</v>
      </c>
      <c r="G15" s="42">
        <f t="shared" si="0"/>
        <v>3.6306790622473724</v>
      </c>
      <c r="H15" s="48">
        <v>16.8</v>
      </c>
      <c r="I15" s="42">
        <v>50</v>
      </c>
    </row>
    <row r="16" spans="1:15" x14ac:dyDescent="0.2">
      <c r="A16">
        <v>2022</v>
      </c>
      <c r="B16" s="40" t="s">
        <v>17</v>
      </c>
      <c r="C16" t="s">
        <v>2</v>
      </c>
      <c r="D16" s="41" t="s">
        <v>19</v>
      </c>
      <c r="E16" s="46">
        <v>4.71</v>
      </c>
      <c r="F16" s="47">
        <v>123.7</v>
      </c>
      <c r="G16" s="42">
        <f t="shared" si="0"/>
        <v>4.5120048504446242</v>
      </c>
      <c r="H16" s="48">
        <v>16.8</v>
      </c>
      <c r="I16" s="42">
        <v>50</v>
      </c>
    </row>
    <row r="17" spans="1:15" x14ac:dyDescent="0.2">
      <c r="A17">
        <v>2022</v>
      </c>
      <c r="B17" s="40" t="s">
        <v>17</v>
      </c>
      <c r="C17" t="s">
        <v>2</v>
      </c>
      <c r="D17" s="45" t="s">
        <v>20</v>
      </c>
      <c r="E17" s="46">
        <v>5.42</v>
      </c>
      <c r="F17" s="47">
        <v>123.7</v>
      </c>
      <c r="G17" s="42">
        <f t="shared" si="0"/>
        <v>5.1921584478577198</v>
      </c>
      <c r="H17" s="48">
        <v>16.8</v>
      </c>
      <c r="I17" s="42">
        <v>50</v>
      </c>
    </row>
    <row r="18" spans="1:15" x14ac:dyDescent="0.2">
      <c r="A18">
        <v>2022</v>
      </c>
      <c r="B18" s="40" t="s">
        <v>17</v>
      </c>
      <c r="C18" t="s">
        <v>2</v>
      </c>
      <c r="D18" s="45" t="s">
        <v>21</v>
      </c>
      <c r="E18" s="46">
        <v>7.24</v>
      </c>
      <c r="F18" s="47">
        <v>123.7</v>
      </c>
      <c r="G18" s="42">
        <f t="shared" si="0"/>
        <v>6.9356507679870649</v>
      </c>
      <c r="H18" s="48">
        <v>16.8</v>
      </c>
      <c r="I18" s="42">
        <v>50</v>
      </c>
    </row>
    <row r="19" spans="1:15" x14ac:dyDescent="0.2">
      <c r="A19">
        <v>2022</v>
      </c>
      <c r="B19" s="40" t="s">
        <v>17</v>
      </c>
      <c r="C19" t="s">
        <v>2</v>
      </c>
      <c r="D19" s="45" t="s">
        <v>22</v>
      </c>
      <c r="E19" s="46">
        <v>9.31</v>
      </c>
      <c r="F19" s="47">
        <v>123.7</v>
      </c>
      <c r="G19" s="42">
        <f t="shared" si="0"/>
        <v>8.9186337914308815</v>
      </c>
      <c r="H19" s="48">
        <v>16.8</v>
      </c>
      <c r="I19" s="42">
        <v>50</v>
      </c>
      <c r="O19" s="3"/>
    </row>
    <row r="20" spans="1:15" x14ac:dyDescent="0.2">
      <c r="A20">
        <v>2022</v>
      </c>
      <c r="B20" s="40" t="s">
        <v>17</v>
      </c>
      <c r="C20" t="s">
        <v>4</v>
      </c>
      <c r="D20" s="49" t="s">
        <v>23</v>
      </c>
      <c r="E20" s="46">
        <v>3.2</v>
      </c>
      <c r="F20" s="47">
        <v>123.7</v>
      </c>
      <c r="G20" s="42">
        <f t="shared" si="0"/>
        <v>3.0654810024252224</v>
      </c>
      <c r="H20" s="48">
        <v>16.8</v>
      </c>
      <c r="I20" s="42">
        <v>50</v>
      </c>
      <c r="O20" s="3"/>
    </row>
    <row r="21" spans="1:15" x14ac:dyDescent="0.2">
      <c r="A21">
        <v>2022</v>
      </c>
      <c r="B21" s="40" t="s">
        <v>17</v>
      </c>
      <c r="C21" t="s">
        <v>4</v>
      </c>
      <c r="D21" s="49" t="s">
        <v>24</v>
      </c>
      <c r="E21" s="46">
        <v>3.93</v>
      </c>
      <c r="F21" s="47">
        <v>123.7</v>
      </c>
      <c r="G21" s="42">
        <f t="shared" si="0"/>
        <v>3.7647938561034762</v>
      </c>
      <c r="H21" s="48">
        <v>16.8</v>
      </c>
      <c r="I21" s="42">
        <v>50</v>
      </c>
      <c r="N21" s="4"/>
      <c r="O21" s="3"/>
    </row>
    <row r="22" spans="1:15" x14ac:dyDescent="0.2">
      <c r="A22">
        <v>2022</v>
      </c>
      <c r="B22" s="40" t="s">
        <v>17</v>
      </c>
      <c r="C22" t="s">
        <v>4</v>
      </c>
      <c r="D22" t="s">
        <v>25</v>
      </c>
      <c r="E22" s="46">
        <v>5.05</v>
      </c>
      <c r="F22" s="47">
        <v>123.7</v>
      </c>
      <c r="G22" s="42">
        <f t="shared" si="0"/>
        <v>4.8377122069523031</v>
      </c>
      <c r="H22" s="48">
        <v>16.8</v>
      </c>
      <c r="I22" s="42">
        <v>50</v>
      </c>
      <c r="N22" s="4"/>
      <c r="O22" s="3"/>
    </row>
    <row r="23" spans="1:15" x14ac:dyDescent="0.2">
      <c r="A23">
        <v>2022</v>
      </c>
      <c r="B23" s="40" t="s">
        <v>17</v>
      </c>
      <c r="C23" t="s">
        <v>26</v>
      </c>
      <c r="D23" s="49" t="s">
        <v>23</v>
      </c>
      <c r="E23" s="46">
        <v>3.2</v>
      </c>
      <c r="F23" s="47">
        <v>123.7</v>
      </c>
      <c r="G23" s="42">
        <f t="shared" si="0"/>
        <v>3.0654810024252224</v>
      </c>
      <c r="H23" s="48">
        <v>16.8</v>
      </c>
      <c r="I23" s="42">
        <v>50</v>
      </c>
      <c r="N23" s="4"/>
      <c r="O23" s="3"/>
    </row>
    <row r="24" spans="1:15" x14ac:dyDescent="0.2">
      <c r="A24">
        <v>2022</v>
      </c>
      <c r="B24" s="40" t="s">
        <v>17</v>
      </c>
      <c r="C24" t="s">
        <v>26</v>
      </c>
      <c r="D24" s="49" t="s">
        <v>24</v>
      </c>
      <c r="E24" s="46">
        <v>3.93</v>
      </c>
      <c r="F24" s="47">
        <v>123.7</v>
      </c>
      <c r="G24" s="42">
        <f t="shared" si="0"/>
        <v>3.7647938561034762</v>
      </c>
      <c r="H24" s="48">
        <v>16.8</v>
      </c>
      <c r="I24" s="42">
        <v>50</v>
      </c>
      <c r="N24" s="4"/>
      <c r="O24" s="3"/>
    </row>
    <row r="25" spans="1:15" x14ac:dyDescent="0.2">
      <c r="A25">
        <v>2022</v>
      </c>
      <c r="B25" s="40" t="s">
        <v>17</v>
      </c>
      <c r="C25" t="s">
        <v>26</v>
      </c>
      <c r="D25" t="s">
        <v>25</v>
      </c>
      <c r="E25" s="46">
        <v>5.05</v>
      </c>
      <c r="F25" s="47">
        <v>123.7</v>
      </c>
      <c r="G25" s="42">
        <f t="shared" si="0"/>
        <v>4.8377122069523031</v>
      </c>
      <c r="H25" s="48">
        <v>16.8</v>
      </c>
      <c r="I25" s="42">
        <v>50</v>
      </c>
      <c r="N25" s="4"/>
      <c r="O25" s="3"/>
    </row>
    <row r="26" spans="1:15" x14ac:dyDescent="0.2">
      <c r="A26">
        <v>2022</v>
      </c>
      <c r="B26" s="40" t="s">
        <v>17</v>
      </c>
      <c r="C26" t="s">
        <v>26</v>
      </c>
      <c r="D26" s="49" t="s">
        <v>23</v>
      </c>
      <c r="E26" s="46">
        <v>2.2400000000000002</v>
      </c>
      <c r="F26" s="47">
        <v>123.7</v>
      </c>
      <c r="G26" s="42">
        <f t="shared" si="0"/>
        <v>2.1458367016976556</v>
      </c>
      <c r="H26" s="48">
        <v>16.8</v>
      </c>
      <c r="I26" s="42">
        <v>50</v>
      </c>
      <c r="O26" s="3"/>
    </row>
    <row r="27" spans="1:15" x14ac:dyDescent="0.2">
      <c r="A27">
        <v>2022</v>
      </c>
      <c r="B27" s="40" t="s">
        <v>17</v>
      </c>
      <c r="C27" t="s">
        <v>26</v>
      </c>
      <c r="D27" s="49" t="s">
        <v>24</v>
      </c>
      <c r="E27" s="46">
        <v>2.75</v>
      </c>
      <c r="F27" s="47">
        <v>123.7</v>
      </c>
      <c r="G27" s="42">
        <f t="shared" si="0"/>
        <v>2.6343977364591753</v>
      </c>
      <c r="H27" s="48">
        <v>16.8</v>
      </c>
      <c r="I27" s="42">
        <v>50</v>
      </c>
      <c r="O27" s="3"/>
    </row>
    <row r="28" spans="1:15" x14ac:dyDescent="0.2">
      <c r="A28">
        <v>2022</v>
      </c>
      <c r="B28" s="40" t="s">
        <v>17</v>
      </c>
      <c r="C28" t="s">
        <v>26</v>
      </c>
      <c r="D28" s="49" t="s">
        <v>23</v>
      </c>
      <c r="E28" s="46">
        <v>2.72</v>
      </c>
      <c r="F28" s="47">
        <v>123.7</v>
      </c>
      <c r="G28" s="42">
        <f t="shared" si="0"/>
        <v>2.6056588520614388</v>
      </c>
      <c r="H28" s="48">
        <v>16.8</v>
      </c>
      <c r="I28" s="42">
        <v>50</v>
      </c>
      <c r="O28" s="3"/>
    </row>
    <row r="29" spans="1:15" x14ac:dyDescent="0.2">
      <c r="A29">
        <v>2022</v>
      </c>
      <c r="B29" s="40" t="s">
        <v>17</v>
      </c>
      <c r="C29" t="s">
        <v>26</v>
      </c>
      <c r="D29" s="49" t="s">
        <v>24</v>
      </c>
      <c r="E29" s="46">
        <v>3.34</v>
      </c>
      <c r="F29" s="47">
        <v>123.7</v>
      </c>
      <c r="G29" s="42">
        <f t="shared" si="0"/>
        <v>3.1995957962813253</v>
      </c>
      <c r="H29" s="48">
        <v>16.8</v>
      </c>
      <c r="I29" s="42">
        <v>50</v>
      </c>
      <c r="O29" s="3"/>
    </row>
    <row r="30" spans="1:15" x14ac:dyDescent="0.2">
      <c r="A30">
        <v>2022</v>
      </c>
      <c r="B30" s="40" t="s">
        <v>17</v>
      </c>
      <c r="C30" t="s">
        <v>26</v>
      </c>
      <c r="D30" s="49" t="s">
        <v>25</v>
      </c>
      <c r="E30" s="46">
        <v>4.29</v>
      </c>
      <c r="F30" s="47">
        <v>123.7</v>
      </c>
      <c r="G30" s="42">
        <f t="shared" si="0"/>
        <v>4.1096604688763136</v>
      </c>
      <c r="H30" s="48">
        <v>16.8</v>
      </c>
      <c r="I30" s="42">
        <v>50</v>
      </c>
      <c r="O30" s="3"/>
    </row>
    <row r="31" spans="1:15" x14ac:dyDescent="0.2">
      <c r="A31">
        <v>2023</v>
      </c>
      <c r="B31" s="40" t="s">
        <v>17</v>
      </c>
      <c r="C31" t="s">
        <v>2</v>
      </c>
      <c r="D31" s="41" t="s">
        <v>18</v>
      </c>
      <c r="E31" s="46">
        <v>4</v>
      </c>
      <c r="F31" s="47">
        <v>132.69999999999999</v>
      </c>
      <c r="G31" s="42">
        <f t="shared" si="0"/>
        <v>3.5719668425018845</v>
      </c>
      <c r="H31" s="48">
        <v>17.8</v>
      </c>
      <c r="I31" s="42">
        <v>50</v>
      </c>
      <c r="O31" s="3"/>
    </row>
    <row r="32" spans="1:15" x14ac:dyDescent="0.2">
      <c r="A32">
        <v>2023</v>
      </c>
      <c r="B32" s="40" t="s">
        <v>17</v>
      </c>
      <c r="C32" t="s">
        <v>2</v>
      </c>
      <c r="D32" s="41" t="s">
        <v>19</v>
      </c>
      <c r="E32" s="46">
        <v>4.97</v>
      </c>
      <c r="F32" s="47">
        <v>132.69999999999999</v>
      </c>
      <c r="G32" s="42">
        <f t="shared" si="0"/>
        <v>4.4381688018085912</v>
      </c>
      <c r="H32" s="48">
        <v>17.8</v>
      </c>
      <c r="I32" s="42">
        <v>50</v>
      </c>
      <c r="N32" s="4"/>
      <c r="O32" s="3"/>
    </row>
    <row r="33" spans="1:15" x14ac:dyDescent="0.2">
      <c r="A33">
        <v>2023</v>
      </c>
      <c r="B33" s="40" t="s">
        <v>17</v>
      </c>
      <c r="C33" t="s">
        <v>2</v>
      </c>
      <c r="D33" s="45" t="s">
        <v>20</v>
      </c>
      <c r="E33" s="46">
        <v>5.72</v>
      </c>
      <c r="F33" s="47">
        <v>132.69999999999999</v>
      </c>
      <c r="G33" s="42">
        <f t="shared" si="0"/>
        <v>5.1079125847776945</v>
      </c>
      <c r="H33" s="48">
        <v>17.8</v>
      </c>
      <c r="I33" s="42">
        <v>50</v>
      </c>
      <c r="N33" s="4"/>
      <c r="O33" s="3"/>
    </row>
    <row r="34" spans="1:15" x14ac:dyDescent="0.2">
      <c r="A34">
        <v>2023</v>
      </c>
      <c r="B34" s="40" t="s">
        <v>17</v>
      </c>
      <c r="C34" t="s">
        <v>2</v>
      </c>
      <c r="D34" s="45" t="s">
        <v>21</v>
      </c>
      <c r="E34" s="46">
        <v>7.65</v>
      </c>
      <c r="F34" s="47">
        <v>132.69999999999999</v>
      </c>
      <c r="G34" s="42">
        <f t="shared" si="0"/>
        <v>6.8313865862848546</v>
      </c>
      <c r="H34" s="48">
        <v>17.8</v>
      </c>
      <c r="I34" s="42">
        <v>50</v>
      </c>
    </row>
    <row r="35" spans="1:15" x14ac:dyDescent="0.2">
      <c r="A35">
        <v>2023</v>
      </c>
      <c r="B35" s="40" t="s">
        <v>17</v>
      </c>
      <c r="C35" t="s">
        <v>2</v>
      </c>
      <c r="D35" s="45" t="s">
        <v>22</v>
      </c>
      <c r="E35" s="46">
        <v>9.84</v>
      </c>
      <c r="F35" s="47">
        <v>132.69999999999999</v>
      </c>
      <c r="G35" s="42">
        <f t="shared" si="0"/>
        <v>8.7870384325546365</v>
      </c>
      <c r="H35" s="48">
        <v>17.8</v>
      </c>
      <c r="I35" s="42">
        <v>50</v>
      </c>
    </row>
    <row r="36" spans="1:15" x14ac:dyDescent="0.2">
      <c r="A36">
        <v>2023</v>
      </c>
      <c r="B36" s="40" t="s">
        <v>17</v>
      </c>
      <c r="C36" t="s">
        <v>4</v>
      </c>
      <c r="D36" s="41" t="s">
        <v>23</v>
      </c>
      <c r="E36" s="46">
        <v>3.2</v>
      </c>
      <c r="F36" s="47">
        <v>132.69999999999999</v>
      </c>
      <c r="G36" s="42">
        <f t="shared" si="0"/>
        <v>2.8575734740015077</v>
      </c>
      <c r="H36" s="48">
        <v>17.8</v>
      </c>
      <c r="I36" s="42">
        <v>50</v>
      </c>
    </row>
    <row r="37" spans="1:15" x14ac:dyDescent="0.2">
      <c r="A37">
        <v>2023</v>
      </c>
      <c r="B37" s="40" t="s">
        <v>17</v>
      </c>
      <c r="C37" t="s">
        <v>4</v>
      </c>
      <c r="D37" s="41" t="s">
        <v>24</v>
      </c>
      <c r="E37" s="46">
        <v>4.1500000000000004</v>
      </c>
      <c r="F37" s="47">
        <v>132.69999999999999</v>
      </c>
      <c r="G37" s="42">
        <f t="shared" si="0"/>
        <v>3.7059155990957056</v>
      </c>
      <c r="H37" s="48">
        <v>17.8</v>
      </c>
      <c r="I37" s="42">
        <v>50</v>
      </c>
    </row>
    <row r="38" spans="1:15" x14ac:dyDescent="0.2">
      <c r="A38">
        <v>2023</v>
      </c>
      <c r="B38" s="40" t="s">
        <v>17</v>
      </c>
      <c r="C38" t="s">
        <v>4</v>
      </c>
      <c r="D38" s="45" t="s">
        <v>25</v>
      </c>
      <c r="E38" s="46">
        <v>5.33</v>
      </c>
      <c r="F38" s="47">
        <v>132.69999999999999</v>
      </c>
      <c r="G38" s="42">
        <f t="shared" si="0"/>
        <v>4.7596458176337615</v>
      </c>
      <c r="H38" s="48">
        <v>17.8</v>
      </c>
      <c r="I38" s="42">
        <v>50</v>
      </c>
    </row>
    <row r="39" spans="1:15" x14ac:dyDescent="0.2">
      <c r="A39">
        <v>2023</v>
      </c>
      <c r="B39" s="40" t="s">
        <v>17</v>
      </c>
      <c r="C39" t="s">
        <v>26</v>
      </c>
      <c r="D39" s="41" t="s">
        <v>23</v>
      </c>
      <c r="E39" s="46">
        <v>3.2</v>
      </c>
      <c r="F39" s="47">
        <v>132.69999999999999</v>
      </c>
      <c r="G39" s="42">
        <f t="shared" si="0"/>
        <v>2.8575734740015077</v>
      </c>
      <c r="H39" s="48">
        <v>17.8</v>
      </c>
      <c r="I39" s="42">
        <v>50</v>
      </c>
    </row>
    <row r="40" spans="1:15" x14ac:dyDescent="0.2">
      <c r="A40">
        <v>2023</v>
      </c>
      <c r="B40" s="40" t="s">
        <v>17</v>
      </c>
      <c r="C40" t="s">
        <v>26</v>
      </c>
      <c r="D40" s="41" t="s">
        <v>24</v>
      </c>
      <c r="E40" s="46">
        <v>4.1500000000000004</v>
      </c>
      <c r="F40" s="47">
        <v>132.69999999999999</v>
      </c>
      <c r="G40" s="42">
        <f t="shared" si="0"/>
        <v>3.7059155990957056</v>
      </c>
      <c r="H40" s="48">
        <v>17.8</v>
      </c>
      <c r="I40" s="42">
        <v>50</v>
      </c>
    </row>
    <row r="41" spans="1:15" x14ac:dyDescent="0.2">
      <c r="A41">
        <v>2023</v>
      </c>
      <c r="B41" s="40" t="s">
        <v>17</v>
      </c>
      <c r="C41" t="s">
        <v>26</v>
      </c>
      <c r="D41" s="45" t="s">
        <v>25</v>
      </c>
      <c r="E41" s="46">
        <v>5.33</v>
      </c>
      <c r="F41" s="47">
        <v>132.69999999999999</v>
      </c>
      <c r="G41" s="42">
        <f t="shared" si="0"/>
        <v>4.7596458176337615</v>
      </c>
      <c r="H41" s="48">
        <v>17.8</v>
      </c>
      <c r="I41" s="42">
        <v>50</v>
      </c>
    </row>
    <row r="42" spans="1:15" x14ac:dyDescent="0.2">
      <c r="A42">
        <v>2023</v>
      </c>
      <c r="B42" s="40" t="s">
        <v>17</v>
      </c>
      <c r="C42" t="s">
        <v>8</v>
      </c>
      <c r="D42" s="41" t="s">
        <v>27</v>
      </c>
      <c r="E42" s="46">
        <v>6.79</v>
      </c>
      <c r="F42" s="47">
        <v>132.69999999999999</v>
      </c>
      <c r="G42" s="42">
        <f t="shared" si="0"/>
        <v>6.0634137151469485</v>
      </c>
      <c r="H42" s="48">
        <v>17.8</v>
      </c>
      <c r="I42" s="42">
        <v>50</v>
      </c>
    </row>
    <row r="43" spans="1:15" x14ac:dyDescent="0.2">
      <c r="A43">
        <v>2023</v>
      </c>
      <c r="B43" s="40" t="s">
        <v>17</v>
      </c>
      <c r="C43" t="s">
        <v>8</v>
      </c>
      <c r="D43" s="45" t="s">
        <v>28</v>
      </c>
      <c r="E43" s="46">
        <v>8.49</v>
      </c>
      <c r="F43" s="47">
        <v>132.69999999999999</v>
      </c>
      <c r="G43" s="42">
        <f t="shared" si="0"/>
        <v>7.5814996232102496</v>
      </c>
      <c r="H43" s="48">
        <v>17.8</v>
      </c>
      <c r="I43" s="42">
        <v>50</v>
      </c>
    </row>
    <row r="44" spans="1:15" x14ac:dyDescent="0.2">
      <c r="A44">
        <v>2024</v>
      </c>
      <c r="B44" s="40" t="s">
        <v>17</v>
      </c>
      <c r="C44" t="s">
        <v>2</v>
      </c>
      <c r="D44" s="41" t="s">
        <v>18</v>
      </c>
      <c r="E44" s="46">
        <v>4.2</v>
      </c>
      <c r="F44" s="47">
        <v>137.69999999999999</v>
      </c>
      <c r="G44" s="42">
        <f t="shared" si="0"/>
        <v>3.6143790849673207</v>
      </c>
      <c r="H44" s="48">
        <v>18.7</v>
      </c>
      <c r="I44" s="42">
        <v>50</v>
      </c>
    </row>
    <row r="45" spans="1:15" x14ac:dyDescent="0.2">
      <c r="A45">
        <v>2024</v>
      </c>
      <c r="B45" s="40" t="s">
        <v>17</v>
      </c>
      <c r="C45" t="s">
        <v>2</v>
      </c>
      <c r="D45" s="41" t="s">
        <v>19</v>
      </c>
      <c r="E45" s="46">
        <v>5.22</v>
      </c>
      <c r="F45" s="47">
        <v>137.69999999999999</v>
      </c>
      <c r="G45" s="42">
        <f t="shared" si="0"/>
        <v>4.4921568627450981</v>
      </c>
      <c r="H45" s="48">
        <v>18.7</v>
      </c>
      <c r="I45" s="42">
        <v>50</v>
      </c>
    </row>
    <row r="46" spans="1:15" x14ac:dyDescent="0.2">
      <c r="A46">
        <v>2024</v>
      </c>
      <c r="B46" s="40" t="s">
        <v>17</v>
      </c>
      <c r="C46" t="s">
        <v>2</v>
      </c>
      <c r="D46" s="45" t="s">
        <v>20</v>
      </c>
      <c r="E46" s="46">
        <v>6.01</v>
      </c>
      <c r="F46" s="47">
        <v>137.69999999999999</v>
      </c>
      <c r="G46" s="42">
        <f t="shared" si="0"/>
        <v>5.1720043572984755</v>
      </c>
      <c r="H46" s="48">
        <v>18.7</v>
      </c>
      <c r="I46" s="42">
        <v>50</v>
      </c>
    </row>
    <row r="47" spans="1:15" x14ac:dyDescent="0.2">
      <c r="A47">
        <v>2024</v>
      </c>
      <c r="B47" s="40" t="s">
        <v>17</v>
      </c>
      <c r="C47" t="s">
        <v>2</v>
      </c>
      <c r="D47" s="45" t="s">
        <v>21</v>
      </c>
      <c r="E47" s="46">
        <v>8.0299999999999994</v>
      </c>
      <c r="F47" s="47">
        <v>137.69999999999999</v>
      </c>
      <c r="G47" s="42">
        <f t="shared" si="0"/>
        <v>6.9103485838779957</v>
      </c>
      <c r="H47" s="48">
        <v>18.7</v>
      </c>
      <c r="I47" s="42">
        <v>50</v>
      </c>
    </row>
    <row r="48" spans="1:15" x14ac:dyDescent="0.2">
      <c r="A48">
        <v>2024</v>
      </c>
      <c r="B48" s="40" t="s">
        <v>17</v>
      </c>
      <c r="C48" t="s">
        <v>2</v>
      </c>
      <c r="D48" s="45" t="s">
        <v>22</v>
      </c>
      <c r="E48" s="46">
        <v>10.33</v>
      </c>
      <c r="F48" s="47">
        <v>137.69999999999999</v>
      </c>
      <c r="G48" s="42">
        <f t="shared" si="0"/>
        <v>8.889651416122005</v>
      </c>
      <c r="H48" s="48">
        <v>18.7</v>
      </c>
      <c r="I48" s="42">
        <v>50</v>
      </c>
    </row>
    <row r="49" spans="1:9" x14ac:dyDescent="0.2">
      <c r="A49">
        <v>2024</v>
      </c>
      <c r="B49" s="40" t="s">
        <v>17</v>
      </c>
      <c r="C49" t="s">
        <v>4</v>
      </c>
      <c r="D49" s="41" t="s">
        <v>23</v>
      </c>
      <c r="E49" s="46">
        <v>3.2</v>
      </c>
      <c r="F49" s="47">
        <v>137.69999999999999</v>
      </c>
      <c r="G49" s="42">
        <f t="shared" si="0"/>
        <v>2.7538126361655779</v>
      </c>
      <c r="H49" s="48">
        <v>18.7</v>
      </c>
      <c r="I49" s="42">
        <v>50</v>
      </c>
    </row>
    <row r="50" spans="1:9" x14ac:dyDescent="0.2">
      <c r="A50">
        <v>2024</v>
      </c>
      <c r="B50" s="40" t="s">
        <v>17</v>
      </c>
      <c r="C50" t="s">
        <v>4</v>
      </c>
      <c r="D50" s="41" t="s">
        <v>24</v>
      </c>
      <c r="E50" s="46">
        <v>4.3600000000000003</v>
      </c>
      <c r="F50" s="47">
        <v>137.69999999999999</v>
      </c>
      <c r="G50" s="42">
        <f t="shared" si="0"/>
        <v>3.7520697167755999</v>
      </c>
      <c r="H50" s="48">
        <v>18.7</v>
      </c>
      <c r="I50" s="42">
        <v>50</v>
      </c>
    </row>
    <row r="51" spans="1:9" x14ac:dyDescent="0.2">
      <c r="A51">
        <v>2024</v>
      </c>
      <c r="B51" s="40" t="s">
        <v>17</v>
      </c>
      <c r="C51" t="s">
        <v>4</v>
      </c>
      <c r="D51" s="45" t="s">
        <v>25</v>
      </c>
      <c r="E51" s="46">
        <v>5.6</v>
      </c>
      <c r="F51" s="47">
        <v>137.69999999999999</v>
      </c>
      <c r="G51" s="42">
        <f t="shared" si="0"/>
        <v>4.8191721132897607</v>
      </c>
      <c r="H51" s="48">
        <v>18.7</v>
      </c>
      <c r="I51" s="42">
        <v>50</v>
      </c>
    </row>
    <row r="52" spans="1:9" x14ac:dyDescent="0.2">
      <c r="A52">
        <v>2024</v>
      </c>
      <c r="B52" s="40" t="s">
        <v>17</v>
      </c>
      <c r="C52" t="s">
        <v>26</v>
      </c>
      <c r="D52" s="41" t="s">
        <v>23</v>
      </c>
      <c r="E52" s="46">
        <v>3.2</v>
      </c>
      <c r="F52" s="47">
        <v>137.69999999999999</v>
      </c>
      <c r="G52" s="42">
        <f t="shared" si="0"/>
        <v>2.7538126361655779</v>
      </c>
      <c r="H52" s="48">
        <v>18.7</v>
      </c>
      <c r="I52" s="42">
        <v>50</v>
      </c>
    </row>
    <row r="53" spans="1:9" x14ac:dyDescent="0.2">
      <c r="A53">
        <v>2024</v>
      </c>
      <c r="B53" s="40" t="s">
        <v>17</v>
      </c>
      <c r="C53" t="s">
        <v>26</v>
      </c>
      <c r="D53" s="41" t="s">
        <v>24</v>
      </c>
      <c r="E53" s="46">
        <v>4.3600000000000003</v>
      </c>
      <c r="F53" s="47">
        <v>137.69999999999999</v>
      </c>
      <c r="G53" s="42">
        <f t="shared" si="0"/>
        <v>3.7520697167755999</v>
      </c>
      <c r="H53" s="48">
        <v>18.7</v>
      </c>
      <c r="I53" s="42">
        <v>50</v>
      </c>
    </row>
    <row r="54" spans="1:9" x14ac:dyDescent="0.2">
      <c r="A54">
        <v>2024</v>
      </c>
      <c r="B54" s="40" t="s">
        <v>17</v>
      </c>
      <c r="C54" t="s">
        <v>26</v>
      </c>
      <c r="D54" s="45" t="s">
        <v>25</v>
      </c>
      <c r="E54" s="46">
        <v>5.6</v>
      </c>
      <c r="F54" s="47">
        <v>137.69999999999999</v>
      </c>
      <c r="G54" s="42">
        <f t="shared" si="0"/>
        <v>4.8191721132897607</v>
      </c>
      <c r="H54" s="48">
        <v>18.7</v>
      </c>
      <c r="I54" s="42">
        <v>50</v>
      </c>
    </row>
    <row r="55" spans="1:9" x14ac:dyDescent="0.2">
      <c r="A55">
        <v>2024</v>
      </c>
      <c r="B55" s="40" t="s">
        <v>17</v>
      </c>
      <c r="C55" t="s">
        <v>8</v>
      </c>
      <c r="D55" s="41" t="s">
        <v>27</v>
      </c>
      <c r="E55" s="46">
        <v>7.13</v>
      </c>
      <c r="F55" s="47">
        <v>137.69999999999999</v>
      </c>
      <c r="G55" s="42">
        <f t="shared" si="0"/>
        <v>6.135838779956428</v>
      </c>
      <c r="H55" s="48">
        <v>18.7</v>
      </c>
      <c r="I55" s="42">
        <v>50</v>
      </c>
    </row>
    <row r="56" spans="1:9" x14ac:dyDescent="0.2">
      <c r="A56">
        <v>2024</v>
      </c>
      <c r="B56" s="40" t="s">
        <v>17</v>
      </c>
      <c r="C56" t="s">
        <v>8</v>
      </c>
      <c r="D56" s="45" t="s">
        <v>28</v>
      </c>
      <c r="E56" s="46">
        <v>8.92</v>
      </c>
      <c r="F56" s="47">
        <v>137.69999999999999</v>
      </c>
      <c r="G56" s="42">
        <f t="shared" si="0"/>
        <v>7.6762527233115483</v>
      </c>
      <c r="H56" s="48">
        <v>18.7</v>
      </c>
      <c r="I56" s="42">
        <v>50</v>
      </c>
    </row>
    <row r="57" spans="1:9" x14ac:dyDescent="0.2">
      <c r="A57">
        <v>2025</v>
      </c>
      <c r="B57" s="40" t="s">
        <v>17</v>
      </c>
      <c r="C57" t="s">
        <v>2</v>
      </c>
      <c r="D57" s="41" t="s">
        <v>18</v>
      </c>
      <c r="E57" s="46">
        <v>4.33</v>
      </c>
      <c r="F57" s="47">
        <v>140.9</v>
      </c>
      <c r="G57" s="42">
        <f t="shared" si="0"/>
        <v>3.6416252661462027</v>
      </c>
      <c r="H57" s="48">
        <v>19.3</v>
      </c>
      <c r="I57" s="42">
        <v>50</v>
      </c>
    </row>
    <row r="58" spans="1:9" x14ac:dyDescent="0.2">
      <c r="A58">
        <v>2025</v>
      </c>
      <c r="B58" s="40" t="s">
        <v>17</v>
      </c>
      <c r="C58" t="s">
        <v>2</v>
      </c>
      <c r="D58" s="41" t="s">
        <v>19</v>
      </c>
      <c r="E58" s="46">
        <v>5.38</v>
      </c>
      <c r="F58" s="47">
        <v>140.9</v>
      </c>
      <c r="G58" s="42">
        <f t="shared" si="0"/>
        <v>4.5246983676366215</v>
      </c>
      <c r="H58" s="48">
        <v>19.3</v>
      </c>
      <c r="I58" s="42">
        <v>50</v>
      </c>
    </row>
    <row r="59" spans="1:9" x14ac:dyDescent="0.2">
      <c r="A59">
        <v>2025</v>
      </c>
      <c r="B59" s="40" t="s">
        <v>17</v>
      </c>
      <c r="C59" t="s">
        <v>2</v>
      </c>
      <c r="D59" s="45" t="s">
        <v>20</v>
      </c>
      <c r="E59" s="46">
        <v>6.2</v>
      </c>
      <c r="F59" s="47">
        <v>140.9</v>
      </c>
      <c r="G59" s="42">
        <f t="shared" si="0"/>
        <v>5.2143364088005679</v>
      </c>
      <c r="H59" s="48">
        <v>19.3</v>
      </c>
      <c r="I59" s="42">
        <v>50</v>
      </c>
    </row>
    <row r="60" spans="1:9" x14ac:dyDescent="0.2">
      <c r="A60">
        <v>2025</v>
      </c>
      <c r="B60" s="40" t="s">
        <v>17</v>
      </c>
      <c r="C60" t="s">
        <v>2</v>
      </c>
      <c r="D60" s="45" t="s">
        <v>21</v>
      </c>
      <c r="E60" s="46">
        <v>8.2799999999999994</v>
      </c>
      <c r="F60" s="47">
        <v>140.9</v>
      </c>
      <c r="G60" s="42">
        <f t="shared" si="0"/>
        <v>6.9636621717530156</v>
      </c>
      <c r="H60" s="48">
        <v>19.3</v>
      </c>
      <c r="I60" s="42">
        <v>50</v>
      </c>
    </row>
    <row r="61" spans="1:9" x14ac:dyDescent="0.2">
      <c r="A61">
        <v>2025</v>
      </c>
      <c r="B61" s="40" t="s">
        <v>17</v>
      </c>
      <c r="C61" t="s">
        <v>2</v>
      </c>
      <c r="D61" s="45" t="s">
        <v>22</v>
      </c>
      <c r="E61" s="46">
        <v>10.66</v>
      </c>
      <c r="F61" s="47">
        <v>140.9</v>
      </c>
      <c r="G61" s="42">
        <f t="shared" si="0"/>
        <v>8.9652945351312994</v>
      </c>
      <c r="H61" s="48">
        <v>19.3</v>
      </c>
      <c r="I61" s="42">
        <v>50</v>
      </c>
    </row>
    <row r="62" spans="1:9" x14ac:dyDescent="0.2">
      <c r="A62">
        <v>2025</v>
      </c>
      <c r="B62" s="40" t="s">
        <v>17</v>
      </c>
      <c r="C62" t="s">
        <v>4</v>
      </c>
      <c r="D62" s="41" t="s">
        <v>23</v>
      </c>
      <c r="E62" s="46">
        <v>3.3</v>
      </c>
      <c r="F62" s="47">
        <v>140.9</v>
      </c>
      <c r="G62" s="42">
        <f t="shared" si="0"/>
        <v>2.7753726046841729</v>
      </c>
      <c r="H62" s="48">
        <v>19.3</v>
      </c>
      <c r="I62" s="42">
        <v>50</v>
      </c>
    </row>
    <row r="63" spans="1:9" x14ac:dyDescent="0.2">
      <c r="A63">
        <v>2025</v>
      </c>
      <c r="B63" s="40" t="s">
        <v>17</v>
      </c>
      <c r="C63" t="s">
        <v>4</v>
      </c>
      <c r="D63" s="41" t="s">
        <v>24</v>
      </c>
      <c r="E63" s="46">
        <v>4.49</v>
      </c>
      <c r="F63" s="47">
        <v>140.9</v>
      </c>
      <c r="G63" s="42">
        <f t="shared" si="0"/>
        <v>3.7761887863733143</v>
      </c>
      <c r="H63" s="48">
        <v>19.3</v>
      </c>
      <c r="I63" s="42">
        <v>50</v>
      </c>
    </row>
    <row r="64" spans="1:9" x14ac:dyDescent="0.2">
      <c r="A64">
        <v>2025</v>
      </c>
      <c r="B64" s="40" t="s">
        <v>17</v>
      </c>
      <c r="C64" t="s">
        <v>4</v>
      </c>
      <c r="D64" s="45" t="s">
        <v>25</v>
      </c>
      <c r="E64" s="46">
        <v>5.77</v>
      </c>
      <c r="F64" s="47">
        <v>140.9</v>
      </c>
      <c r="G64" s="42">
        <f t="shared" si="0"/>
        <v>4.8526969481902054</v>
      </c>
      <c r="H64" s="48">
        <v>19.3</v>
      </c>
      <c r="I64" s="42">
        <v>50</v>
      </c>
    </row>
    <row r="65" spans="1:9" x14ac:dyDescent="0.2">
      <c r="A65">
        <v>2025</v>
      </c>
      <c r="B65" s="40" t="s">
        <v>17</v>
      </c>
      <c r="C65" t="s">
        <v>26</v>
      </c>
      <c r="D65" s="41" t="s">
        <v>23</v>
      </c>
      <c r="E65" s="46">
        <v>3.3</v>
      </c>
      <c r="F65" s="47">
        <v>140.9</v>
      </c>
      <c r="G65" s="42">
        <f t="shared" si="0"/>
        <v>2.7753726046841729</v>
      </c>
      <c r="H65" s="48">
        <v>19.3</v>
      </c>
      <c r="I65" s="42">
        <v>50</v>
      </c>
    </row>
    <row r="66" spans="1:9" x14ac:dyDescent="0.2">
      <c r="A66">
        <v>2025</v>
      </c>
      <c r="B66" s="40" t="s">
        <v>17</v>
      </c>
      <c r="C66" t="s">
        <v>26</v>
      </c>
      <c r="D66" s="41" t="s">
        <v>24</v>
      </c>
      <c r="E66" s="46">
        <v>4.49</v>
      </c>
      <c r="F66" s="47">
        <v>140.9</v>
      </c>
      <c r="G66" s="42">
        <f t="shared" si="0"/>
        <v>3.7761887863733143</v>
      </c>
      <c r="H66" s="48">
        <v>19.3</v>
      </c>
      <c r="I66" s="42">
        <v>50</v>
      </c>
    </row>
    <row r="67" spans="1:9" x14ac:dyDescent="0.2">
      <c r="A67">
        <v>2025</v>
      </c>
      <c r="B67" s="40" t="s">
        <v>17</v>
      </c>
      <c r="C67" t="s">
        <v>26</v>
      </c>
      <c r="D67" s="45" t="s">
        <v>25</v>
      </c>
      <c r="E67" s="46">
        <v>5.77</v>
      </c>
      <c r="F67" s="47">
        <v>140.9</v>
      </c>
      <c r="G67" s="42">
        <f t="shared" ref="G67:G69" si="1">E67*($F$2/F67)</f>
        <v>4.8526969481902054</v>
      </c>
      <c r="H67" s="48">
        <v>19.3</v>
      </c>
      <c r="I67" s="42">
        <v>50</v>
      </c>
    </row>
    <row r="68" spans="1:9" x14ac:dyDescent="0.2">
      <c r="A68">
        <v>2025</v>
      </c>
      <c r="B68" s="40" t="s">
        <v>17</v>
      </c>
      <c r="C68" t="s">
        <v>8</v>
      </c>
      <c r="D68" s="41" t="s">
        <v>27</v>
      </c>
      <c r="E68" s="46">
        <v>7.35</v>
      </c>
      <c r="F68" s="47">
        <v>140.9</v>
      </c>
      <c r="G68" s="42">
        <f t="shared" si="1"/>
        <v>6.1815117104329307</v>
      </c>
      <c r="H68" s="48">
        <v>19.3</v>
      </c>
      <c r="I68" s="42">
        <v>50</v>
      </c>
    </row>
    <row r="69" spans="1:9" x14ac:dyDescent="0.2">
      <c r="A69">
        <v>2025</v>
      </c>
      <c r="B69" s="40" t="s">
        <v>17</v>
      </c>
      <c r="C69" t="s">
        <v>8</v>
      </c>
      <c r="D69" s="45" t="s">
        <v>28</v>
      </c>
      <c r="E69" s="46">
        <v>9.1999999999999993</v>
      </c>
      <c r="F69" s="47">
        <v>140.9</v>
      </c>
      <c r="G69" s="42">
        <f t="shared" si="1"/>
        <v>7.7374024130589065</v>
      </c>
      <c r="H69" s="48">
        <v>19.3</v>
      </c>
      <c r="I69" s="42">
        <v>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E59C-DB60-5845-8491-7D5330065D8A}">
  <dimension ref="A1:AE30"/>
  <sheetViews>
    <sheetView zoomScale="115" zoomScaleNormal="177" workbookViewId="0">
      <selection activeCell="G21" sqref="G21"/>
    </sheetView>
  </sheetViews>
  <sheetFormatPr baseColWidth="10" defaultRowHeight="16" x14ac:dyDescent="0.2"/>
  <sheetData>
    <row r="1" spans="1:31" x14ac:dyDescent="0.2">
      <c r="A1" s="5" t="s">
        <v>110</v>
      </c>
      <c r="B1" s="14" t="s">
        <v>2</v>
      </c>
      <c r="C1" s="14" t="s">
        <v>4</v>
      </c>
      <c r="D1" s="14" t="s">
        <v>8</v>
      </c>
      <c r="E1" s="15" t="s">
        <v>26</v>
      </c>
      <c r="G1" t="str" cm="1">
        <f t="array" ref="G1:AE5">TRANSPOSE(A1:E25)</f>
        <v>Travel Time</v>
      </c>
      <c r="H1">
        <v>0</v>
      </c>
      <c r="I1">
        <v>4.1666666666666664E-2</v>
      </c>
      <c r="J1">
        <v>8.3333333333333329E-2</v>
      </c>
      <c r="K1">
        <v>0.125</v>
      </c>
      <c r="L1">
        <v>0.16666666666666666</v>
      </c>
      <c r="M1">
        <v>0.20833333333333334</v>
      </c>
      <c r="N1">
        <v>0.25</v>
      </c>
      <c r="O1">
        <v>0.29166666666666669</v>
      </c>
      <c r="P1">
        <v>0.33333333333333331</v>
      </c>
      <c r="Q1">
        <v>0.375</v>
      </c>
      <c r="R1">
        <v>0.41666666666666669</v>
      </c>
      <c r="S1">
        <v>0.45833333333333331</v>
      </c>
      <c r="T1">
        <v>0.5</v>
      </c>
      <c r="U1">
        <v>0.54166666666666663</v>
      </c>
      <c r="V1">
        <v>0.58333333333333337</v>
      </c>
      <c r="W1">
        <v>0.625</v>
      </c>
      <c r="X1">
        <v>0.66666666666666663</v>
      </c>
      <c r="Y1">
        <v>0.70833333333333337</v>
      </c>
      <c r="Z1">
        <v>0.75</v>
      </c>
      <c r="AA1">
        <v>0.79166666666666663</v>
      </c>
      <c r="AB1">
        <v>0.83333333333333337</v>
      </c>
      <c r="AC1">
        <v>0.875</v>
      </c>
      <c r="AD1">
        <v>0.91666666666666663</v>
      </c>
      <c r="AE1">
        <v>0.95833333333333337</v>
      </c>
    </row>
    <row r="2" spans="1:31" x14ac:dyDescent="0.2">
      <c r="A2" s="16">
        <v>0</v>
      </c>
      <c r="B2" s="17">
        <v>51400</v>
      </c>
      <c r="C2" s="17">
        <v>53000</v>
      </c>
      <c r="D2" s="17">
        <v>0</v>
      </c>
      <c r="E2" s="18">
        <v>6600</v>
      </c>
      <c r="G2" t="str">
        <v>Train</v>
      </c>
      <c r="H2">
        <v>51400</v>
      </c>
      <c r="I2">
        <v>2800</v>
      </c>
      <c r="J2">
        <v>2600</v>
      </c>
      <c r="K2">
        <v>26600</v>
      </c>
      <c r="L2">
        <v>301000</v>
      </c>
      <c r="M2">
        <v>1049200</v>
      </c>
      <c r="N2">
        <v>1890600</v>
      </c>
      <c r="O2">
        <v>4119000</v>
      </c>
      <c r="P2">
        <v>4155000</v>
      </c>
      <c r="Q2">
        <v>1999600</v>
      </c>
      <c r="R2">
        <v>1524000</v>
      </c>
      <c r="S2">
        <v>1463000</v>
      </c>
      <c r="T2">
        <v>1588200</v>
      </c>
      <c r="U2">
        <v>1704000</v>
      </c>
      <c r="V2">
        <v>2139400</v>
      </c>
      <c r="W2">
        <v>3224200</v>
      </c>
      <c r="X2">
        <v>3681800</v>
      </c>
      <c r="Y2">
        <v>4450400</v>
      </c>
      <c r="Z2">
        <v>2426800</v>
      </c>
      <c r="AA2">
        <v>1371000</v>
      </c>
      <c r="AB2">
        <v>1093600</v>
      </c>
      <c r="AC2">
        <v>956600</v>
      </c>
      <c r="AD2">
        <v>586000</v>
      </c>
      <c r="AE2">
        <v>264200</v>
      </c>
    </row>
    <row r="3" spans="1:31" x14ac:dyDescent="0.2">
      <c r="A3" s="16">
        <v>4.1666666666666664E-2</v>
      </c>
      <c r="B3" s="17">
        <v>2800</v>
      </c>
      <c r="C3" s="17">
        <v>27600</v>
      </c>
      <c r="D3" s="17">
        <v>0</v>
      </c>
      <c r="E3" s="18">
        <v>400</v>
      </c>
      <c r="G3" t="str">
        <v>Bus</v>
      </c>
      <c r="H3">
        <v>53000</v>
      </c>
      <c r="I3">
        <v>27600</v>
      </c>
      <c r="J3">
        <v>22600</v>
      </c>
      <c r="K3">
        <v>23600</v>
      </c>
      <c r="L3">
        <v>73600</v>
      </c>
      <c r="M3">
        <v>470400</v>
      </c>
      <c r="N3">
        <v>1253600</v>
      </c>
      <c r="O3">
        <v>2702200</v>
      </c>
      <c r="P3">
        <v>2951200</v>
      </c>
      <c r="Q3">
        <v>1641000</v>
      </c>
      <c r="R3">
        <v>1373400</v>
      </c>
      <c r="S3">
        <v>1346200</v>
      </c>
      <c r="T3">
        <v>1399800</v>
      </c>
      <c r="U3">
        <v>1498000</v>
      </c>
      <c r="V3">
        <v>1839400</v>
      </c>
      <c r="W3">
        <v>2554800</v>
      </c>
      <c r="X3">
        <v>2433200</v>
      </c>
      <c r="Y3">
        <v>2692800</v>
      </c>
      <c r="Z3">
        <v>1778600</v>
      </c>
      <c r="AA3">
        <v>949400</v>
      </c>
      <c r="AB3">
        <v>641200</v>
      </c>
      <c r="AC3">
        <v>538600</v>
      </c>
      <c r="AD3">
        <v>341200</v>
      </c>
      <c r="AE3">
        <v>160000</v>
      </c>
    </row>
    <row r="4" spans="1:31" x14ac:dyDescent="0.2">
      <c r="A4" s="16">
        <v>8.3333333333333329E-2</v>
      </c>
      <c r="B4" s="17">
        <v>2600</v>
      </c>
      <c r="C4" s="17">
        <v>22600</v>
      </c>
      <c r="D4" s="17">
        <v>0</v>
      </c>
      <c r="E4" s="18">
        <v>0</v>
      </c>
      <c r="G4" t="str">
        <v>Ferry</v>
      </c>
      <c r="H4">
        <v>0</v>
      </c>
      <c r="I4">
        <v>0</v>
      </c>
      <c r="J4">
        <v>0</v>
      </c>
      <c r="K4">
        <v>0</v>
      </c>
      <c r="L4">
        <v>0</v>
      </c>
      <c r="M4">
        <v>2800</v>
      </c>
      <c r="N4">
        <v>27200</v>
      </c>
      <c r="O4">
        <v>124200</v>
      </c>
      <c r="P4">
        <v>139800</v>
      </c>
      <c r="Q4">
        <v>83600</v>
      </c>
      <c r="R4">
        <v>102600</v>
      </c>
      <c r="S4">
        <v>113200</v>
      </c>
      <c r="T4">
        <v>104800</v>
      </c>
      <c r="U4">
        <v>110400</v>
      </c>
      <c r="V4">
        <v>127400</v>
      </c>
      <c r="W4">
        <v>135600</v>
      </c>
      <c r="X4">
        <v>150200</v>
      </c>
      <c r="Y4">
        <v>175200</v>
      </c>
      <c r="Z4">
        <v>98800</v>
      </c>
      <c r="AA4">
        <v>47800</v>
      </c>
      <c r="AB4">
        <v>30600</v>
      </c>
      <c r="AC4">
        <v>24400</v>
      </c>
      <c r="AD4">
        <v>15600</v>
      </c>
      <c r="AE4">
        <v>5200</v>
      </c>
    </row>
    <row r="5" spans="1:31" x14ac:dyDescent="0.2">
      <c r="A5" s="16">
        <v>0.125</v>
      </c>
      <c r="B5" s="17">
        <v>26600</v>
      </c>
      <c r="C5" s="17">
        <v>23600</v>
      </c>
      <c r="D5" s="17">
        <v>0</v>
      </c>
      <c r="E5" s="18">
        <v>0</v>
      </c>
      <c r="G5" t="str">
        <v>Light Rail</v>
      </c>
      <c r="H5">
        <v>6600</v>
      </c>
      <c r="I5">
        <v>400</v>
      </c>
      <c r="J5">
        <v>0</v>
      </c>
      <c r="K5">
        <v>0</v>
      </c>
      <c r="L5">
        <v>0</v>
      </c>
      <c r="M5">
        <v>31600</v>
      </c>
      <c r="N5">
        <v>81000</v>
      </c>
      <c r="O5">
        <v>210400</v>
      </c>
      <c r="P5">
        <v>395200</v>
      </c>
      <c r="Q5">
        <v>259000</v>
      </c>
      <c r="R5">
        <v>238200</v>
      </c>
      <c r="S5">
        <v>252200</v>
      </c>
      <c r="T5">
        <v>290600</v>
      </c>
      <c r="U5">
        <v>299000</v>
      </c>
      <c r="V5">
        <v>301800</v>
      </c>
      <c r="W5">
        <v>351800</v>
      </c>
      <c r="X5">
        <v>406600</v>
      </c>
      <c r="Y5">
        <v>476600</v>
      </c>
      <c r="Z5">
        <v>316000</v>
      </c>
      <c r="AA5">
        <v>200000</v>
      </c>
      <c r="AB5">
        <v>156200</v>
      </c>
      <c r="AC5">
        <v>117600</v>
      </c>
      <c r="AD5">
        <v>87800</v>
      </c>
      <c r="AE5">
        <v>34000</v>
      </c>
    </row>
    <row r="6" spans="1:31" x14ac:dyDescent="0.2">
      <c r="A6" s="16">
        <v>0.16666666666666666</v>
      </c>
      <c r="B6" s="17">
        <v>301000</v>
      </c>
      <c r="C6" s="17">
        <v>73600</v>
      </c>
      <c r="D6" s="17">
        <v>0</v>
      </c>
      <c r="E6" s="18">
        <v>0</v>
      </c>
    </row>
    <row r="7" spans="1:31" x14ac:dyDescent="0.2">
      <c r="A7" s="16">
        <v>0.20833333333333334</v>
      </c>
      <c r="B7" s="17">
        <v>1049200</v>
      </c>
      <c r="C7" s="17">
        <v>470400</v>
      </c>
      <c r="D7" s="17">
        <v>2800</v>
      </c>
      <c r="E7" s="18">
        <v>31600</v>
      </c>
    </row>
    <row r="8" spans="1:31" x14ac:dyDescent="0.2">
      <c r="A8" s="16">
        <v>0.25</v>
      </c>
      <c r="B8" s="17">
        <v>1890600</v>
      </c>
      <c r="C8" s="17">
        <v>1253600</v>
      </c>
      <c r="D8" s="17">
        <v>27200</v>
      </c>
      <c r="E8" s="18">
        <v>81000</v>
      </c>
    </row>
    <row r="9" spans="1:31" x14ac:dyDescent="0.2">
      <c r="A9" s="16">
        <v>0.29166666666666669</v>
      </c>
      <c r="B9" s="17">
        <v>4119000</v>
      </c>
      <c r="C9" s="17">
        <v>2702200</v>
      </c>
      <c r="D9" s="17">
        <v>124200</v>
      </c>
      <c r="E9" s="18">
        <v>210400</v>
      </c>
    </row>
    <row r="10" spans="1:31" x14ac:dyDescent="0.2">
      <c r="A10" s="16">
        <v>0.33333333333333331</v>
      </c>
      <c r="B10" s="17">
        <v>4155000</v>
      </c>
      <c r="C10" s="17">
        <v>2951200</v>
      </c>
      <c r="D10" s="17">
        <v>139800</v>
      </c>
      <c r="E10" s="18">
        <v>395200</v>
      </c>
    </row>
    <row r="11" spans="1:31" x14ac:dyDescent="0.2">
      <c r="A11" s="16">
        <v>0.375</v>
      </c>
      <c r="B11" s="17">
        <v>1999600</v>
      </c>
      <c r="C11" s="17">
        <v>1641000</v>
      </c>
      <c r="D11" s="17">
        <v>83600</v>
      </c>
      <c r="E11" s="18">
        <v>259000</v>
      </c>
      <c r="G11" t="s">
        <v>2</v>
      </c>
      <c r="H11">
        <v>51400</v>
      </c>
      <c r="I11">
        <v>2800</v>
      </c>
      <c r="J11">
        <v>2600</v>
      </c>
      <c r="K11">
        <v>26600</v>
      </c>
      <c r="L11">
        <v>301000</v>
      </c>
      <c r="M11">
        <v>1049200</v>
      </c>
      <c r="N11">
        <v>1890600</v>
      </c>
      <c r="O11">
        <v>4119000</v>
      </c>
      <c r="P11">
        <v>4155000</v>
      </c>
      <c r="Q11">
        <v>1999600</v>
      </c>
      <c r="R11">
        <v>1524000</v>
      </c>
      <c r="S11">
        <v>1463000</v>
      </c>
      <c r="T11">
        <v>1588200</v>
      </c>
      <c r="U11">
        <v>1704000</v>
      </c>
      <c r="V11">
        <v>2139400</v>
      </c>
      <c r="W11">
        <v>3224200</v>
      </c>
      <c r="X11">
        <v>3681800</v>
      </c>
      <c r="Y11">
        <v>4450400</v>
      </c>
      <c r="Z11">
        <v>2426800</v>
      </c>
      <c r="AA11">
        <v>1371000</v>
      </c>
      <c r="AB11">
        <v>1093600</v>
      </c>
      <c r="AC11">
        <v>956600</v>
      </c>
      <c r="AD11">
        <v>586000</v>
      </c>
      <c r="AE11">
        <v>264200</v>
      </c>
    </row>
    <row r="12" spans="1:31" x14ac:dyDescent="0.2">
      <c r="A12" s="16">
        <v>0.41666666666666669</v>
      </c>
      <c r="B12" s="17">
        <v>1524000</v>
      </c>
      <c r="C12" s="17">
        <v>1373400</v>
      </c>
      <c r="D12" s="17">
        <v>102600</v>
      </c>
      <c r="E12" s="18">
        <v>238200</v>
      </c>
      <c r="G12" t="s">
        <v>4</v>
      </c>
      <c r="H12">
        <v>53000</v>
      </c>
      <c r="I12">
        <v>27600</v>
      </c>
      <c r="J12">
        <v>22600</v>
      </c>
      <c r="K12">
        <v>23600</v>
      </c>
      <c r="L12">
        <v>73600</v>
      </c>
      <c r="M12">
        <v>470400</v>
      </c>
      <c r="N12">
        <v>1253600</v>
      </c>
      <c r="O12">
        <v>2702200</v>
      </c>
      <c r="P12">
        <v>2951200</v>
      </c>
      <c r="Q12">
        <v>1641000</v>
      </c>
      <c r="R12">
        <v>1373400</v>
      </c>
      <c r="S12">
        <v>1346200</v>
      </c>
      <c r="T12">
        <v>1399800</v>
      </c>
      <c r="U12">
        <v>1498000</v>
      </c>
      <c r="V12">
        <v>1839400</v>
      </c>
      <c r="W12">
        <v>2554800</v>
      </c>
      <c r="X12">
        <v>2433200</v>
      </c>
      <c r="Y12">
        <v>2692800</v>
      </c>
      <c r="Z12">
        <v>1778600</v>
      </c>
      <c r="AA12">
        <v>949400</v>
      </c>
      <c r="AB12">
        <v>641200</v>
      </c>
      <c r="AC12">
        <v>538600</v>
      </c>
      <c r="AD12">
        <v>341200</v>
      </c>
      <c r="AE12">
        <v>160000</v>
      </c>
    </row>
    <row r="13" spans="1:31" x14ac:dyDescent="0.2">
      <c r="A13" s="16">
        <v>0.45833333333333331</v>
      </c>
      <c r="B13" s="17">
        <v>1463000</v>
      </c>
      <c r="C13" s="17">
        <v>1346200</v>
      </c>
      <c r="D13" s="17">
        <v>113200</v>
      </c>
      <c r="E13" s="18">
        <v>252200</v>
      </c>
      <c r="G13" t="s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2800</v>
      </c>
      <c r="N13">
        <v>27200</v>
      </c>
      <c r="O13">
        <v>124200</v>
      </c>
      <c r="P13">
        <v>139800</v>
      </c>
      <c r="Q13">
        <v>83600</v>
      </c>
      <c r="R13">
        <v>102600</v>
      </c>
      <c r="S13">
        <v>113200</v>
      </c>
      <c r="T13">
        <v>104800</v>
      </c>
      <c r="U13">
        <v>110400</v>
      </c>
      <c r="V13">
        <v>127400</v>
      </c>
      <c r="W13">
        <v>135600</v>
      </c>
      <c r="X13">
        <v>150200</v>
      </c>
      <c r="Y13">
        <v>175200</v>
      </c>
      <c r="Z13">
        <v>98800</v>
      </c>
      <c r="AA13">
        <v>47800</v>
      </c>
      <c r="AB13">
        <v>30600</v>
      </c>
      <c r="AC13">
        <v>24400</v>
      </c>
      <c r="AD13">
        <v>15600</v>
      </c>
      <c r="AE13">
        <v>5200</v>
      </c>
    </row>
    <row r="14" spans="1:31" x14ac:dyDescent="0.2">
      <c r="A14" s="16">
        <v>0.5</v>
      </c>
      <c r="B14" s="17">
        <v>1588200</v>
      </c>
      <c r="C14" s="17">
        <v>1399800</v>
      </c>
      <c r="D14" s="17">
        <v>104800</v>
      </c>
      <c r="E14" s="18">
        <v>290600</v>
      </c>
      <c r="G14" t="s">
        <v>26</v>
      </c>
      <c r="H14">
        <v>6600</v>
      </c>
      <c r="I14">
        <v>400</v>
      </c>
      <c r="J14">
        <v>0</v>
      </c>
      <c r="K14">
        <v>0</v>
      </c>
      <c r="L14">
        <v>0</v>
      </c>
      <c r="M14">
        <v>31600</v>
      </c>
      <c r="N14">
        <v>81000</v>
      </c>
      <c r="O14">
        <v>210400</v>
      </c>
      <c r="P14">
        <v>395200</v>
      </c>
      <c r="Q14">
        <v>259000</v>
      </c>
      <c r="R14">
        <v>238200</v>
      </c>
      <c r="S14">
        <v>252200</v>
      </c>
      <c r="T14">
        <v>290600</v>
      </c>
      <c r="U14">
        <v>299000</v>
      </c>
      <c r="V14">
        <v>301800</v>
      </c>
      <c r="W14">
        <v>351800</v>
      </c>
      <c r="X14">
        <v>406600</v>
      </c>
      <c r="Y14">
        <v>476600</v>
      </c>
      <c r="Z14">
        <v>316000</v>
      </c>
      <c r="AA14">
        <v>200000</v>
      </c>
      <c r="AB14">
        <v>156200</v>
      </c>
      <c r="AC14">
        <v>117600</v>
      </c>
      <c r="AD14">
        <v>87800</v>
      </c>
      <c r="AE14">
        <v>34000</v>
      </c>
    </row>
    <row r="15" spans="1:31" x14ac:dyDescent="0.2">
      <c r="A15" s="16">
        <v>0.54166666666666663</v>
      </c>
      <c r="B15" s="17">
        <v>1704000</v>
      </c>
      <c r="C15" s="17">
        <v>1498000</v>
      </c>
      <c r="D15" s="17">
        <v>110400</v>
      </c>
      <c r="E15" s="18">
        <v>299000</v>
      </c>
    </row>
    <row r="16" spans="1:31" x14ac:dyDescent="0.2">
      <c r="A16" s="16">
        <v>0.58333333333333337</v>
      </c>
      <c r="B16" s="17">
        <v>2139400</v>
      </c>
      <c r="C16" s="17">
        <v>1839400</v>
      </c>
      <c r="D16" s="17">
        <v>127400</v>
      </c>
      <c r="E16" s="18">
        <v>301800</v>
      </c>
    </row>
    <row r="17" spans="1:5" x14ac:dyDescent="0.2">
      <c r="A17" s="16">
        <v>0.625</v>
      </c>
      <c r="B17" s="17">
        <v>3224200</v>
      </c>
      <c r="C17" s="17">
        <v>2554800</v>
      </c>
      <c r="D17" s="17">
        <v>135600</v>
      </c>
      <c r="E17" s="18">
        <v>351800</v>
      </c>
    </row>
    <row r="18" spans="1:5" x14ac:dyDescent="0.2">
      <c r="A18" s="16">
        <v>0.66666666666666663</v>
      </c>
      <c r="B18" s="17">
        <v>3681800</v>
      </c>
      <c r="C18" s="17">
        <v>2433200</v>
      </c>
      <c r="D18" s="17">
        <v>150200</v>
      </c>
      <c r="E18" s="18">
        <v>406600</v>
      </c>
    </row>
    <row r="19" spans="1:5" x14ac:dyDescent="0.2">
      <c r="A19" s="16">
        <v>0.70833333333333337</v>
      </c>
      <c r="B19" s="17">
        <v>4450400</v>
      </c>
      <c r="C19" s="17">
        <v>2692800</v>
      </c>
      <c r="D19" s="17">
        <v>175200</v>
      </c>
      <c r="E19" s="18">
        <v>476600</v>
      </c>
    </row>
    <row r="20" spans="1:5" x14ac:dyDescent="0.2">
      <c r="A20" s="16">
        <v>0.75</v>
      </c>
      <c r="B20" s="17">
        <v>2426800</v>
      </c>
      <c r="C20" s="17">
        <v>1778600</v>
      </c>
      <c r="D20" s="17">
        <v>98800</v>
      </c>
      <c r="E20" s="18">
        <v>316000</v>
      </c>
    </row>
    <row r="21" spans="1:5" x14ac:dyDescent="0.2">
      <c r="A21" s="16">
        <v>0.79166666666666663</v>
      </c>
      <c r="B21" s="17">
        <v>1371000</v>
      </c>
      <c r="C21" s="17">
        <v>949400</v>
      </c>
      <c r="D21" s="17">
        <v>47800</v>
      </c>
      <c r="E21" s="18">
        <v>200000</v>
      </c>
    </row>
    <row r="22" spans="1:5" x14ac:dyDescent="0.2">
      <c r="A22" s="16">
        <v>0.83333333333333337</v>
      </c>
      <c r="B22" s="17">
        <v>1093600</v>
      </c>
      <c r="C22" s="17">
        <v>641200</v>
      </c>
      <c r="D22" s="17">
        <v>30600</v>
      </c>
      <c r="E22" s="18">
        <v>156200</v>
      </c>
    </row>
    <row r="23" spans="1:5" x14ac:dyDescent="0.2">
      <c r="A23" s="16">
        <v>0.875</v>
      </c>
      <c r="B23" s="17">
        <v>956600</v>
      </c>
      <c r="C23" s="17">
        <v>538600</v>
      </c>
      <c r="D23" s="17">
        <v>24400</v>
      </c>
      <c r="E23" s="18">
        <v>117600</v>
      </c>
    </row>
    <row r="24" spans="1:5" x14ac:dyDescent="0.2">
      <c r="A24" s="16">
        <v>0.91666666666666663</v>
      </c>
      <c r="B24" s="17">
        <v>586000</v>
      </c>
      <c r="C24" s="17">
        <v>341200</v>
      </c>
      <c r="D24" s="17">
        <v>15600</v>
      </c>
      <c r="E24" s="18">
        <v>87800</v>
      </c>
    </row>
    <row r="25" spans="1:5" x14ac:dyDescent="0.2">
      <c r="A25" s="19">
        <v>0.95833333333333337</v>
      </c>
      <c r="B25" s="20">
        <v>264200</v>
      </c>
      <c r="C25" s="20">
        <v>160000</v>
      </c>
      <c r="D25" s="20">
        <v>5200</v>
      </c>
      <c r="E25" s="21">
        <v>34000</v>
      </c>
    </row>
    <row r="26" spans="1:5" x14ac:dyDescent="0.2">
      <c r="D26" s="17"/>
    </row>
    <row r="30" spans="1:5" x14ac:dyDescent="0.2">
      <c r="A30" s="22">
        <v>45231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2CDE-ED0E-8D41-94C3-1384238C5D68}">
  <dimension ref="A1:F25"/>
  <sheetViews>
    <sheetView workbookViewId="0">
      <selection activeCell="C1" sqref="C1:D26"/>
    </sheetView>
  </sheetViews>
  <sheetFormatPr baseColWidth="10" defaultRowHeight="16" x14ac:dyDescent="0.2"/>
  <cols>
    <col min="1" max="1" width="34.33203125" bestFit="1" customWidth="1"/>
    <col min="2" max="2" width="34.5" customWidth="1"/>
    <col min="3" max="3" width="22.6640625" customWidth="1"/>
    <col min="4" max="4" width="26.33203125" customWidth="1"/>
    <col min="5" max="5" width="7.83203125" bestFit="1" customWidth="1"/>
    <col min="6" max="6" width="17.1640625" customWidth="1"/>
    <col min="7" max="7" width="13.83203125" customWidth="1"/>
    <col min="8" max="8" width="15.33203125" customWidth="1"/>
  </cols>
  <sheetData>
    <row r="1" spans="1:6" ht="17" x14ac:dyDescent="0.2">
      <c r="A1" s="12" t="s">
        <v>63</v>
      </c>
      <c r="B1" s="8" t="s">
        <v>34</v>
      </c>
      <c r="C1" s="9" t="s">
        <v>59</v>
      </c>
      <c r="D1" s="6" t="s">
        <v>60</v>
      </c>
      <c r="F1" t="s">
        <v>246</v>
      </c>
    </row>
    <row r="2" spans="1:6" x14ac:dyDescent="0.2">
      <c r="A2" s="13" t="s">
        <v>35</v>
      </c>
      <c r="B2" s="10">
        <v>34.799999999999997</v>
      </c>
      <c r="C2" s="11">
        <v>0.38733664715786098</v>
      </c>
      <c r="D2" s="11">
        <v>0.1143275400922369</v>
      </c>
    </row>
    <row r="3" spans="1:6" x14ac:dyDescent="0.2">
      <c r="A3" s="13" t="s">
        <v>36</v>
      </c>
      <c r="B3" s="10">
        <v>10.62</v>
      </c>
      <c r="C3" s="11">
        <v>0.4135106841554283</v>
      </c>
      <c r="D3" s="11">
        <v>0.35160880609652839</v>
      </c>
    </row>
    <row r="4" spans="1:6" x14ac:dyDescent="0.2">
      <c r="A4" s="13" t="s">
        <v>37</v>
      </c>
      <c r="B4" s="10">
        <v>51.4</v>
      </c>
      <c r="C4" s="11">
        <v>0.33731107379235403</v>
      </c>
      <c r="D4" s="11">
        <v>3.9230399807900107E-2</v>
      </c>
    </row>
    <row r="5" spans="1:6" x14ac:dyDescent="0.2">
      <c r="A5" s="13" t="s">
        <v>38</v>
      </c>
      <c r="B5" s="10">
        <v>45.9</v>
      </c>
      <c r="C5" s="11">
        <v>0.30851134075076758</v>
      </c>
      <c r="D5" s="11">
        <v>0.1055380394233315</v>
      </c>
    </row>
    <row r="6" spans="1:6" x14ac:dyDescent="0.2">
      <c r="A6" s="13" t="s">
        <v>39</v>
      </c>
      <c r="B6" s="10">
        <v>10.6</v>
      </c>
      <c r="C6" s="11">
        <v>0.52915049906044853</v>
      </c>
      <c r="D6" s="11">
        <v>0.15170861897535193</v>
      </c>
    </row>
    <row r="7" spans="1:6" x14ac:dyDescent="0.2">
      <c r="A7" s="13" t="s">
        <v>40</v>
      </c>
      <c r="B7" s="10">
        <v>18.8</v>
      </c>
      <c r="C7" s="11">
        <v>0.39300749002241542</v>
      </c>
      <c r="D7" s="11">
        <v>0.12895181034351669</v>
      </c>
    </row>
    <row r="8" spans="1:6" x14ac:dyDescent="0.2">
      <c r="A8" s="13" t="s">
        <v>41</v>
      </c>
      <c r="B8" s="10">
        <v>28.97</v>
      </c>
      <c r="C8" s="11">
        <v>0.27922114254807245</v>
      </c>
      <c r="D8" s="11">
        <v>7.3065452833150218E-2</v>
      </c>
    </row>
    <row r="9" spans="1:6" x14ac:dyDescent="0.2">
      <c r="A9" s="13" t="s">
        <v>42</v>
      </c>
      <c r="B9" s="10">
        <v>26.45</v>
      </c>
      <c r="C9" s="11">
        <v>0.53163444639718804</v>
      </c>
      <c r="D9" s="11">
        <v>0.12881896944824442</v>
      </c>
    </row>
    <row r="10" spans="1:6" x14ac:dyDescent="0.2">
      <c r="A10" s="13" t="s">
        <v>43</v>
      </c>
      <c r="B10" s="10">
        <v>8</v>
      </c>
      <c r="C10" s="11">
        <v>0.55502828983391128</v>
      </c>
      <c r="D10" s="11">
        <v>7.590211530485276E-2</v>
      </c>
    </row>
    <row r="11" spans="1:6" x14ac:dyDescent="0.2">
      <c r="A11" s="13" t="s">
        <v>44</v>
      </c>
      <c r="B11" s="10">
        <v>8.4</v>
      </c>
      <c r="C11" s="11">
        <v>0.59580354573825278</v>
      </c>
      <c r="D11" s="11">
        <v>0.20550403003201942</v>
      </c>
    </row>
    <row r="12" spans="1:6" x14ac:dyDescent="0.2">
      <c r="A12" s="13" t="s">
        <v>45</v>
      </c>
      <c r="B12" s="10">
        <v>9.6</v>
      </c>
      <c r="C12" s="11">
        <v>0.61968098659736026</v>
      </c>
      <c r="D12" s="11">
        <v>0.13946907424875354</v>
      </c>
    </row>
    <row r="13" spans="1:6" x14ac:dyDescent="0.2">
      <c r="A13" s="13" t="s">
        <v>46</v>
      </c>
      <c r="B13" s="10">
        <v>32.090000000000003</v>
      </c>
      <c r="C13" s="11">
        <v>0.34902822151224705</v>
      </c>
      <c r="D13" s="11">
        <v>7.1921202610060297E-2</v>
      </c>
    </row>
    <row r="14" spans="1:6" x14ac:dyDescent="0.2">
      <c r="A14" s="13" t="s">
        <v>47</v>
      </c>
      <c r="B14" s="10">
        <v>7.3</v>
      </c>
      <c r="C14" s="11">
        <v>0.6547843877872207</v>
      </c>
      <c r="D14" s="11">
        <v>0.14776394651913324</v>
      </c>
    </row>
    <row r="15" spans="1:6" x14ac:dyDescent="0.2">
      <c r="A15" s="13" t="s">
        <v>48</v>
      </c>
      <c r="B15" s="10">
        <v>6.31</v>
      </c>
      <c r="C15" s="11">
        <v>0.66694155515947962</v>
      </c>
      <c r="D15" s="11">
        <v>0.20780370072405471</v>
      </c>
    </row>
    <row r="16" spans="1:6" x14ac:dyDescent="0.2">
      <c r="A16" s="13" t="s">
        <v>49</v>
      </c>
      <c r="B16" s="10">
        <v>23.2</v>
      </c>
      <c r="C16" s="11">
        <v>0.50601664996675622</v>
      </c>
      <c r="D16" s="11">
        <v>0.17271944098784339</v>
      </c>
    </row>
    <row r="17" spans="1:4" x14ac:dyDescent="0.2">
      <c r="A17" s="13" t="s">
        <v>50</v>
      </c>
      <c r="B17" s="10">
        <v>55.1</v>
      </c>
      <c r="C17" s="11">
        <v>0.30889738745795514</v>
      </c>
      <c r="D17" s="11">
        <v>5.5376506529694162E-2</v>
      </c>
    </row>
    <row r="18" spans="1:4" x14ac:dyDescent="0.2">
      <c r="A18" s="13" t="s">
        <v>51</v>
      </c>
      <c r="B18" s="10">
        <v>4.7</v>
      </c>
      <c r="C18" s="11">
        <v>0.51141724544620626</v>
      </c>
      <c r="D18" s="11">
        <v>0.14580793715291887</v>
      </c>
    </row>
    <row r="19" spans="1:4" x14ac:dyDescent="0.2">
      <c r="A19" s="13" t="s">
        <v>52</v>
      </c>
      <c r="B19" s="10">
        <v>19.2</v>
      </c>
      <c r="C19" s="11">
        <v>0.52186185042165234</v>
      </c>
      <c r="D19" s="11">
        <v>0.16130917592051433</v>
      </c>
    </row>
    <row r="20" spans="1:4" x14ac:dyDescent="0.2">
      <c r="A20" s="13" t="s">
        <v>53</v>
      </c>
      <c r="B20" s="10">
        <v>11.73</v>
      </c>
      <c r="C20" s="11">
        <v>0.4107054271257069</v>
      </c>
      <c r="D20" s="11">
        <v>0.26645155812176274</v>
      </c>
    </row>
    <row r="21" spans="1:4" x14ac:dyDescent="0.2">
      <c r="A21" s="13" t="s">
        <v>54</v>
      </c>
      <c r="B21" s="10">
        <v>24.72</v>
      </c>
      <c r="C21" s="11">
        <v>0.43323901712583768</v>
      </c>
      <c r="D21" s="11">
        <v>6.2657391916879454E-2</v>
      </c>
    </row>
    <row r="22" spans="1:4" x14ac:dyDescent="0.2">
      <c r="A22" s="13" t="s">
        <v>55</v>
      </c>
      <c r="B22" s="10">
        <v>0</v>
      </c>
      <c r="C22" s="11">
        <v>0.58641544133900392</v>
      </c>
      <c r="D22" s="11">
        <v>0.26950553601105043</v>
      </c>
    </row>
    <row r="23" spans="1:4" x14ac:dyDescent="0.2">
      <c r="A23" s="13" t="s">
        <v>56</v>
      </c>
      <c r="B23" s="10">
        <v>6.6</v>
      </c>
      <c r="C23" s="11">
        <v>0.61101918778484132</v>
      </c>
      <c r="D23" s="11">
        <v>0.17830395642635599</v>
      </c>
    </row>
    <row r="24" spans="1:4" x14ac:dyDescent="0.2">
      <c r="A24" s="13" t="s">
        <v>57</v>
      </c>
      <c r="B24" s="10">
        <v>11.5</v>
      </c>
      <c r="C24" s="11">
        <v>0.60879206496658778</v>
      </c>
      <c r="D24" s="11">
        <v>0.19000850668935118</v>
      </c>
    </row>
    <row r="25" spans="1:4" x14ac:dyDescent="0.2">
      <c r="A25" s="13" t="s">
        <v>58</v>
      </c>
      <c r="B25" s="10">
        <v>6.6</v>
      </c>
      <c r="C25" s="11">
        <v>0.63084697955026248</v>
      </c>
      <c r="D25" s="11">
        <v>0.1416262789445342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6B2A-B192-324D-B000-2C39BF67761F}">
  <dimension ref="A1:K532"/>
  <sheetViews>
    <sheetView workbookViewId="0">
      <selection activeCell="E17" sqref="E17"/>
    </sheetView>
  </sheetViews>
  <sheetFormatPr baseColWidth="10" defaultRowHeight="16" x14ac:dyDescent="0.2"/>
  <cols>
    <col min="1" max="1" width="17.5" bestFit="1" customWidth="1"/>
    <col min="2" max="2" width="13" bestFit="1" customWidth="1"/>
    <col min="3" max="3" width="20" bestFit="1" customWidth="1"/>
    <col min="4" max="4" width="16.6640625" bestFit="1" customWidth="1"/>
    <col min="5" max="5" width="17.1640625" bestFit="1" customWidth="1"/>
    <col min="6" max="6" width="21.1640625" bestFit="1" customWidth="1"/>
    <col min="7" max="7" width="15.1640625" bestFit="1" customWidth="1"/>
    <col min="8" max="8" width="21.1640625" bestFit="1" customWidth="1"/>
    <col min="9" max="9" width="25.1640625" bestFit="1" customWidth="1"/>
    <col min="10" max="10" width="20.6640625" bestFit="1" customWidth="1"/>
    <col min="11" max="11" width="16" bestFit="1" customWidth="1"/>
  </cols>
  <sheetData>
    <row r="1" spans="1:11" x14ac:dyDescent="0.2">
      <c r="A1" t="s">
        <v>1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111</v>
      </c>
      <c r="K1" t="s">
        <v>112</v>
      </c>
    </row>
    <row r="2" spans="1:11" x14ac:dyDescent="0.2">
      <c r="A2">
        <v>2023</v>
      </c>
      <c r="B2">
        <v>500</v>
      </c>
      <c r="C2" t="s">
        <v>72</v>
      </c>
      <c r="D2" t="s">
        <v>80</v>
      </c>
      <c r="E2">
        <v>27000</v>
      </c>
      <c r="F2">
        <v>3.6</v>
      </c>
      <c r="G2">
        <v>4</v>
      </c>
      <c r="H2">
        <v>383000</v>
      </c>
      <c r="I2">
        <v>7.2</v>
      </c>
      <c r="J2">
        <v>14.3</v>
      </c>
      <c r="K2">
        <v>24.8</v>
      </c>
    </row>
    <row r="3" spans="1:11" x14ac:dyDescent="0.2">
      <c r="A3">
        <v>2023</v>
      </c>
      <c r="B3">
        <v>500</v>
      </c>
      <c r="C3" t="s">
        <v>72</v>
      </c>
      <c r="D3" t="s">
        <v>74</v>
      </c>
      <c r="E3">
        <v>58000</v>
      </c>
      <c r="F3">
        <v>7.6</v>
      </c>
      <c r="G3">
        <v>8.5</v>
      </c>
      <c r="H3">
        <v>469000</v>
      </c>
      <c r="I3">
        <v>8.9</v>
      </c>
      <c r="J3">
        <v>8.1</v>
      </c>
      <c r="K3">
        <v>21.8</v>
      </c>
    </row>
    <row r="4" spans="1:11" x14ac:dyDescent="0.2">
      <c r="A4">
        <v>2023</v>
      </c>
      <c r="B4">
        <v>500</v>
      </c>
      <c r="C4" t="s">
        <v>72</v>
      </c>
      <c r="D4" t="s">
        <v>75</v>
      </c>
      <c r="E4">
        <v>312000</v>
      </c>
      <c r="F4">
        <v>41.3</v>
      </c>
      <c r="G4">
        <v>46.2</v>
      </c>
      <c r="H4">
        <v>2833000</v>
      </c>
      <c r="I4">
        <v>53.6</v>
      </c>
      <c r="J4">
        <v>9.1</v>
      </c>
      <c r="K4">
        <v>19.8</v>
      </c>
    </row>
    <row r="5" spans="1:11" x14ac:dyDescent="0.2">
      <c r="A5">
        <v>2023</v>
      </c>
      <c r="B5">
        <v>500</v>
      </c>
      <c r="C5" t="s">
        <v>72</v>
      </c>
      <c r="D5" t="s">
        <v>76</v>
      </c>
      <c r="E5">
        <v>158000</v>
      </c>
      <c r="F5">
        <v>21</v>
      </c>
      <c r="G5">
        <v>23.5</v>
      </c>
      <c r="H5">
        <v>1470000</v>
      </c>
      <c r="I5">
        <v>27.8</v>
      </c>
      <c r="J5">
        <v>9.3000000000000007</v>
      </c>
      <c r="K5">
        <v>19.100000000000001</v>
      </c>
    </row>
    <row r="6" spans="1:11" x14ac:dyDescent="0.2">
      <c r="A6">
        <v>2023</v>
      </c>
      <c r="B6">
        <v>500</v>
      </c>
      <c r="C6" t="s">
        <v>72</v>
      </c>
      <c r="D6" t="s">
        <v>77</v>
      </c>
      <c r="E6">
        <v>80000</v>
      </c>
      <c r="F6">
        <v>10.6</v>
      </c>
      <c r="H6">
        <v>58000</v>
      </c>
      <c r="I6">
        <v>1.1000000000000001</v>
      </c>
      <c r="J6">
        <v>0.7</v>
      </c>
      <c r="K6">
        <v>10.4</v>
      </c>
    </row>
    <row r="7" spans="1:11" x14ac:dyDescent="0.2">
      <c r="A7">
        <v>2023</v>
      </c>
      <c r="B7">
        <v>500</v>
      </c>
      <c r="C7" t="s">
        <v>72</v>
      </c>
      <c r="D7" t="s">
        <v>78</v>
      </c>
      <c r="E7">
        <v>121000</v>
      </c>
      <c r="F7">
        <v>16</v>
      </c>
      <c r="G7">
        <v>17.899999999999999</v>
      </c>
      <c r="H7">
        <v>77000</v>
      </c>
      <c r="I7">
        <v>1.5</v>
      </c>
      <c r="J7">
        <v>0.6</v>
      </c>
      <c r="K7">
        <v>11</v>
      </c>
    </row>
    <row r="8" spans="1:11" x14ac:dyDescent="0.2">
      <c r="A8">
        <v>2023</v>
      </c>
      <c r="B8">
        <v>750</v>
      </c>
      <c r="C8" t="s">
        <v>35</v>
      </c>
      <c r="D8" t="s">
        <v>80</v>
      </c>
      <c r="E8">
        <v>18000</v>
      </c>
      <c r="F8">
        <v>1.3</v>
      </c>
      <c r="G8">
        <v>1.4</v>
      </c>
      <c r="H8">
        <v>30000</v>
      </c>
      <c r="I8">
        <v>0.3</v>
      </c>
      <c r="J8">
        <v>1.7</v>
      </c>
      <c r="K8">
        <v>7.3</v>
      </c>
    </row>
    <row r="9" spans="1:11" x14ac:dyDescent="0.2">
      <c r="A9">
        <v>2023</v>
      </c>
      <c r="B9">
        <v>750</v>
      </c>
      <c r="C9" t="s">
        <v>35</v>
      </c>
      <c r="D9" t="s">
        <v>74</v>
      </c>
      <c r="E9">
        <v>83000</v>
      </c>
      <c r="F9">
        <v>6</v>
      </c>
      <c r="G9">
        <v>6.5</v>
      </c>
      <c r="H9">
        <v>1372000</v>
      </c>
      <c r="I9">
        <v>12</v>
      </c>
      <c r="J9">
        <v>16.5</v>
      </c>
      <c r="K9">
        <v>28.2</v>
      </c>
    </row>
    <row r="10" spans="1:11" x14ac:dyDescent="0.2">
      <c r="A10">
        <v>2023</v>
      </c>
      <c r="B10">
        <v>750</v>
      </c>
      <c r="C10" t="s">
        <v>35</v>
      </c>
      <c r="D10" t="s">
        <v>75</v>
      </c>
      <c r="E10">
        <v>653000</v>
      </c>
      <c r="F10">
        <v>46.9</v>
      </c>
      <c r="G10">
        <v>51.3</v>
      </c>
      <c r="H10">
        <v>6770000</v>
      </c>
      <c r="I10">
        <v>59.4</v>
      </c>
      <c r="J10">
        <v>10.4</v>
      </c>
      <c r="K10">
        <v>19.3</v>
      </c>
    </row>
    <row r="11" spans="1:11" x14ac:dyDescent="0.2">
      <c r="A11">
        <v>2023</v>
      </c>
      <c r="B11">
        <v>750</v>
      </c>
      <c r="C11" t="s">
        <v>35</v>
      </c>
      <c r="D11" t="s">
        <v>76</v>
      </c>
      <c r="E11">
        <v>345000</v>
      </c>
      <c r="F11">
        <v>24.8</v>
      </c>
      <c r="G11">
        <v>27.1</v>
      </c>
      <c r="H11">
        <v>3018000</v>
      </c>
      <c r="I11">
        <v>26.5</v>
      </c>
      <c r="J11">
        <v>8.6999999999999993</v>
      </c>
      <c r="K11">
        <v>16.3</v>
      </c>
    </row>
    <row r="12" spans="1:11" x14ac:dyDescent="0.2">
      <c r="A12">
        <v>2023</v>
      </c>
      <c r="B12">
        <v>750</v>
      </c>
      <c r="C12" t="s">
        <v>35</v>
      </c>
      <c r="D12" t="s">
        <v>77</v>
      </c>
      <c r="E12">
        <v>120000</v>
      </c>
      <c r="F12">
        <v>8.6</v>
      </c>
      <c r="H12">
        <v>74000</v>
      </c>
      <c r="I12">
        <v>0.6</v>
      </c>
      <c r="J12">
        <v>0.6</v>
      </c>
      <c r="K12">
        <v>7.6</v>
      </c>
    </row>
    <row r="13" spans="1:11" x14ac:dyDescent="0.2">
      <c r="A13">
        <v>2023</v>
      </c>
      <c r="B13">
        <v>750</v>
      </c>
      <c r="C13" t="s">
        <v>35</v>
      </c>
      <c r="D13" t="s">
        <v>78</v>
      </c>
      <c r="E13">
        <v>174000</v>
      </c>
      <c r="F13">
        <v>12.5</v>
      </c>
      <c r="G13">
        <v>13.7</v>
      </c>
      <c r="H13">
        <v>132000</v>
      </c>
      <c r="I13">
        <v>1.2</v>
      </c>
      <c r="J13">
        <v>0.8</v>
      </c>
      <c r="K13">
        <v>11.9</v>
      </c>
    </row>
    <row r="14" spans="1:11" x14ac:dyDescent="0.2">
      <c r="A14">
        <v>2023</v>
      </c>
      <c r="B14">
        <v>900</v>
      </c>
      <c r="C14" t="s">
        <v>79</v>
      </c>
      <c r="D14" t="s">
        <v>80</v>
      </c>
      <c r="E14">
        <v>2000</v>
      </c>
      <c r="F14">
        <v>0.5</v>
      </c>
      <c r="G14">
        <v>0.5</v>
      </c>
      <c r="H14">
        <v>6000</v>
      </c>
      <c r="I14">
        <v>0.2</v>
      </c>
      <c r="J14">
        <v>4.0999999999999996</v>
      </c>
      <c r="K14">
        <v>54.8</v>
      </c>
    </row>
    <row r="15" spans="1:11" x14ac:dyDescent="0.2">
      <c r="A15">
        <v>2023</v>
      </c>
      <c r="B15">
        <v>900</v>
      </c>
      <c r="C15" t="s">
        <v>79</v>
      </c>
      <c r="D15" t="s">
        <v>81</v>
      </c>
      <c r="E15">
        <v>16000</v>
      </c>
      <c r="F15">
        <v>4.9000000000000004</v>
      </c>
      <c r="G15">
        <v>5.3</v>
      </c>
      <c r="H15">
        <v>432000</v>
      </c>
      <c r="I15">
        <v>10.7</v>
      </c>
      <c r="J15">
        <v>27.3</v>
      </c>
      <c r="K15">
        <v>37.5</v>
      </c>
    </row>
    <row r="16" spans="1:11" x14ac:dyDescent="0.2">
      <c r="A16">
        <v>2023</v>
      </c>
      <c r="B16">
        <v>900</v>
      </c>
      <c r="C16" t="s">
        <v>79</v>
      </c>
      <c r="D16" t="s">
        <v>75</v>
      </c>
      <c r="E16">
        <v>159000</v>
      </c>
      <c r="F16">
        <v>49.5</v>
      </c>
      <c r="G16">
        <v>53</v>
      </c>
      <c r="H16">
        <v>2405000</v>
      </c>
      <c r="I16">
        <v>59.6</v>
      </c>
      <c r="J16">
        <v>15.1</v>
      </c>
      <c r="K16">
        <v>20.9</v>
      </c>
    </row>
    <row r="17" spans="1:11" x14ac:dyDescent="0.2">
      <c r="A17">
        <v>2023</v>
      </c>
      <c r="B17">
        <v>900</v>
      </c>
      <c r="C17" t="s">
        <v>79</v>
      </c>
      <c r="D17" t="s">
        <v>76</v>
      </c>
      <c r="E17">
        <v>77000</v>
      </c>
      <c r="F17">
        <v>24</v>
      </c>
      <c r="G17">
        <v>25.7</v>
      </c>
      <c r="H17">
        <v>1140000</v>
      </c>
      <c r="I17">
        <v>28.2</v>
      </c>
      <c r="J17">
        <v>14.8</v>
      </c>
      <c r="K17">
        <v>20.5</v>
      </c>
    </row>
    <row r="18" spans="1:11" x14ac:dyDescent="0.2">
      <c r="A18">
        <v>2023</v>
      </c>
      <c r="B18">
        <v>900</v>
      </c>
      <c r="C18" t="s">
        <v>79</v>
      </c>
      <c r="D18" t="s">
        <v>77</v>
      </c>
      <c r="E18">
        <v>21000</v>
      </c>
      <c r="F18">
        <v>6.6</v>
      </c>
      <c r="H18">
        <v>14000</v>
      </c>
      <c r="I18">
        <v>0.4</v>
      </c>
      <c r="J18">
        <v>0.7</v>
      </c>
      <c r="K18">
        <v>11.5</v>
      </c>
    </row>
    <row r="19" spans="1:11" x14ac:dyDescent="0.2">
      <c r="A19">
        <v>2023</v>
      </c>
      <c r="B19">
        <v>900</v>
      </c>
      <c r="C19" t="s">
        <v>79</v>
      </c>
      <c r="D19" t="s">
        <v>78</v>
      </c>
      <c r="E19">
        <v>46000</v>
      </c>
      <c r="F19">
        <v>14.5</v>
      </c>
      <c r="G19">
        <v>15.5</v>
      </c>
      <c r="H19">
        <v>39000</v>
      </c>
      <c r="I19">
        <v>1</v>
      </c>
      <c r="J19">
        <v>0.8</v>
      </c>
      <c r="K19">
        <v>13.3</v>
      </c>
    </row>
    <row r="20" spans="1:11" x14ac:dyDescent="0.2">
      <c r="A20">
        <v>2023</v>
      </c>
      <c r="B20">
        <v>1300</v>
      </c>
      <c r="C20" t="s">
        <v>36</v>
      </c>
      <c r="D20" t="s">
        <v>81</v>
      </c>
      <c r="E20">
        <v>20000</v>
      </c>
      <c r="F20">
        <v>9.3000000000000007</v>
      </c>
      <c r="G20">
        <v>10.7</v>
      </c>
      <c r="H20">
        <v>195000</v>
      </c>
      <c r="I20">
        <v>13.5</v>
      </c>
      <c r="J20">
        <v>10</v>
      </c>
      <c r="K20">
        <v>20.3</v>
      </c>
    </row>
    <row r="21" spans="1:11" x14ac:dyDescent="0.2">
      <c r="A21">
        <v>2023</v>
      </c>
      <c r="B21">
        <v>1300</v>
      </c>
      <c r="C21" t="s">
        <v>36</v>
      </c>
      <c r="D21" t="s">
        <v>82</v>
      </c>
      <c r="E21">
        <v>104000</v>
      </c>
      <c r="F21">
        <v>49.5</v>
      </c>
      <c r="G21">
        <v>56.8</v>
      </c>
      <c r="H21">
        <v>845000</v>
      </c>
      <c r="I21">
        <v>58.6</v>
      </c>
      <c r="J21">
        <v>8.1999999999999993</v>
      </c>
      <c r="K21">
        <v>20</v>
      </c>
    </row>
    <row r="22" spans="1:11" x14ac:dyDescent="0.2">
      <c r="A22">
        <v>2023</v>
      </c>
      <c r="B22">
        <v>1300</v>
      </c>
      <c r="C22" t="s">
        <v>36</v>
      </c>
      <c r="D22" t="s">
        <v>83</v>
      </c>
      <c r="E22">
        <v>26000</v>
      </c>
      <c r="F22">
        <v>12.4</v>
      </c>
      <c r="G22">
        <v>14.2</v>
      </c>
      <c r="H22">
        <v>366000</v>
      </c>
      <c r="I22">
        <v>25.4</v>
      </c>
      <c r="J22">
        <v>14.1</v>
      </c>
      <c r="K22">
        <v>24.7</v>
      </c>
    </row>
    <row r="23" spans="1:11" x14ac:dyDescent="0.2">
      <c r="A23">
        <v>2023</v>
      </c>
      <c r="B23">
        <v>1300</v>
      </c>
      <c r="C23" t="s">
        <v>36</v>
      </c>
      <c r="D23" t="s">
        <v>84</v>
      </c>
      <c r="E23">
        <v>27000</v>
      </c>
      <c r="F23">
        <v>12.9</v>
      </c>
      <c r="H23">
        <v>16000</v>
      </c>
      <c r="I23">
        <v>1.1000000000000001</v>
      </c>
      <c r="J23">
        <v>0.6</v>
      </c>
      <c r="K23">
        <v>11.3</v>
      </c>
    </row>
    <row r="24" spans="1:11" x14ac:dyDescent="0.2">
      <c r="A24">
        <v>2023</v>
      </c>
      <c r="B24">
        <v>1300</v>
      </c>
      <c r="C24" t="s">
        <v>36</v>
      </c>
      <c r="D24" t="s">
        <v>85</v>
      </c>
      <c r="E24">
        <v>33000</v>
      </c>
      <c r="F24">
        <v>15.9</v>
      </c>
      <c r="G24">
        <v>18.2</v>
      </c>
      <c r="H24">
        <v>19000</v>
      </c>
      <c r="I24">
        <v>1.3</v>
      </c>
      <c r="J24">
        <v>0.6</v>
      </c>
      <c r="K24">
        <v>11.8</v>
      </c>
    </row>
    <row r="25" spans="1:11" x14ac:dyDescent="0.2">
      <c r="A25">
        <v>2023</v>
      </c>
      <c r="B25">
        <v>1450</v>
      </c>
      <c r="C25" t="s">
        <v>37</v>
      </c>
      <c r="D25" t="s">
        <v>80</v>
      </c>
      <c r="E25">
        <v>5000</v>
      </c>
      <c r="F25">
        <v>1.2</v>
      </c>
      <c r="G25">
        <v>1.3</v>
      </c>
      <c r="H25">
        <v>6000</v>
      </c>
      <c r="I25">
        <v>0.1</v>
      </c>
      <c r="J25">
        <v>1.1000000000000001</v>
      </c>
      <c r="K25">
        <v>5</v>
      </c>
    </row>
    <row r="26" spans="1:11" x14ac:dyDescent="0.2">
      <c r="A26">
        <v>2023</v>
      </c>
      <c r="B26">
        <v>1450</v>
      </c>
      <c r="C26" t="s">
        <v>37</v>
      </c>
      <c r="D26" t="s">
        <v>87</v>
      </c>
      <c r="E26">
        <v>33000</v>
      </c>
      <c r="F26">
        <v>7.9</v>
      </c>
      <c r="G26">
        <v>8.5</v>
      </c>
      <c r="H26">
        <v>516000</v>
      </c>
      <c r="I26">
        <v>12.9</v>
      </c>
      <c r="J26">
        <v>15.8</v>
      </c>
      <c r="K26">
        <v>30.5</v>
      </c>
    </row>
    <row r="27" spans="1:11" x14ac:dyDescent="0.2">
      <c r="A27">
        <v>2023</v>
      </c>
      <c r="B27">
        <v>1450</v>
      </c>
      <c r="C27" t="s">
        <v>37</v>
      </c>
      <c r="D27" t="s">
        <v>75</v>
      </c>
      <c r="E27">
        <v>200000</v>
      </c>
      <c r="F27">
        <v>48.4</v>
      </c>
      <c r="G27">
        <v>51.9</v>
      </c>
      <c r="H27">
        <v>2525000</v>
      </c>
      <c r="I27">
        <v>63.3</v>
      </c>
      <c r="J27">
        <v>12.6</v>
      </c>
      <c r="K27">
        <v>19.899999999999999</v>
      </c>
    </row>
    <row r="28" spans="1:11" x14ac:dyDescent="0.2">
      <c r="A28">
        <v>2023</v>
      </c>
      <c r="B28">
        <v>1450</v>
      </c>
      <c r="C28" t="s">
        <v>37</v>
      </c>
      <c r="D28" t="s">
        <v>76</v>
      </c>
      <c r="E28">
        <v>118000</v>
      </c>
      <c r="F28">
        <v>28.5</v>
      </c>
      <c r="G28">
        <v>30.6</v>
      </c>
      <c r="H28">
        <v>894000</v>
      </c>
      <c r="I28">
        <v>22.4</v>
      </c>
      <c r="J28">
        <v>7.6</v>
      </c>
      <c r="K28">
        <v>12.7</v>
      </c>
    </row>
    <row r="29" spans="1:11" x14ac:dyDescent="0.2">
      <c r="A29">
        <v>2023</v>
      </c>
      <c r="B29">
        <v>1450</v>
      </c>
      <c r="C29" t="s">
        <v>37</v>
      </c>
      <c r="D29" t="s">
        <v>88</v>
      </c>
      <c r="E29">
        <v>28000</v>
      </c>
      <c r="F29">
        <v>6.9</v>
      </c>
      <c r="H29">
        <v>17000</v>
      </c>
      <c r="I29">
        <v>0.4</v>
      </c>
      <c r="J29">
        <v>0.6</v>
      </c>
      <c r="K29">
        <v>8</v>
      </c>
    </row>
    <row r="30" spans="1:11" x14ac:dyDescent="0.2">
      <c r="A30">
        <v>2023</v>
      </c>
      <c r="B30">
        <v>1450</v>
      </c>
      <c r="C30" t="s">
        <v>37</v>
      </c>
      <c r="D30" t="s">
        <v>85</v>
      </c>
      <c r="E30">
        <v>29000</v>
      </c>
      <c r="F30">
        <v>7.1</v>
      </c>
      <c r="G30">
        <v>7.6</v>
      </c>
      <c r="H30">
        <v>30000</v>
      </c>
      <c r="I30">
        <v>0.8</v>
      </c>
      <c r="J30">
        <v>1</v>
      </c>
      <c r="K30">
        <v>16.7</v>
      </c>
    </row>
    <row r="31" spans="1:11" x14ac:dyDescent="0.2">
      <c r="A31">
        <v>2023</v>
      </c>
      <c r="B31">
        <v>1500</v>
      </c>
      <c r="C31" t="s">
        <v>38</v>
      </c>
      <c r="D31" t="s">
        <v>80</v>
      </c>
      <c r="E31">
        <v>1000</v>
      </c>
      <c r="F31">
        <v>0.2</v>
      </c>
      <c r="G31">
        <v>0.2</v>
      </c>
      <c r="H31">
        <v>12000</v>
      </c>
      <c r="I31">
        <v>0.2</v>
      </c>
      <c r="J31">
        <v>11.4</v>
      </c>
      <c r="K31">
        <v>25</v>
      </c>
    </row>
    <row r="32" spans="1:11" x14ac:dyDescent="0.2">
      <c r="A32">
        <v>2023</v>
      </c>
      <c r="B32">
        <v>1500</v>
      </c>
      <c r="C32" t="s">
        <v>38</v>
      </c>
      <c r="D32" t="s">
        <v>81</v>
      </c>
      <c r="E32">
        <v>28000</v>
      </c>
      <c r="F32">
        <v>5.2</v>
      </c>
      <c r="G32">
        <v>5.5</v>
      </c>
      <c r="H32">
        <v>484000</v>
      </c>
      <c r="I32">
        <v>9.4</v>
      </c>
      <c r="J32">
        <v>17.399999999999999</v>
      </c>
      <c r="K32">
        <v>27.9</v>
      </c>
    </row>
    <row r="33" spans="1:11" x14ac:dyDescent="0.2">
      <c r="A33">
        <v>2023</v>
      </c>
      <c r="B33">
        <v>1500</v>
      </c>
      <c r="C33" t="s">
        <v>38</v>
      </c>
      <c r="D33" t="s">
        <v>75</v>
      </c>
      <c r="E33">
        <v>278000</v>
      </c>
      <c r="F33">
        <v>52.4</v>
      </c>
      <c r="G33">
        <v>55.4</v>
      </c>
      <c r="H33">
        <v>3483000</v>
      </c>
      <c r="I33">
        <v>67.900000000000006</v>
      </c>
      <c r="J33">
        <v>12.5</v>
      </c>
      <c r="K33">
        <v>20.8</v>
      </c>
    </row>
    <row r="34" spans="1:11" x14ac:dyDescent="0.2">
      <c r="A34">
        <v>2023</v>
      </c>
      <c r="B34">
        <v>1500</v>
      </c>
      <c r="C34" t="s">
        <v>38</v>
      </c>
      <c r="D34" t="s">
        <v>76</v>
      </c>
      <c r="E34">
        <v>139000</v>
      </c>
      <c r="F34">
        <v>26.2</v>
      </c>
      <c r="G34">
        <v>27.6</v>
      </c>
      <c r="H34">
        <v>1100000</v>
      </c>
      <c r="I34">
        <v>21.4</v>
      </c>
      <c r="J34">
        <v>7.9</v>
      </c>
      <c r="K34">
        <v>15.4</v>
      </c>
    </row>
    <row r="35" spans="1:11" x14ac:dyDescent="0.2">
      <c r="A35">
        <v>2023</v>
      </c>
      <c r="B35">
        <v>1500</v>
      </c>
      <c r="C35" t="s">
        <v>38</v>
      </c>
      <c r="D35" t="s">
        <v>77</v>
      </c>
      <c r="E35">
        <v>28000</v>
      </c>
      <c r="F35">
        <v>5.3</v>
      </c>
      <c r="H35">
        <v>15000</v>
      </c>
      <c r="I35">
        <v>0.3</v>
      </c>
      <c r="J35">
        <v>0.5</v>
      </c>
      <c r="K35">
        <v>9</v>
      </c>
    </row>
    <row r="36" spans="1:11" x14ac:dyDescent="0.2">
      <c r="A36">
        <v>2023</v>
      </c>
      <c r="B36">
        <v>1500</v>
      </c>
      <c r="C36" t="s">
        <v>38</v>
      </c>
      <c r="D36" t="s">
        <v>85</v>
      </c>
      <c r="E36">
        <v>56000</v>
      </c>
      <c r="F36">
        <v>10.6</v>
      </c>
      <c r="G36">
        <v>11.2</v>
      </c>
      <c r="H36">
        <v>37000</v>
      </c>
      <c r="I36">
        <v>0.7</v>
      </c>
      <c r="J36">
        <v>0.7</v>
      </c>
      <c r="K36">
        <v>14.8</v>
      </c>
    </row>
    <row r="37" spans="1:11" x14ac:dyDescent="0.2">
      <c r="A37">
        <v>2023</v>
      </c>
      <c r="B37">
        <v>1520</v>
      </c>
      <c r="C37" t="s">
        <v>39</v>
      </c>
      <c r="D37" t="s">
        <v>73</v>
      </c>
      <c r="E37">
        <v>12000</v>
      </c>
      <c r="F37">
        <v>2.7</v>
      </c>
      <c r="G37">
        <v>3.3</v>
      </c>
      <c r="H37">
        <v>56000</v>
      </c>
      <c r="I37">
        <v>2.7</v>
      </c>
      <c r="J37">
        <v>4.7</v>
      </c>
      <c r="K37">
        <v>15.3</v>
      </c>
    </row>
    <row r="38" spans="1:11" x14ac:dyDescent="0.2">
      <c r="A38">
        <v>2023</v>
      </c>
      <c r="B38">
        <v>1520</v>
      </c>
      <c r="C38" t="s">
        <v>39</v>
      </c>
      <c r="D38" t="s">
        <v>81</v>
      </c>
      <c r="E38">
        <v>57000</v>
      </c>
      <c r="F38">
        <v>12.9</v>
      </c>
      <c r="G38">
        <v>15.5</v>
      </c>
      <c r="H38">
        <v>398000</v>
      </c>
      <c r="I38">
        <v>19.100000000000001</v>
      </c>
      <c r="J38">
        <v>7</v>
      </c>
      <c r="K38">
        <v>17.600000000000001</v>
      </c>
    </row>
    <row r="39" spans="1:11" x14ac:dyDescent="0.2">
      <c r="A39">
        <v>2023</v>
      </c>
      <c r="B39">
        <v>1520</v>
      </c>
      <c r="C39" t="s">
        <v>39</v>
      </c>
      <c r="D39" t="s">
        <v>75</v>
      </c>
      <c r="E39">
        <v>156000</v>
      </c>
      <c r="F39">
        <v>35.4</v>
      </c>
      <c r="G39">
        <v>42.6</v>
      </c>
      <c r="H39">
        <v>1275000</v>
      </c>
      <c r="I39">
        <v>61.1</v>
      </c>
      <c r="J39">
        <v>8.1999999999999993</v>
      </c>
      <c r="K39">
        <v>19.8</v>
      </c>
    </row>
    <row r="40" spans="1:11" x14ac:dyDescent="0.2">
      <c r="A40">
        <v>2023</v>
      </c>
      <c r="B40">
        <v>1520</v>
      </c>
      <c r="C40" t="s">
        <v>39</v>
      </c>
      <c r="D40" t="s">
        <v>76</v>
      </c>
      <c r="E40">
        <v>57000</v>
      </c>
      <c r="F40">
        <v>12.9</v>
      </c>
      <c r="G40">
        <v>15.5</v>
      </c>
      <c r="H40">
        <v>254000</v>
      </c>
      <c r="I40">
        <v>12.2</v>
      </c>
      <c r="J40">
        <v>4.5</v>
      </c>
      <c r="K40">
        <v>14.7</v>
      </c>
    </row>
    <row r="41" spans="1:11" x14ac:dyDescent="0.2">
      <c r="A41">
        <v>2023</v>
      </c>
      <c r="B41">
        <v>1520</v>
      </c>
      <c r="C41" t="s">
        <v>39</v>
      </c>
      <c r="D41" t="s">
        <v>77</v>
      </c>
      <c r="E41">
        <v>74000</v>
      </c>
      <c r="F41">
        <v>16.899999999999999</v>
      </c>
      <c r="H41">
        <v>39000</v>
      </c>
      <c r="I41">
        <v>1.9</v>
      </c>
      <c r="J41">
        <v>0.5</v>
      </c>
      <c r="K41">
        <v>8.1999999999999993</v>
      </c>
    </row>
    <row r="42" spans="1:11" x14ac:dyDescent="0.2">
      <c r="A42">
        <v>2023</v>
      </c>
      <c r="B42">
        <v>1520</v>
      </c>
      <c r="C42" t="s">
        <v>39</v>
      </c>
      <c r="D42" t="s">
        <v>78</v>
      </c>
      <c r="E42">
        <v>84000</v>
      </c>
      <c r="F42">
        <v>19.2</v>
      </c>
      <c r="G42">
        <v>23.1</v>
      </c>
      <c r="H42">
        <v>63000</v>
      </c>
      <c r="I42">
        <v>3</v>
      </c>
      <c r="J42">
        <v>0.7</v>
      </c>
      <c r="K42">
        <v>11.6</v>
      </c>
    </row>
    <row r="43" spans="1:11" x14ac:dyDescent="0.2">
      <c r="A43">
        <v>2023</v>
      </c>
      <c r="B43">
        <v>1570</v>
      </c>
      <c r="C43" t="s">
        <v>40</v>
      </c>
      <c r="D43" t="s">
        <v>73</v>
      </c>
      <c r="E43">
        <v>8000</v>
      </c>
      <c r="F43">
        <v>0.8</v>
      </c>
      <c r="G43">
        <v>0.9</v>
      </c>
      <c r="H43">
        <v>43000</v>
      </c>
      <c r="I43">
        <v>0.6</v>
      </c>
      <c r="J43">
        <v>5.2</v>
      </c>
      <c r="K43">
        <v>15.1</v>
      </c>
    </row>
    <row r="44" spans="1:11" x14ac:dyDescent="0.2">
      <c r="A44">
        <v>2023</v>
      </c>
      <c r="B44">
        <v>1570</v>
      </c>
      <c r="C44" t="s">
        <v>40</v>
      </c>
      <c r="D44" t="s">
        <v>74</v>
      </c>
      <c r="E44">
        <v>106000</v>
      </c>
      <c r="F44">
        <v>10.5</v>
      </c>
      <c r="G44">
        <v>12.1</v>
      </c>
      <c r="H44">
        <v>1167000</v>
      </c>
      <c r="I44">
        <v>16.5</v>
      </c>
      <c r="J44">
        <v>11</v>
      </c>
      <c r="K44">
        <v>24.5</v>
      </c>
    </row>
    <row r="45" spans="1:11" x14ac:dyDescent="0.2">
      <c r="A45">
        <v>2023</v>
      </c>
      <c r="B45">
        <v>1570</v>
      </c>
      <c r="C45" t="s">
        <v>40</v>
      </c>
      <c r="D45" t="s">
        <v>75</v>
      </c>
      <c r="E45">
        <v>459000</v>
      </c>
      <c r="F45">
        <v>45.6</v>
      </c>
      <c r="G45">
        <v>52.5</v>
      </c>
      <c r="H45">
        <v>4474000</v>
      </c>
      <c r="I45">
        <v>63.3</v>
      </c>
      <c r="J45">
        <v>9.6999999999999993</v>
      </c>
      <c r="K45">
        <v>21.4</v>
      </c>
    </row>
    <row r="46" spans="1:11" x14ac:dyDescent="0.2">
      <c r="A46">
        <v>2023</v>
      </c>
      <c r="B46">
        <v>1570</v>
      </c>
      <c r="C46" t="s">
        <v>40</v>
      </c>
      <c r="D46" t="s">
        <v>76</v>
      </c>
      <c r="E46">
        <v>184000</v>
      </c>
      <c r="F46">
        <v>18.2</v>
      </c>
      <c r="G46">
        <v>21</v>
      </c>
      <c r="H46">
        <v>1222000</v>
      </c>
      <c r="I46">
        <v>17.3</v>
      </c>
      <c r="J46">
        <v>6.7</v>
      </c>
      <c r="K46">
        <v>18</v>
      </c>
    </row>
    <row r="47" spans="1:11" x14ac:dyDescent="0.2">
      <c r="A47">
        <v>2023</v>
      </c>
      <c r="B47">
        <v>1570</v>
      </c>
      <c r="C47" t="s">
        <v>40</v>
      </c>
      <c r="D47" t="s">
        <v>77</v>
      </c>
      <c r="E47">
        <v>133000</v>
      </c>
      <c r="F47">
        <v>13.2</v>
      </c>
      <c r="H47">
        <v>72000</v>
      </c>
      <c r="I47">
        <v>1</v>
      </c>
      <c r="J47">
        <v>0.5</v>
      </c>
      <c r="K47">
        <v>8.6999999999999993</v>
      </c>
    </row>
    <row r="48" spans="1:11" x14ac:dyDescent="0.2">
      <c r="A48">
        <v>2023</v>
      </c>
      <c r="B48">
        <v>1570</v>
      </c>
      <c r="C48" t="s">
        <v>40</v>
      </c>
      <c r="D48" t="s">
        <v>78</v>
      </c>
      <c r="E48">
        <v>117000</v>
      </c>
      <c r="F48">
        <v>11.6</v>
      </c>
      <c r="G48">
        <v>13.4</v>
      </c>
      <c r="H48">
        <v>90000</v>
      </c>
      <c r="I48">
        <v>1.3</v>
      </c>
      <c r="J48">
        <v>0.8</v>
      </c>
      <c r="K48">
        <v>12.2</v>
      </c>
    </row>
    <row r="49" spans="1:11" x14ac:dyDescent="0.2">
      <c r="A49">
        <v>2023</v>
      </c>
      <c r="B49">
        <v>1650</v>
      </c>
      <c r="C49" t="s">
        <v>33</v>
      </c>
      <c r="D49" t="s">
        <v>73</v>
      </c>
      <c r="E49">
        <v>37000</v>
      </c>
      <c r="F49">
        <v>2.6</v>
      </c>
      <c r="G49">
        <v>2.9</v>
      </c>
      <c r="H49">
        <v>137000</v>
      </c>
      <c r="I49">
        <v>0.9</v>
      </c>
      <c r="J49">
        <v>3.7</v>
      </c>
      <c r="K49">
        <v>16.5</v>
      </c>
    </row>
    <row r="50" spans="1:11" x14ac:dyDescent="0.2">
      <c r="A50">
        <v>2023</v>
      </c>
      <c r="B50">
        <v>1650</v>
      </c>
      <c r="C50" t="s">
        <v>33</v>
      </c>
      <c r="D50" t="s">
        <v>74</v>
      </c>
      <c r="E50">
        <v>101000</v>
      </c>
      <c r="F50">
        <v>7.3</v>
      </c>
      <c r="G50">
        <v>7.9</v>
      </c>
      <c r="H50">
        <v>2156000</v>
      </c>
      <c r="I50">
        <v>14.7</v>
      </c>
      <c r="J50">
        <v>21.3</v>
      </c>
      <c r="K50">
        <v>32.6</v>
      </c>
    </row>
    <row r="51" spans="1:11" x14ac:dyDescent="0.2">
      <c r="A51">
        <v>2023</v>
      </c>
      <c r="B51">
        <v>1650</v>
      </c>
      <c r="C51" t="s">
        <v>33</v>
      </c>
      <c r="D51" t="s">
        <v>75</v>
      </c>
      <c r="E51">
        <v>725000</v>
      </c>
      <c r="F51">
        <v>51.9</v>
      </c>
      <c r="G51">
        <v>56.4</v>
      </c>
      <c r="H51">
        <v>9124000</v>
      </c>
      <c r="I51">
        <v>62.1</v>
      </c>
      <c r="J51">
        <v>12.6</v>
      </c>
      <c r="K51">
        <v>18.5</v>
      </c>
    </row>
    <row r="52" spans="1:11" x14ac:dyDescent="0.2">
      <c r="A52">
        <v>2023</v>
      </c>
      <c r="B52">
        <v>1650</v>
      </c>
      <c r="C52" t="s">
        <v>33</v>
      </c>
      <c r="D52" t="s">
        <v>76</v>
      </c>
      <c r="E52">
        <v>295000</v>
      </c>
      <c r="F52">
        <v>21.2</v>
      </c>
      <c r="G52">
        <v>23</v>
      </c>
      <c r="H52">
        <v>3106000</v>
      </c>
      <c r="I52">
        <v>21.1</v>
      </c>
      <c r="J52">
        <v>10.5</v>
      </c>
      <c r="K52">
        <v>16.600000000000001</v>
      </c>
    </row>
    <row r="53" spans="1:11" x14ac:dyDescent="0.2">
      <c r="A53">
        <v>2023</v>
      </c>
      <c r="B53">
        <v>1650</v>
      </c>
      <c r="C53" t="s">
        <v>33</v>
      </c>
      <c r="D53" t="s">
        <v>77</v>
      </c>
      <c r="E53">
        <v>111000</v>
      </c>
      <c r="F53">
        <v>7.9</v>
      </c>
      <c r="H53">
        <v>75000</v>
      </c>
      <c r="I53">
        <v>0.5</v>
      </c>
      <c r="J53">
        <v>0.7</v>
      </c>
      <c r="K53">
        <v>9.5</v>
      </c>
    </row>
    <row r="54" spans="1:11" x14ac:dyDescent="0.2">
      <c r="A54">
        <v>2023</v>
      </c>
      <c r="B54">
        <v>1650</v>
      </c>
      <c r="C54" t="s">
        <v>33</v>
      </c>
      <c r="D54" t="s">
        <v>78</v>
      </c>
      <c r="E54">
        <v>127000</v>
      </c>
      <c r="F54">
        <v>9.1</v>
      </c>
      <c r="G54">
        <v>9.9</v>
      </c>
      <c r="H54">
        <v>98000</v>
      </c>
      <c r="I54">
        <v>0.7</v>
      </c>
      <c r="J54">
        <v>0.8</v>
      </c>
      <c r="K54">
        <v>12.8</v>
      </c>
    </row>
    <row r="55" spans="1:11" x14ac:dyDescent="0.2">
      <c r="A55">
        <v>2023</v>
      </c>
      <c r="B55">
        <v>1720</v>
      </c>
      <c r="C55" t="s">
        <v>86</v>
      </c>
      <c r="D55" t="s">
        <v>81</v>
      </c>
      <c r="E55">
        <v>4000</v>
      </c>
      <c r="F55">
        <v>2.5</v>
      </c>
      <c r="G55">
        <v>2.6</v>
      </c>
      <c r="H55">
        <v>56000</v>
      </c>
      <c r="I55">
        <v>2.7</v>
      </c>
      <c r="J55">
        <v>12.5</v>
      </c>
      <c r="K55">
        <v>23.1</v>
      </c>
    </row>
    <row r="56" spans="1:11" x14ac:dyDescent="0.2">
      <c r="A56">
        <v>2023</v>
      </c>
      <c r="B56">
        <v>1720</v>
      </c>
      <c r="C56" t="s">
        <v>86</v>
      </c>
      <c r="D56" t="s">
        <v>75</v>
      </c>
      <c r="E56">
        <v>113000</v>
      </c>
      <c r="F56">
        <v>64.7</v>
      </c>
      <c r="G56">
        <v>65.3</v>
      </c>
      <c r="H56">
        <v>1571000</v>
      </c>
      <c r="I56">
        <v>77.400000000000006</v>
      </c>
      <c r="J56">
        <v>13.9</v>
      </c>
      <c r="K56">
        <v>18.8</v>
      </c>
    </row>
    <row r="57" spans="1:11" x14ac:dyDescent="0.2">
      <c r="A57">
        <v>2023</v>
      </c>
      <c r="B57">
        <v>1720</v>
      </c>
      <c r="C57" t="s">
        <v>86</v>
      </c>
      <c r="D57" t="s">
        <v>76</v>
      </c>
      <c r="E57">
        <v>39000</v>
      </c>
      <c r="F57">
        <v>22.5</v>
      </c>
      <c r="G57">
        <v>22.7</v>
      </c>
      <c r="H57">
        <v>394000</v>
      </c>
      <c r="I57">
        <v>19.399999999999999</v>
      </c>
      <c r="J57">
        <v>10</v>
      </c>
      <c r="K57">
        <v>15.7</v>
      </c>
    </row>
    <row r="58" spans="1:11" x14ac:dyDescent="0.2">
      <c r="A58">
        <v>2023</v>
      </c>
      <c r="B58">
        <v>1720</v>
      </c>
      <c r="C58" t="s">
        <v>86</v>
      </c>
      <c r="D58" t="s">
        <v>88</v>
      </c>
      <c r="E58">
        <v>2000</v>
      </c>
      <c r="F58">
        <v>0.9</v>
      </c>
      <c r="H58">
        <v>1000</v>
      </c>
      <c r="I58">
        <v>0</v>
      </c>
      <c r="J58">
        <v>0.5</v>
      </c>
      <c r="K58">
        <v>10.7</v>
      </c>
    </row>
    <row r="59" spans="1:11" x14ac:dyDescent="0.2">
      <c r="A59">
        <v>2023</v>
      </c>
      <c r="B59">
        <v>1720</v>
      </c>
      <c r="C59" t="s">
        <v>86</v>
      </c>
      <c r="D59" t="s">
        <v>85</v>
      </c>
      <c r="E59">
        <v>16000</v>
      </c>
      <c r="F59">
        <v>9.3000000000000007</v>
      </c>
      <c r="G59">
        <v>9.4</v>
      </c>
      <c r="H59">
        <v>10000</v>
      </c>
      <c r="I59">
        <v>0.5</v>
      </c>
      <c r="J59">
        <v>0.6</v>
      </c>
      <c r="K59">
        <v>7.4</v>
      </c>
    </row>
    <row r="60" spans="1:11" x14ac:dyDescent="0.2">
      <c r="A60">
        <v>2023</v>
      </c>
      <c r="B60">
        <v>2380</v>
      </c>
      <c r="C60" t="s">
        <v>89</v>
      </c>
      <c r="D60" t="s">
        <v>73</v>
      </c>
      <c r="E60">
        <v>9000</v>
      </c>
      <c r="F60">
        <v>1</v>
      </c>
      <c r="G60">
        <v>1.2</v>
      </c>
      <c r="H60">
        <v>54000</v>
      </c>
      <c r="I60">
        <v>0.9</v>
      </c>
      <c r="J60">
        <v>6.2</v>
      </c>
      <c r="K60">
        <v>25.5</v>
      </c>
    </row>
    <row r="61" spans="1:11" x14ac:dyDescent="0.2">
      <c r="A61">
        <v>2023</v>
      </c>
      <c r="B61">
        <v>2380</v>
      </c>
      <c r="C61" t="s">
        <v>89</v>
      </c>
      <c r="D61" t="s">
        <v>74</v>
      </c>
      <c r="E61">
        <v>48000</v>
      </c>
      <c r="F61">
        <v>5.7</v>
      </c>
      <c r="G61">
        <v>6.3</v>
      </c>
      <c r="H61">
        <v>660000</v>
      </c>
      <c r="I61">
        <v>11</v>
      </c>
      <c r="J61">
        <v>13.8</v>
      </c>
      <c r="K61">
        <v>26</v>
      </c>
    </row>
    <row r="62" spans="1:11" x14ac:dyDescent="0.2">
      <c r="A62">
        <v>2023</v>
      </c>
      <c r="B62">
        <v>2380</v>
      </c>
      <c r="C62" t="s">
        <v>89</v>
      </c>
      <c r="D62" t="s">
        <v>75</v>
      </c>
      <c r="E62">
        <v>398000</v>
      </c>
      <c r="F62">
        <v>47</v>
      </c>
      <c r="G62">
        <v>52.2</v>
      </c>
      <c r="H62">
        <v>3690000</v>
      </c>
      <c r="I62">
        <v>61.6</v>
      </c>
      <c r="J62">
        <v>9.3000000000000007</v>
      </c>
      <c r="K62">
        <v>20.2</v>
      </c>
    </row>
    <row r="63" spans="1:11" x14ac:dyDescent="0.2">
      <c r="A63">
        <v>2023</v>
      </c>
      <c r="B63">
        <v>2380</v>
      </c>
      <c r="C63" t="s">
        <v>89</v>
      </c>
      <c r="D63" t="s">
        <v>76</v>
      </c>
      <c r="E63">
        <v>209000</v>
      </c>
      <c r="F63">
        <v>24.7</v>
      </c>
      <c r="G63">
        <v>27.4</v>
      </c>
      <c r="H63">
        <v>1459000</v>
      </c>
      <c r="I63">
        <v>24.4</v>
      </c>
      <c r="J63">
        <v>7</v>
      </c>
      <c r="K63">
        <v>16.600000000000001</v>
      </c>
    </row>
    <row r="64" spans="1:11" x14ac:dyDescent="0.2">
      <c r="A64">
        <v>2023</v>
      </c>
      <c r="B64">
        <v>2380</v>
      </c>
      <c r="C64" t="s">
        <v>89</v>
      </c>
      <c r="D64" t="s">
        <v>77</v>
      </c>
      <c r="E64">
        <v>84000</v>
      </c>
      <c r="F64">
        <v>9.9</v>
      </c>
      <c r="H64">
        <v>51000</v>
      </c>
      <c r="I64">
        <v>0.8</v>
      </c>
      <c r="J64">
        <v>0.6</v>
      </c>
      <c r="K64">
        <v>10.1</v>
      </c>
    </row>
    <row r="65" spans="1:11" x14ac:dyDescent="0.2">
      <c r="A65">
        <v>2023</v>
      </c>
      <c r="B65">
        <v>2380</v>
      </c>
      <c r="C65" t="s">
        <v>89</v>
      </c>
      <c r="D65" t="s">
        <v>78</v>
      </c>
      <c r="E65">
        <v>99000</v>
      </c>
      <c r="F65">
        <v>11.7</v>
      </c>
      <c r="G65">
        <v>13</v>
      </c>
      <c r="H65">
        <v>76000</v>
      </c>
      <c r="I65">
        <v>1.3</v>
      </c>
      <c r="J65">
        <v>0.8</v>
      </c>
      <c r="K65">
        <v>15</v>
      </c>
    </row>
    <row r="66" spans="1:11" x14ac:dyDescent="0.2">
      <c r="A66">
        <v>2023</v>
      </c>
      <c r="B66">
        <v>2700</v>
      </c>
      <c r="C66" t="s">
        <v>90</v>
      </c>
      <c r="D66" t="s">
        <v>87</v>
      </c>
      <c r="E66">
        <v>2000</v>
      </c>
      <c r="F66">
        <v>4.4000000000000004</v>
      </c>
      <c r="G66">
        <v>4.8</v>
      </c>
      <c r="H66">
        <v>22000</v>
      </c>
      <c r="I66">
        <v>5.9</v>
      </c>
      <c r="J66">
        <v>14.3</v>
      </c>
      <c r="K66">
        <v>15.1</v>
      </c>
    </row>
    <row r="67" spans="1:11" x14ac:dyDescent="0.2">
      <c r="A67">
        <v>2023</v>
      </c>
      <c r="B67">
        <v>2700</v>
      </c>
      <c r="C67" t="s">
        <v>90</v>
      </c>
      <c r="D67" t="s">
        <v>75</v>
      </c>
      <c r="E67">
        <v>19000</v>
      </c>
      <c r="F67">
        <v>54.8</v>
      </c>
      <c r="G67">
        <v>59.7</v>
      </c>
      <c r="H67">
        <v>312000</v>
      </c>
      <c r="I67">
        <v>82.3</v>
      </c>
      <c r="J67">
        <v>16.100000000000001</v>
      </c>
      <c r="K67">
        <v>20.3</v>
      </c>
    </row>
    <row r="68" spans="1:11" x14ac:dyDescent="0.2">
      <c r="A68">
        <v>2023</v>
      </c>
      <c r="B68">
        <v>2700</v>
      </c>
      <c r="C68" t="s">
        <v>90</v>
      </c>
      <c r="D68" t="s">
        <v>83</v>
      </c>
      <c r="E68">
        <v>8000</v>
      </c>
      <c r="F68">
        <v>22.5</v>
      </c>
      <c r="G68">
        <v>24.5</v>
      </c>
      <c r="H68">
        <v>41000</v>
      </c>
      <c r="I68">
        <v>10.8</v>
      </c>
      <c r="J68">
        <v>5.2</v>
      </c>
      <c r="K68">
        <v>9.5</v>
      </c>
    </row>
    <row r="69" spans="1:11" x14ac:dyDescent="0.2">
      <c r="A69">
        <v>2023</v>
      </c>
      <c r="B69">
        <v>2700</v>
      </c>
      <c r="C69" t="s">
        <v>90</v>
      </c>
      <c r="D69" t="s">
        <v>88</v>
      </c>
      <c r="E69">
        <v>3000</v>
      </c>
      <c r="F69">
        <v>8.1999999999999993</v>
      </c>
      <c r="H69">
        <v>3000</v>
      </c>
      <c r="I69">
        <v>0.8</v>
      </c>
      <c r="J69">
        <v>1</v>
      </c>
      <c r="K69">
        <v>14.2</v>
      </c>
    </row>
    <row r="70" spans="1:11" x14ac:dyDescent="0.2">
      <c r="A70">
        <v>2023</v>
      </c>
      <c r="B70">
        <v>2700</v>
      </c>
      <c r="C70" t="s">
        <v>90</v>
      </c>
      <c r="D70" t="s">
        <v>91</v>
      </c>
      <c r="E70">
        <v>4000</v>
      </c>
      <c r="F70">
        <v>10.1</v>
      </c>
      <c r="G70">
        <v>11</v>
      </c>
      <c r="H70">
        <v>1000</v>
      </c>
      <c r="I70">
        <v>0.2</v>
      </c>
      <c r="J70">
        <v>0.3</v>
      </c>
      <c r="K70">
        <v>6.7</v>
      </c>
    </row>
    <row r="71" spans="1:11" x14ac:dyDescent="0.2">
      <c r="A71">
        <v>2023</v>
      </c>
      <c r="B71">
        <v>2850</v>
      </c>
      <c r="C71" t="s">
        <v>41</v>
      </c>
      <c r="D71" t="s">
        <v>81</v>
      </c>
      <c r="E71">
        <v>17000</v>
      </c>
      <c r="F71">
        <v>4</v>
      </c>
      <c r="G71">
        <v>4.2</v>
      </c>
      <c r="H71">
        <v>243000</v>
      </c>
      <c r="I71">
        <v>8.4</v>
      </c>
      <c r="J71">
        <v>14.7</v>
      </c>
      <c r="K71">
        <v>34</v>
      </c>
    </row>
    <row r="72" spans="1:11" x14ac:dyDescent="0.2">
      <c r="A72">
        <v>2023</v>
      </c>
      <c r="B72">
        <v>2850</v>
      </c>
      <c r="C72" t="s">
        <v>41</v>
      </c>
      <c r="D72" t="s">
        <v>75</v>
      </c>
      <c r="E72">
        <v>239000</v>
      </c>
      <c r="F72">
        <v>56.8</v>
      </c>
      <c r="G72">
        <v>60.2</v>
      </c>
      <c r="H72">
        <v>1988000</v>
      </c>
      <c r="I72">
        <v>68.7</v>
      </c>
      <c r="J72">
        <v>8.3000000000000007</v>
      </c>
      <c r="K72">
        <v>17.8</v>
      </c>
    </row>
    <row r="73" spans="1:11" x14ac:dyDescent="0.2">
      <c r="A73">
        <v>2023</v>
      </c>
      <c r="B73">
        <v>2850</v>
      </c>
      <c r="C73" t="s">
        <v>41</v>
      </c>
      <c r="D73" t="s">
        <v>83</v>
      </c>
      <c r="E73">
        <v>83000</v>
      </c>
      <c r="F73">
        <v>19.8</v>
      </c>
      <c r="G73">
        <v>21</v>
      </c>
      <c r="H73">
        <v>599000</v>
      </c>
      <c r="I73">
        <v>20.7</v>
      </c>
      <c r="J73">
        <v>7.2</v>
      </c>
      <c r="K73">
        <v>16.100000000000001</v>
      </c>
    </row>
    <row r="74" spans="1:11" x14ac:dyDescent="0.2">
      <c r="A74">
        <v>2023</v>
      </c>
      <c r="B74">
        <v>2850</v>
      </c>
      <c r="C74" t="s">
        <v>41</v>
      </c>
      <c r="D74" t="s">
        <v>84</v>
      </c>
      <c r="E74">
        <v>24000</v>
      </c>
      <c r="F74">
        <v>5.6</v>
      </c>
      <c r="H74">
        <v>17000</v>
      </c>
      <c r="I74">
        <v>0.6</v>
      </c>
      <c r="J74">
        <v>0.7</v>
      </c>
      <c r="K74">
        <v>11.1</v>
      </c>
    </row>
    <row r="75" spans="1:11" x14ac:dyDescent="0.2">
      <c r="A75">
        <v>2023</v>
      </c>
      <c r="B75">
        <v>2850</v>
      </c>
      <c r="C75" t="s">
        <v>41</v>
      </c>
      <c r="D75" t="s">
        <v>78</v>
      </c>
      <c r="E75">
        <v>58000</v>
      </c>
      <c r="F75">
        <v>13.8</v>
      </c>
      <c r="G75">
        <v>14.6</v>
      </c>
      <c r="H75">
        <v>46000</v>
      </c>
      <c r="I75">
        <v>1.6</v>
      </c>
      <c r="J75">
        <v>0.8</v>
      </c>
      <c r="K75">
        <v>11.6</v>
      </c>
    </row>
    <row r="76" spans="1:11" x14ac:dyDescent="0.2">
      <c r="A76">
        <v>2023</v>
      </c>
      <c r="B76">
        <v>2930</v>
      </c>
      <c r="C76" t="s">
        <v>92</v>
      </c>
      <c r="D76" t="s">
        <v>80</v>
      </c>
      <c r="E76">
        <v>8000</v>
      </c>
      <c r="F76">
        <v>1.2</v>
      </c>
      <c r="G76">
        <v>1.4</v>
      </c>
      <c r="H76">
        <v>93000</v>
      </c>
      <c r="I76">
        <v>2.1</v>
      </c>
      <c r="J76">
        <v>11.6</v>
      </c>
      <c r="K76">
        <v>20</v>
      </c>
    </row>
    <row r="77" spans="1:11" x14ac:dyDescent="0.2">
      <c r="A77">
        <v>2023</v>
      </c>
      <c r="B77">
        <v>2930</v>
      </c>
      <c r="C77" t="s">
        <v>92</v>
      </c>
      <c r="D77" t="s">
        <v>74</v>
      </c>
      <c r="E77">
        <v>86000</v>
      </c>
      <c r="F77">
        <v>12.4</v>
      </c>
      <c r="G77">
        <v>14.9</v>
      </c>
      <c r="H77">
        <v>999000</v>
      </c>
      <c r="I77">
        <v>22.1</v>
      </c>
      <c r="J77">
        <v>11.6</v>
      </c>
      <c r="K77">
        <v>22.3</v>
      </c>
    </row>
    <row r="78" spans="1:11" x14ac:dyDescent="0.2">
      <c r="A78">
        <v>2023</v>
      </c>
      <c r="B78">
        <v>2930</v>
      </c>
      <c r="C78" t="s">
        <v>92</v>
      </c>
      <c r="D78" t="s">
        <v>75</v>
      </c>
      <c r="E78">
        <v>273000</v>
      </c>
      <c r="F78">
        <v>39.4</v>
      </c>
      <c r="G78">
        <v>47.3</v>
      </c>
      <c r="H78">
        <v>2437000</v>
      </c>
      <c r="I78">
        <v>53.9</v>
      </c>
      <c r="J78">
        <v>8.9</v>
      </c>
      <c r="K78">
        <v>19</v>
      </c>
    </row>
    <row r="79" spans="1:11" x14ac:dyDescent="0.2">
      <c r="A79">
        <v>2023</v>
      </c>
      <c r="B79">
        <v>2930</v>
      </c>
      <c r="C79" t="s">
        <v>92</v>
      </c>
      <c r="D79" t="s">
        <v>76</v>
      </c>
      <c r="E79">
        <v>132000</v>
      </c>
      <c r="F79">
        <v>19.100000000000001</v>
      </c>
      <c r="G79">
        <v>22.9</v>
      </c>
      <c r="H79">
        <v>835000</v>
      </c>
      <c r="I79">
        <v>18.5</v>
      </c>
      <c r="J79">
        <v>6.3</v>
      </c>
      <c r="K79">
        <v>15.5</v>
      </c>
    </row>
    <row r="80" spans="1:11" x14ac:dyDescent="0.2">
      <c r="A80">
        <v>2023</v>
      </c>
      <c r="B80">
        <v>2930</v>
      </c>
      <c r="C80" t="s">
        <v>92</v>
      </c>
      <c r="D80" t="s">
        <v>77</v>
      </c>
      <c r="E80">
        <v>115000</v>
      </c>
      <c r="F80">
        <v>16.600000000000001</v>
      </c>
      <c r="H80">
        <v>85000</v>
      </c>
      <c r="I80">
        <v>1.9</v>
      </c>
      <c r="J80">
        <v>0.7</v>
      </c>
      <c r="K80">
        <v>10.4</v>
      </c>
    </row>
    <row r="81" spans="1:11" x14ac:dyDescent="0.2">
      <c r="A81">
        <v>2023</v>
      </c>
      <c r="B81">
        <v>2930</v>
      </c>
      <c r="C81" t="s">
        <v>92</v>
      </c>
      <c r="D81" t="s">
        <v>78</v>
      </c>
      <c r="E81">
        <v>78000</v>
      </c>
      <c r="F81">
        <v>11.2</v>
      </c>
      <c r="G81">
        <v>13.4</v>
      </c>
      <c r="H81">
        <v>69000</v>
      </c>
      <c r="I81">
        <v>1.5</v>
      </c>
      <c r="J81">
        <v>0.9</v>
      </c>
      <c r="K81">
        <v>12.6</v>
      </c>
    </row>
    <row r="82" spans="1:11" x14ac:dyDescent="0.2">
      <c r="A82">
        <v>2023</v>
      </c>
      <c r="B82">
        <v>3800</v>
      </c>
      <c r="C82" t="s">
        <v>93</v>
      </c>
      <c r="D82" t="s">
        <v>80</v>
      </c>
      <c r="E82">
        <v>1000</v>
      </c>
      <c r="F82">
        <v>0.5</v>
      </c>
      <c r="G82">
        <v>0.5</v>
      </c>
      <c r="H82">
        <v>10000</v>
      </c>
      <c r="I82">
        <v>0.3</v>
      </c>
      <c r="J82">
        <v>9</v>
      </c>
      <c r="K82">
        <v>51</v>
      </c>
    </row>
    <row r="83" spans="1:11" x14ac:dyDescent="0.2">
      <c r="A83">
        <v>2023</v>
      </c>
      <c r="B83">
        <v>3800</v>
      </c>
      <c r="C83" t="s">
        <v>93</v>
      </c>
      <c r="D83" t="s">
        <v>87</v>
      </c>
      <c r="E83">
        <v>7000</v>
      </c>
      <c r="F83">
        <v>2.9</v>
      </c>
      <c r="G83">
        <v>3</v>
      </c>
      <c r="H83">
        <v>107000</v>
      </c>
      <c r="I83">
        <v>2.8</v>
      </c>
      <c r="J83">
        <v>15.8</v>
      </c>
      <c r="K83">
        <v>26.8</v>
      </c>
    </row>
    <row r="84" spans="1:11" x14ac:dyDescent="0.2">
      <c r="A84">
        <v>2023</v>
      </c>
      <c r="B84">
        <v>3800</v>
      </c>
      <c r="C84" t="s">
        <v>93</v>
      </c>
      <c r="D84" t="s">
        <v>75</v>
      </c>
      <c r="E84">
        <v>149000</v>
      </c>
      <c r="F84">
        <v>64.2</v>
      </c>
      <c r="G84">
        <v>65.5</v>
      </c>
      <c r="H84">
        <v>2752000</v>
      </c>
      <c r="I84">
        <v>71.900000000000006</v>
      </c>
      <c r="J84">
        <v>18.5</v>
      </c>
      <c r="K84">
        <v>28.9</v>
      </c>
    </row>
    <row r="85" spans="1:11" x14ac:dyDescent="0.2">
      <c r="A85">
        <v>2023</v>
      </c>
      <c r="B85">
        <v>3800</v>
      </c>
      <c r="C85" t="s">
        <v>93</v>
      </c>
      <c r="D85" t="s">
        <v>76</v>
      </c>
      <c r="E85">
        <v>56000</v>
      </c>
      <c r="F85">
        <v>24.3</v>
      </c>
      <c r="G85">
        <v>24.8</v>
      </c>
      <c r="H85">
        <v>942000</v>
      </c>
      <c r="I85">
        <v>24.6</v>
      </c>
      <c r="J85">
        <v>16.7</v>
      </c>
      <c r="K85">
        <v>26.2</v>
      </c>
    </row>
    <row r="86" spans="1:11" x14ac:dyDescent="0.2">
      <c r="A86">
        <v>2023</v>
      </c>
      <c r="B86">
        <v>3800</v>
      </c>
      <c r="C86" t="s">
        <v>93</v>
      </c>
      <c r="D86" t="s">
        <v>84</v>
      </c>
      <c r="E86">
        <v>5000</v>
      </c>
      <c r="F86">
        <v>2</v>
      </c>
      <c r="H86">
        <v>3000</v>
      </c>
      <c r="I86">
        <v>0.1</v>
      </c>
      <c r="J86">
        <v>0.5</v>
      </c>
      <c r="K86">
        <v>8</v>
      </c>
    </row>
    <row r="87" spans="1:11" x14ac:dyDescent="0.2">
      <c r="A87">
        <v>2023</v>
      </c>
      <c r="B87">
        <v>3800</v>
      </c>
      <c r="C87" t="s">
        <v>93</v>
      </c>
      <c r="D87" t="s">
        <v>85</v>
      </c>
      <c r="E87">
        <v>14000</v>
      </c>
      <c r="F87">
        <v>6.1</v>
      </c>
      <c r="G87">
        <v>6.2</v>
      </c>
      <c r="H87">
        <v>11000</v>
      </c>
      <c r="I87">
        <v>0.3</v>
      </c>
      <c r="J87">
        <v>0.8</v>
      </c>
      <c r="K87">
        <v>8.6999999999999993</v>
      </c>
    </row>
    <row r="88" spans="1:11" x14ac:dyDescent="0.2">
      <c r="A88">
        <v>2023</v>
      </c>
      <c r="B88">
        <v>4000</v>
      </c>
      <c r="C88" t="s">
        <v>42</v>
      </c>
      <c r="D88" t="s">
        <v>73</v>
      </c>
      <c r="E88">
        <v>7000</v>
      </c>
      <c r="F88">
        <v>1</v>
      </c>
      <c r="G88">
        <v>1.1000000000000001</v>
      </c>
      <c r="H88">
        <v>37000</v>
      </c>
      <c r="I88">
        <v>0.7</v>
      </c>
      <c r="J88">
        <v>5.2</v>
      </c>
      <c r="K88">
        <v>21</v>
      </c>
    </row>
    <row r="89" spans="1:11" x14ac:dyDescent="0.2">
      <c r="A89">
        <v>2023</v>
      </c>
      <c r="B89">
        <v>4000</v>
      </c>
      <c r="C89" t="s">
        <v>42</v>
      </c>
      <c r="D89" t="s">
        <v>74</v>
      </c>
      <c r="E89">
        <v>74000</v>
      </c>
      <c r="F89">
        <v>10.199999999999999</v>
      </c>
      <c r="G89">
        <v>11.8</v>
      </c>
      <c r="H89">
        <v>993000</v>
      </c>
      <c r="I89">
        <v>18.600000000000001</v>
      </c>
      <c r="J89">
        <v>13.4</v>
      </c>
      <c r="K89">
        <v>23.8</v>
      </c>
    </row>
    <row r="90" spans="1:11" x14ac:dyDescent="0.2">
      <c r="A90">
        <v>2023</v>
      </c>
      <c r="B90">
        <v>4000</v>
      </c>
      <c r="C90" t="s">
        <v>42</v>
      </c>
      <c r="D90" t="s">
        <v>75</v>
      </c>
      <c r="E90">
        <v>308000</v>
      </c>
      <c r="F90">
        <v>42.5</v>
      </c>
      <c r="G90">
        <v>49</v>
      </c>
      <c r="H90">
        <v>3005000</v>
      </c>
      <c r="I90">
        <v>56.2</v>
      </c>
      <c r="J90">
        <v>9.8000000000000007</v>
      </c>
      <c r="K90">
        <v>18.600000000000001</v>
      </c>
    </row>
    <row r="91" spans="1:11" x14ac:dyDescent="0.2">
      <c r="A91">
        <v>2023</v>
      </c>
      <c r="B91">
        <v>4000</v>
      </c>
      <c r="C91" t="s">
        <v>42</v>
      </c>
      <c r="D91" t="s">
        <v>76</v>
      </c>
      <c r="E91">
        <v>143000</v>
      </c>
      <c r="F91">
        <v>19.7</v>
      </c>
      <c r="G91">
        <v>22.7</v>
      </c>
      <c r="H91">
        <v>1162000</v>
      </c>
      <c r="I91">
        <v>21.7</v>
      </c>
      <c r="J91">
        <v>8.1</v>
      </c>
      <c r="K91">
        <v>15.9</v>
      </c>
    </row>
    <row r="92" spans="1:11" x14ac:dyDescent="0.2">
      <c r="A92">
        <v>2023</v>
      </c>
      <c r="B92">
        <v>4000</v>
      </c>
      <c r="C92" t="s">
        <v>42</v>
      </c>
      <c r="D92" t="s">
        <v>77</v>
      </c>
      <c r="E92">
        <v>96000</v>
      </c>
      <c r="F92">
        <v>13.2</v>
      </c>
      <c r="H92">
        <v>64000</v>
      </c>
      <c r="I92">
        <v>1.2</v>
      </c>
      <c r="J92">
        <v>0.7</v>
      </c>
      <c r="K92">
        <v>9.4</v>
      </c>
    </row>
    <row r="93" spans="1:11" x14ac:dyDescent="0.2">
      <c r="A93">
        <v>2023</v>
      </c>
      <c r="B93">
        <v>4000</v>
      </c>
      <c r="C93" t="s">
        <v>42</v>
      </c>
      <c r="D93" t="s">
        <v>78</v>
      </c>
      <c r="E93">
        <v>96000</v>
      </c>
      <c r="F93">
        <v>13.3</v>
      </c>
      <c r="G93">
        <v>15.3</v>
      </c>
      <c r="H93">
        <v>84000</v>
      </c>
      <c r="I93">
        <v>1.6</v>
      </c>
      <c r="J93">
        <v>0.9</v>
      </c>
      <c r="K93">
        <v>13.8</v>
      </c>
    </row>
    <row r="94" spans="1:11" x14ac:dyDescent="0.2">
      <c r="A94">
        <v>2023</v>
      </c>
      <c r="B94">
        <v>4100</v>
      </c>
      <c r="C94" t="s">
        <v>43</v>
      </c>
      <c r="D94" t="s">
        <v>80</v>
      </c>
      <c r="E94">
        <v>1000</v>
      </c>
      <c r="F94">
        <v>1.2</v>
      </c>
      <c r="G94">
        <v>1.5</v>
      </c>
      <c r="H94">
        <v>9000</v>
      </c>
      <c r="I94">
        <v>4</v>
      </c>
      <c r="J94">
        <v>14.8</v>
      </c>
      <c r="K94">
        <v>28</v>
      </c>
    </row>
    <row r="95" spans="1:11" x14ac:dyDescent="0.2">
      <c r="A95">
        <v>2023</v>
      </c>
      <c r="B95">
        <v>4100</v>
      </c>
      <c r="C95" t="s">
        <v>43</v>
      </c>
      <c r="D95" t="s">
        <v>81</v>
      </c>
      <c r="E95">
        <v>6000</v>
      </c>
      <c r="F95">
        <v>11.1</v>
      </c>
      <c r="G95">
        <v>13.6</v>
      </c>
      <c r="H95">
        <v>50000</v>
      </c>
      <c r="I95">
        <v>21.5</v>
      </c>
      <c r="J95">
        <v>8.8000000000000007</v>
      </c>
      <c r="K95">
        <v>22.8</v>
      </c>
    </row>
    <row r="96" spans="1:11" x14ac:dyDescent="0.2">
      <c r="A96">
        <v>2023</v>
      </c>
      <c r="B96">
        <v>4100</v>
      </c>
      <c r="C96" t="s">
        <v>43</v>
      </c>
      <c r="D96" t="s">
        <v>75</v>
      </c>
      <c r="E96">
        <v>23000</v>
      </c>
      <c r="F96">
        <v>45.6</v>
      </c>
      <c r="G96">
        <v>55.9</v>
      </c>
      <c r="H96">
        <v>136000</v>
      </c>
      <c r="I96">
        <v>58.7</v>
      </c>
      <c r="J96">
        <v>5.8</v>
      </c>
      <c r="K96">
        <v>16.600000000000001</v>
      </c>
    </row>
    <row r="97" spans="1:11" x14ac:dyDescent="0.2">
      <c r="A97">
        <v>2023</v>
      </c>
      <c r="B97">
        <v>4100</v>
      </c>
      <c r="C97" t="s">
        <v>43</v>
      </c>
      <c r="D97" t="s">
        <v>83</v>
      </c>
      <c r="E97">
        <v>5000</v>
      </c>
      <c r="F97">
        <v>10</v>
      </c>
      <c r="G97">
        <v>12.3</v>
      </c>
      <c r="H97">
        <v>26000</v>
      </c>
      <c r="I97">
        <v>11.1</v>
      </c>
      <c r="J97">
        <v>5</v>
      </c>
      <c r="K97">
        <v>13.5</v>
      </c>
    </row>
    <row r="98" spans="1:11" x14ac:dyDescent="0.2">
      <c r="A98">
        <v>2023</v>
      </c>
      <c r="B98">
        <v>4100</v>
      </c>
      <c r="C98" t="s">
        <v>43</v>
      </c>
      <c r="D98" t="s">
        <v>84</v>
      </c>
      <c r="E98">
        <v>10000</v>
      </c>
      <c r="F98">
        <v>18.5</v>
      </c>
      <c r="H98">
        <v>6000</v>
      </c>
      <c r="I98">
        <v>2.6</v>
      </c>
      <c r="J98">
        <v>0.6</v>
      </c>
      <c r="K98">
        <v>10.199999999999999</v>
      </c>
    </row>
    <row r="99" spans="1:11" x14ac:dyDescent="0.2">
      <c r="A99">
        <v>2023</v>
      </c>
      <c r="B99">
        <v>4100</v>
      </c>
      <c r="C99" t="s">
        <v>43</v>
      </c>
      <c r="D99" t="s">
        <v>85</v>
      </c>
      <c r="E99">
        <v>7000</v>
      </c>
      <c r="F99">
        <v>13.5</v>
      </c>
      <c r="G99">
        <v>16.600000000000001</v>
      </c>
      <c r="H99">
        <v>5000</v>
      </c>
      <c r="I99">
        <v>2.2000000000000002</v>
      </c>
      <c r="J99">
        <v>0.8</v>
      </c>
      <c r="K99">
        <v>15.1</v>
      </c>
    </row>
    <row r="100" spans="1:11" x14ac:dyDescent="0.2">
      <c r="A100">
        <v>2023</v>
      </c>
      <c r="B100">
        <v>4170</v>
      </c>
      <c r="C100" t="s">
        <v>44</v>
      </c>
      <c r="D100" t="s">
        <v>94</v>
      </c>
      <c r="E100">
        <v>30000</v>
      </c>
      <c r="F100">
        <v>2.9</v>
      </c>
      <c r="G100">
        <v>3.5</v>
      </c>
      <c r="H100">
        <v>151000</v>
      </c>
      <c r="I100">
        <v>3.4</v>
      </c>
      <c r="J100">
        <v>5.0999999999999996</v>
      </c>
      <c r="K100">
        <v>19.7</v>
      </c>
    </row>
    <row r="101" spans="1:11" x14ac:dyDescent="0.2">
      <c r="A101">
        <v>2023</v>
      </c>
      <c r="B101">
        <v>4170</v>
      </c>
      <c r="C101" t="s">
        <v>44</v>
      </c>
      <c r="D101" t="s">
        <v>74</v>
      </c>
      <c r="E101">
        <v>109000</v>
      </c>
      <c r="F101">
        <v>10.7</v>
      </c>
      <c r="G101">
        <v>13</v>
      </c>
      <c r="H101">
        <v>729000</v>
      </c>
      <c r="I101">
        <v>16.3</v>
      </c>
      <c r="J101">
        <v>6.7</v>
      </c>
      <c r="K101">
        <v>19.399999999999999</v>
      </c>
    </row>
    <row r="102" spans="1:11" x14ac:dyDescent="0.2">
      <c r="A102">
        <v>2023</v>
      </c>
      <c r="B102">
        <v>4170</v>
      </c>
      <c r="C102" t="s">
        <v>44</v>
      </c>
      <c r="D102" t="s">
        <v>75</v>
      </c>
      <c r="E102">
        <v>291000</v>
      </c>
      <c r="F102">
        <v>28.4</v>
      </c>
      <c r="G102">
        <v>34.6</v>
      </c>
      <c r="H102">
        <v>2179000</v>
      </c>
      <c r="I102">
        <v>48.7</v>
      </c>
      <c r="J102">
        <v>7.5</v>
      </c>
      <c r="K102">
        <v>18.100000000000001</v>
      </c>
    </row>
    <row r="103" spans="1:11" x14ac:dyDescent="0.2">
      <c r="A103">
        <v>2023</v>
      </c>
      <c r="B103">
        <v>4170</v>
      </c>
      <c r="C103" t="s">
        <v>44</v>
      </c>
      <c r="D103" t="s">
        <v>76</v>
      </c>
      <c r="E103">
        <v>136000</v>
      </c>
      <c r="F103">
        <v>13.3</v>
      </c>
      <c r="G103">
        <v>16.2</v>
      </c>
      <c r="H103">
        <v>1077000</v>
      </c>
      <c r="I103">
        <v>24.1</v>
      </c>
      <c r="J103">
        <v>7.9</v>
      </c>
      <c r="K103">
        <v>17.5</v>
      </c>
    </row>
    <row r="104" spans="1:11" x14ac:dyDescent="0.2">
      <c r="A104">
        <v>2023</v>
      </c>
      <c r="B104">
        <v>4170</v>
      </c>
      <c r="C104" t="s">
        <v>44</v>
      </c>
      <c r="D104" t="s">
        <v>77</v>
      </c>
      <c r="E104">
        <v>185000</v>
      </c>
      <c r="F104">
        <v>18</v>
      </c>
      <c r="H104">
        <v>122000</v>
      </c>
      <c r="I104">
        <v>2.7</v>
      </c>
      <c r="J104">
        <v>0.7</v>
      </c>
      <c r="K104">
        <v>9.5</v>
      </c>
    </row>
    <row r="105" spans="1:11" x14ac:dyDescent="0.2">
      <c r="A105">
        <v>2023</v>
      </c>
      <c r="B105">
        <v>4170</v>
      </c>
      <c r="C105" t="s">
        <v>44</v>
      </c>
      <c r="D105" t="s">
        <v>78</v>
      </c>
      <c r="E105">
        <v>274000</v>
      </c>
      <c r="F105">
        <v>26.8</v>
      </c>
      <c r="G105">
        <v>32.700000000000003</v>
      </c>
      <c r="H105">
        <v>218000</v>
      </c>
      <c r="I105">
        <v>4.9000000000000004</v>
      </c>
      <c r="J105">
        <v>0.8</v>
      </c>
      <c r="K105">
        <v>12.8</v>
      </c>
    </row>
    <row r="106" spans="1:11" x14ac:dyDescent="0.2">
      <c r="A106">
        <v>2023</v>
      </c>
      <c r="B106">
        <v>4400</v>
      </c>
      <c r="C106" t="s">
        <v>95</v>
      </c>
      <c r="D106" t="s">
        <v>80</v>
      </c>
      <c r="E106">
        <v>1000</v>
      </c>
      <c r="F106">
        <v>1.2</v>
      </c>
      <c r="G106">
        <v>1.3</v>
      </c>
      <c r="H106">
        <v>3000</v>
      </c>
      <c r="I106">
        <v>0.4</v>
      </c>
      <c r="J106">
        <v>3.3</v>
      </c>
      <c r="K106">
        <v>22.8</v>
      </c>
    </row>
    <row r="107" spans="1:11" x14ac:dyDescent="0.2">
      <c r="A107">
        <v>2023</v>
      </c>
      <c r="B107">
        <v>4400</v>
      </c>
      <c r="C107" t="s">
        <v>95</v>
      </c>
      <c r="D107" t="s">
        <v>87</v>
      </c>
      <c r="E107">
        <v>3000</v>
      </c>
      <c r="F107">
        <v>3.6</v>
      </c>
      <c r="G107">
        <v>3.8</v>
      </c>
      <c r="H107">
        <v>44000</v>
      </c>
      <c r="I107">
        <v>5.0999999999999996</v>
      </c>
      <c r="J107">
        <v>15.2</v>
      </c>
      <c r="K107">
        <v>23.4</v>
      </c>
    </row>
    <row r="108" spans="1:11" x14ac:dyDescent="0.2">
      <c r="A108">
        <v>2023</v>
      </c>
      <c r="B108">
        <v>4400</v>
      </c>
      <c r="C108" t="s">
        <v>95</v>
      </c>
      <c r="D108" t="s">
        <v>75</v>
      </c>
      <c r="E108">
        <v>43000</v>
      </c>
      <c r="F108">
        <v>53.9</v>
      </c>
      <c r="G108">
        <v>57.5</v>
      </c>
      <c r="H108">
        <v>636000</v>
      </c>
      <c r="I108">
        <v>75.2</v>
      </c>
      <c r="J108">
        <v>14.7</v>
      </c>
      <c r="K108">
        <v>17.7</v>
      </c>
    </row>
    <row r="109" spans="1:11" x14ac:dyDescent="0.2">
      <c r="A109">
        <v>2023</v>
      </c>
      <c r="B109">
        <v>4400</v>
      </c>
      <c r="C109" t="s">
        <v>95</v>
      </c>
      <c r="D109" t="s">
        <v>83</v>
      </c>
      <c r="E109">
        <v>15000</v>
      </c>
      <c r="F109">
        <v>19</v>
      </c>
      <c r="G109">
        <v>20.3</v>
      </c>
      <c r="H109">
        <v>149000</v>
      </c>
      <c r="I109">
        <v>17.600000000000001</v>
      </c>
      <c r="J109">
        <v>9.8000000000000007</v>
      </c>
      <c r="K109">
        <v>14.5</v>
      </c>
    </row>
    <row r="110" spans="1:11" x14ac:dyDescent="0.2">
      <c r="A110">
        <v>2023</v>
      </c>
      <c r="B110">
        <v>4400</v>
      </c>
      <c r="C110" t="s">
        <v>95</v>
      </c>
      <c r="D110" t="s">
        <v>84</v>
      </c>
      <c r="E110">
        <v>5000</v>
      </c>
      <c r="F110">
        <v>6.3</v>
      </c>
      <c r="H110">
        <v>3000</v>
      </c>
      <c r="I110">
        <v>0.3</v>
      </c>
      <c r="J110">
        <v>0.5</v>
      </c>
      <c r="K110">
        <v>6.1</v>
      </c>
    </row>
    <row r="111" spans="1:11" x14ac:dyDescent="0.2">
      <c r="A111">
        <v>2023</v>
      </c>
      <c r="B111">
        <v>4400</v>
      </c>
      <c r="C111" t="s">
        <v>95</v>
      </c>
      <c r="D111" t="s">
        <v>85</v>
      </c>
      <c r="E111">
        <v>13000</v>
      </c>
      <c r="F111">
        <v>16.100000000000001</v>
      </c>
      <c r="G111">
        <v>17.100000000000001</v>
      </c>
      <c r="H111">
        <v>11000</v>
      </c>
      <c r="I111">
        <v>1.3</v>
      </c>
      <c r="J111">
        <v>0.9</v>
      </c>
      <c r="K111">
        <v>12.4</v>
      </c>
    </row>
    <row r="112" spans="1:11" x14ac:dyDescent="0.2">
      <c r="A112">
        <v>2023</v>
      </c>
      <c r="B112">
        <v>4500</v>
      </c>
      <c r="C112" t="s">
        <v>96</v>
      </c>
      <c r="D112" t="s">
        <v>94</v>
      </c>
      <c r="E112">
        <v>8000</v>
      </c>
      <c r="F112">
        <v>1.2</v>
      </c>
      <c r="G112">
        <v>1.4</v>
      </c>
      <c r="H112">
        <v>79000</v>
      </c>
      <c r="I112">
        <v>1.8</v>
      </c>
      <c r="J112">
        <v>10.1</v>
      </c>
      <c r="K112">
        <v>29.1</v>
      </c>
    </row>
    <row r="113" spans="1:11" x14ac:dyDescent="0.2">
      <c r="A113">
        <v>2023</v>
      </c>
      <c r="B113">
        <v>4500</v>
      </c>
      <c r="C113" t="s">
        <v>96</v>
      </c>
      <c r="D113" t="s">
        <v>74</v>
      </c>
      <c r="E113">
        <v>68000</v>
      </c>
      <c r="F113">
        <v>10.199999999999999</v>
      </c>
      <c r="G113">
        <v>11.9</v>
      </c>
      <c r="H113">
        <v>774000</v>
      </c>
      <c r="I113">
        <v>17.600000000000001</v>
      </c>
      <c r="J113">
        <v>11.4</v>
      </c>
      <c r="K113">
        <v>22</v>
      </c>
    </row>
    <row r="114" spans="1:11" x14ac:dyDescent="0.2">
      <c r="A114">
        <v>2023</v>
      </c>
      <c r="B114">
        <v>4500</v>
      </c>
      <c r="C114" t="s">
        <v>96</v>
      </c>
      <c r="D114" t="s">
        <v>75</v>
      </c>
      <c r="E114">
        <v>274000</v>
      </c>
      <c r="F114">
        <v>41.2</v>
      </c>
      <c r="G114">
        <v>47.8</v>
      </c>
      <c r="H114">
        <v>2236000</v>
      </c>
      <c r="I114">
        <v>50.9</v>
      </c>
      <c r="J114">
        <v>8.1999999999999993</v>
      </c>
      <c r="K114">
        <v>16.899999999999999</v>
      </c>
    </row>
    <row r="115" spans="1:11" x14ac:dyDescent="0.2">
      <c r="A115">
        <v>2023</v>
      </c>
      <c r="B115">
        <v>4500</v>
      </c>
      <c r="C115" t="s">
        <v>96</v>
      </c>
      <c r="D115" t="s">
        <v>76</v>
      </c>
      <c r="E115">
        <v>127000</v>
      </c>
      <c r="F115">
        <v>19.100000000000001</v>
      </c>
      <c r="G115">
        <v>22.2</v>
      </c>
      <c r="H115">
        <v>1149000</v>
      </c>
      <c r="I115">
        <v>26.2</v>
      </c>
      <c r="J115">
        <v>9.1</v>
      </c>
      <c r="K115">
        <v>15.5</v>
      </c>
    </row>
    <row r="116" spans="1:11" x14ac:dyDescent="0.2">
      <c r="A116">
        <v>2023</v>
      </c>
      <c r="B116">
        <v>4500</v>
      </c>
      <c r="C116" t="s">
        <v>96</v>
      </c>
      <c r="D116" t="s">
        <v>77</v>
      </c>
      <c r="E116">
        <v>92000</v>
      </c>
      <c r="F116">
        <v>13.8</v>
      </c>
      <c r="H116">
        <v>63000</v>
      </c>
      <c r="I116">
        <v>1.4</v>
      </c>
      <c r="J116">
        <v>0.7</v>
      </c>
      <c r="K116">
        <v>9.4</v>
      </c>
    </row>
    <row r="117" spans="1:11" x14ac:dyDescent="0.2">
      <c r="A117">
        <v>2023</v>
      </c>
      <c r="B117">
        <v>4500</v>
      </c>
      <c r="C117" t="s">
        <v>96</v>
      </c>
      <c r="D117" t="s">
        <v>78</v>
      </c>
      <c r="E117">
        <v>96000</v>
      </c>
      <c r="F117">
        <v>14.5</v>
      </c>
      <c r="G117">
        <v>16.8</v>
      </c>
      <c r="H117">
        <v>92000</v>
      </c>
      <c r="I117">
        <v>2.1</v>
      </c>
      <c r="J117">
        <v>1</v>
      </c>
      <c r="K117">
        <v>14.2</v>
      </c>
    </row>
    <row r="118" spans="1:11" x14ac:dyDescent="0.2">
      <c r="A118">
        <v>2023</v>
      </c>
      <c r="B118">
        <v>4650</v>
      </c>
      <c r="C118" t="s">
        <v>97</v>
      </c>
      <c r="D118" t="s">
        <v>73</v>
      </c>
      <c r="E118">
        <v>6000</v>
      </c>
      <c r="F118">
        <v>0.8</v>
      </c>
      <c r="G118">
        <v>0.8</v>
      </c>
      <c r="H118">
        <v>30000</v>
      </c>
      <c r="I118">
        <v>0.4</v>
      </c>
      <c r="J118">
        <v>5</v>
      </c>
      <c r="K118">
        <v>14.3</v>
      </c>
    </row>
    <row r="119" spans="1:11" x14ac:dyDescent="0.2">
      <c r="A119">
        <v>2023</v>
      </c>
      <c r="B119">
        <v>4650</v>
      </c>
      <c r="C119" t="s">
        <v>97</v>
      </c>
      <c r="D119" t="s">
        <v>81</v>
      </c>
      <c r="E119">
        <v>32000</v>
      </c>
      <c r="F119">
        <v>4.2</v>
      </c>
      <c r="G119">
        <v>4.5999999999999996</v>
      </c>
      <c r="H119">
        <v>575000</v>
      </c>
      <c r="I119">
        <v>7.6</v>
      </c>
      <c r="J119">
        <v>18.100000000000001</v>
      </c>
      <c r="K119">
        <v>30.4</v>
      </c>
    </row>
    <row r="120" spans="1:11" x14ac:dyDescent="0.2">
      <c r="A120">
        <v>2023</v>
      </c>
      <c r="B120">
        <v>4650</v>
      </c>
      <c r="C120" t="s">
        <v>97</v>
      </c>
      <c r="D120" t="s">
        <v>75</v>
      </c>
      <c r="E120">
        <v>405000</v>
      </c>
      <c r="F120">
        <v>53.4</v>
      </c>
      <c r="G120">
        <v>58.3</v>
      </c>
      <c r="H120">
        <v>4748000</v>
      </c>
      <c r="I120">
        <v>62.5</v>
      </c>
      <c r="J120">
        <v>11.7</v>
      </c>
      <c r="K120">
        <v>18.399999999999999</v>
      </c>
    </row>
    <row r="121" spans="1:11" x14ac:dyDescent="0.2">
      <c r="A121">
        <v>2023</v>
      </c>
      <c r="B121">
        <v>4650</v>
      </c>
      <c r="C121" t="s">
        <v>97</v>
      </c>
      <c r="D121" t="s">
        <v>76</v>
      </c>
      <c r="E121">
        <v>163000</v>
      </c>
      <c r="F121">
        <v>21.5</v>
      </c>
      <c r="G121">
        <v>23.5</v>
      </c>
      <c r="H121">
        <v>2091000</v>
      </c>
      <c r="I121">
        <v>27.5</v>
      </c>
      <c r="J121">
        <v>12.8</v>
      </c>
      <c r="K121">
        <v>19.8</v>
      </c>
    </row>
    <row r="122" spans="1:11" x14ac:dyDescent="0.2">
      <c r="A122">
        <v>2023</v>
      </c>
      <c r="B122">
        <v>4650</v>
      </c>
      <c r="C122" t="s">
        <v>97</v>
      </c>
      <c r="D122" t="s">
        <v>77</v>
      </c>
      <c r="E122">
        <v>63000</v>
      </c>
      <c r="F122">
        <v>8.3000000000000007</v>
      </c>
      <c r="H122">
        <v>83000</v>
      </c>
      <c r="I122">
        <v>1.1000000000000001</v>
      </c>
      <c r="J122">
        <v>1.3</v>
      </c>
      <c r="K122">
        <v>17.399999999999999</v>
      </c>
    </row>
    <row r="123" spans="1:11" x14ac:dyDescent="0.2">
      <c r="A123">
        <v>2023</v>
      </c>
      <c r="B123">
        <v>4650</v>
      </c>
      <c r="C123" t="s">
        <v>97</v>
      </c>
      <c r="D123" t="s">
        <v>78</v>
      </c>
      <c r="E123">
        <v>89000</v>
      </c>
      <c r="F123">
        <v>11.8</v>
      </c>
      <c r="G123">
        <v>12.8</v>
      </c>
      <c r="H123">
        <v>74000</v>
      </c>
      <c r="I123">
        <v>1</v>
      </c>
      <c r="J123">
        <v>0.8</v>
      </c>
      <c r="K123">
        <v>17.5</v>
      </c>
    </row>
    <row r="124" spans="1:11" x14ac:dyDescent="0.2">
      <c r="A124">
        <v>2023</v>
      </c>
      <c r="B124">
        <v>4700</v>
      </c>
      <c r="C124" t="s">
        <v>45</v>
      </c>
      <c r="D124" t="s">
        <v>73</v>
      </c>
      <c r="E124">
        <v>4000</v>
      </c>
      <c r="F124">
        <v>1.9</v>
      </c>
      <c r="G124">
        <v>2.2000000000000002</v>
      </c>
      <c r="H124">
        <v>25000</v>
      </c>
      <c r="I124">
        <v>2.2000000000000002</v>
      </c>
      <c r="J124">
        <v>6.1</v>
      </c>
      <c r="K124">
        <v>26.4</v>
      </c>
    </row>
    <row r="125" spans="1:11" x14ac:dyDescent="0.2">
      <c r="A125">
        <v>2023</v>
      </c>
      <c r="B125">
        <v>4700</v>
      </c>
      <c r="C125" t="s">
        <v>45</v>
      </c>
      <c r="D125" t="s">
        <v>74</v>
      </c>
      <c r="E125">
        <v>19000</v>
      </c>
      <c r="F125">
        <v>8.8000000000000007</v>
      </c>
      <c r="G125">
        <v>10</v>
      </c>
      <c r="H125">
        <v>136000</v>
      </c>
      <c r="I125">
        <v>11.9</v>
      </c>
      <c r="J125">
        <v>7.3</v>
      </c>
      <c r="K125">
        <v>22.9</v>
      </c>
    </row>
    <row r="126" spans="1:11" x14ac:dyDescent="0.2">
      <c r="A126">
        <v>2023</v>
      </c>
      <c r="B126">
        <v>4700</v>
      </c>
      <c r="C126" t="s">
        <v>45</v>
      </c>
      <c r="D126" t="s">
        <v>75</v>
      </c>
      <c r="E126">
        <v>83000</v>
      </c>
      <c r="F126">
        <v>39.299999999999997</v>
      </c>
      <c r="G126">
        <v>45</v>
      </c>
      <c r="H126">
        <v>706000</v>
      </c>
      <c r="I126">
        <v>61.7</v>
      </c>
      <c r="J126">
        <v>8.5</v>
      </c>
      <c r="K126">
        <v>17.399999999999999</v>
      </c>
    </row>
    <row r="127" spans="1:11" x14ac:dyDescent="0.2">
      <c r="A127">
        <v>2023</v>
      </c>
      <c r="B127">
        <v>4700</v>
      </c>
      <c r="C127" t="s">
        <v>45</v>
      </c>
      <c r="D127" t="s">
        <v>76</v>
      </c>
      <c r="E127">
        <v>39000</v>
      </c>
      <c r="F127">
        <v>18.399999999999999</v>
      </c>
      <c r="G127">
        <v>21.1</v>
      </c>
      <c r="H127">
        <v>220000</v>
      </c>
      <c r="I127">
        <v>19.2</v>
      </c>
      <c r="J127">
        <v>5.6</v>
      </c>
      <c r="K127">
        <v>14.7</v>
      </c>
    </row>
    <row r="128" spans="1:11" x14ac:dyDescent="0.2">
      <c r="A128">
        <v>2023</v>
      </c>
      <c r="B128">
        <v>4700</v>
      </c>
      <c r="C128" t="s">
        <v>45</v>
      </c>
      <c r="D128" t="s">
        <v>77</v>
      </c>
      <c r="E128">
        <v>27000</v>
      </c>
      <c r="F128">
        <v>12.8</v>
      </c>
      <c r="H128">
        <v>16000</v>
      </c>
      <c r="I128">
        <v>1.4</v>
      </c>
      <c r="J128">
        <v>0.6</v>
      </c>
      <c r="K128">
        <v>9</v>
      </c>
    </row>
    <row r="129" spans="1:11" x14ac:dyDescent="0.2">
      <c r="A129">
        <v>2023</v>
      </c>
      <c r="B129">
        <v>4700</v>
      </c>
      <c r="C129" t="s">
        <v>45</v>
      </c>
      <c r="D129" t="s">
        <v>78</v>
      </c>
      <c r="E129">
        <v>40000</v>
      </c>
      <c r="F129">
        <v>18.899999999999999</v>
      </c>
      <c r="G129">
        <v>21.6</v>
      </c>
      <c r="H129">
        <v>41000</v>
      </c>
      <c r="I129">
        <v>3.6</v>
      </c>
      <c r="J129">
        <v>1</v>
      </c>
      <c r="K129">
        <v>10.5</v>
      </c>
    </row>
    <row r="130" spans="1:11" x14ac:dyDescent="0.2">
      <c r="A130">
        <v>2023</v>
      </c>
      <c r="B130">
        <v>4900</v>
      </c>
      <c r="C130" t="s">
        <v>46</v>
      </c>
      <c r="D130" t="s">
        <v>80</v>
      </c>
      <c r="E130">
        <v>3000</v>
      </c>
      <c r="F130">
        <v>0.4</v>
      </c>
      <c r="G130">
        <v>0.4</v>
      </c>
      <c r="H130">
        <v>4000</v>
      </c>
      <c r="I130">
        <v>0.1</v>
      </c>
      <c r="J130">
        <v>1.4</v>
      </c>
      <c r="K130">
        <v>30</v>
      </c>
    </row>
    <row r="131" spans="1:11" x14ac:dyDescent="0.2">
      <c r="A131">
        <v>2023</v>
      </c>
      <c r="B131">
        <v>4900</v>
      </c>
      <c r="C131" t="s">
        <v>46</v>
      </c>
      <c r="D131" t="s">
        <v>81</v>
      </c>
      <c r="E131">
        <v>40000</v>
      </c>
      <c r="F131">
        <v>5.8</v>
      </c>
      <c r="G131">
        <v>6.4</v>
      </c>
      <c r="H131">
        <v>536000</v>
      </c>
      <c r="I131">
        <v>8.4</v>
      </c>
      <c r="J131">
        <v>13.4</v>
      </c>
      <c r="K131">
        <v>26</v>
      </c>
    </row>
    <row r="132" spans="1:11" x14ac:dyDescent="0.2">
      <c r="A132">
        <v>2023</v>
      </c>
      <c r="B132">
        <v>4900</v>
      </c>
      <c r="C132" t="s">
        <v>46</v>
      </c>
      <c r="D132" t="s">
        <v>75</v>
      </c>
      <c r="E132">
        <v>334000</v>
      </c>
      <c r="F132">
        <v>48.6</v>
      </c>
      <c r="G132">
        <v>54</v>
      </c>
      <c r="H132">
        <v>3991000</v>
      </c>
      <c r="I132">
        <v>62.6</v>
      </c>
      <c r="J132">
        <v>11.9</v>
      </c>
      <c r="K132">
        <v>22.7</v>
      </c>
    </row>
    <row r="133" spans="1:11" x14ac:dyDescent="0.2">
      <c r="A133">
        <v>2023</v>
      </c>
      <c r="B133">
        <v>4900</v>
      </c>
      <c r="C133" t="s">
        <v>46</v>
      </c>
      <c r="D133" t="s">
        <v>83</v>
      </c>
      <c r="E133">
        <v>190000</v>
      </c>
      <c r="F133">
        <v>27.6</v>
      </c>
      <c r="G133">
        <v>30.6</v>
      </c>
      <c r="H133">
        <v>1766000</v>
      </c>
      <c r="I133">
        <v>27.7</v>
      </c>
      <c r="J133">
        <v>9.3000000000000007</v>
      </c>
      <c r="K133">
        <v>23.5</v>
      </c>
    </row>
    <row r="134" spans="1:11" x14ac:dyDescent="0.2">
      <c r="A134">
        <v>2023</v>
      </c>
      <c r="B134">
        <v>4900</v>
      </c>
      <c r="C134" t="s">
        <v>46</v>
      </c>
      <c r="D134" t="s">
        <v>84</v>
      </c>
      <c r="E134">
        <v>68000</v>
      </c>
      <c r="F134">
        <v>10</v>
      </c>
      <c r="H134">
        <v>40000</v>
      </c>
      <c r="I134">
        <v>0.6</v>
      </c>
      <c r="J134">
        <v>0.6</v>
      </c>
      <c r="K134">
        <v>8.9</v>
      </c>
    </row>
    <row r="135" spans="1:11" x14ac:dyDescent="0.2">
      <c r="A135">
        <v>2023</v>
      </c>
      <c r="B135">
        <v>4900</v>
      </c>
      <c r="C135" t="s">
        <v>46</v>
      </c>
      <c r="D135" t="s">
        <v>85</v>
      </c>
      <c r="E135">
        <v>53000</v>
      </c>
      <c r="F135">
        <v>7.6</v>
      </c>
      <c r="G135">
        <v>8.5</v>
      </c>
      <c r="H135">
        <v>36000</v>
      </c>
      <c r="I135">
        <v>0.6</v>
      </c>
      <c r="J135">
        <v>0.7</v>
      </c>
      <c r="K135">
        <v>10.3</v>
      </c>
    </row>
    <row r="136" spans="1:11" x14ac:dyDescent="0.2">
      <c r="A136">
        <v>2023</v>
      </c>
      <c r="B136">
        <v>5050</v>
      </c>
      <c r="C136" t="s">
        <v>98</v>
      </c>
      <c r="D136" t="s">
        <v>73</v>
      </c>
      <c r="E136">
        <v>4000</v>
      </c>
      <c r="F136">
        <v>1.1000000000000001</v>
      </c>
      <c r="G136">
        <v>1.1000000000000001</v>
      </c>
      <c r="H136">
        <v>17000</v>
      </c>
      <c r="I136">
        <v>0.4</v>
      </c>
      <c r="J136">
        <v>4</v>
      </c>
      <c r="K136">
        <v>25.4</v>
      </c>
    </row>
    <row r="137" spans="1:11" x14ac:dyDescent="0.2">
      <c r="A137">
        <v>2023</v>
      </c>
      <c r="B137">
        <v>5050</v>
      </c>
      <c r="C137" t="s">
        <v>98</v>
      </c>
      <c r="D137" t="s">
        <v>81</v>
      </c>
      <c r="E137">
        <v>5000</v>
      </c>
      <c r="F137">
        <v>1.2</v>
      </c>
      <c r="G137">
        <v>1.2</v>
      </c>
      <c r="H137">
        <v>55000</v>
      </c>
      <c r="I137">
        <v>1.3</v>
      </c>
      <c r="J137">
        <v>12.1</v>
      </c>
      <c r="K137">
        <v>27.8</v>
      </c>
    </row>
    <row r="138" spans="1:11" x14ac:dyDescent="0.2">
      <c r="A138">
        <v>2023</v>
      </c>
      <c r="B138">
        <v>5050</v>
      </c>
      <c r="C138" t="s">
        <v>98</v>
      </c>
      <c r="D138" t="s">
        <v>75</v>
      </c>
      <c r="E138">
        <v>209000</v>
      </c>
      <c r="F138">
        <v>53</v>
      </c>
      <c r="G138">
        <v>53.7</v>
      </c>
      <c r="H138">
        <v>3036000</v>
      </c>
      <c r="I138">
        <v>70.8</v>
      </c>
      <c r="J138">
        <v>14.5</v>
      </c>
      <c r="K138">
        <v>19.8</v>
      </c>
    </row>
    <row r="139" spans="1:11" x14ac:dyDescent="0.2">
      <c r="A139">
        <v>2023</v>
      </c>
      <c r="B139">
        <v>5050</v>
      </c>
      <c r="C139" t="s">
        <v>98</v>
      </c>
      <c r="D139" t="s">
        <v>83</v>
      </c>
      <c r="E139">
        <v>131000</v>
      </c>
      <c r="F139">
        <v>33.299999999999997</v>
      </c>
      <c r="G139">
        <v>33.700000000000003</v>
      </c>
      <c r="H139">
        <v>1158000</v>
      </c>
      <c r="I139">
        <v>27</v>
      </c>
      <c r="J139">
        <v>8.8000000000000007</v>
      </c>
      <c r="K139">
        <v>15.5</v>
      </c>
    </row>
    <row r="140" spans="1:11" x14ac:dyDescent="0.2">
      <c r="A140">
        <v>2023</v>
      </c>
      <c r="B140">
        <v>5050</v>
      </c>
      <c r="C140" t="s">
        <v>98</v>
      </c>
      <c r="D140" t="s">
        <v>84</v>
      </c>
      <c r="E140">
        <v>5000</v>
      </c>
      <c r="F140">
        <v>1.3</v>
      </c>
      <c r="H140">
        <v>4000</v>
      </c>
      <c r="I140">
        <v>0.1</v>
      </c>
      <c r="J140">
        <v>0.8</v>
      </c>
      <c r="K140">
        <v>7.6</v>
      </c>
    </row>
    <row r="141" spans="1:11" x14ac:dyDescent="0.2">
      <c r="A141">
        <v>2023</v>
      </c>
      <c r="B141">
        <v>5050</v>
      </c>
      <c r="C141" t="s">
        <v>98</v>
      </c>
      <c r="D141" t="s">
        <v>85</v>
      </c>
      <c r="E141">
        <v>40000</v>
      </c>
      <c r="F141">
        <v>10.199999999999999</v>
      </c>
      <c r="G141">
        <v>10.4</v>
      </c>
      <c r="H141">
        <v>18000</v>
      </c>
      <c r="I141">
        <v>0.4</v>
      </c>
      <c r="J141">
        <v>0.5</v>
      </c>
      <c r="K141">
        <v>11.3</v>
      </c>
    </row>
    <row r="142" spans="1:11" x14ac:dyDescent="0.2">
      <c r="A142">
        <v>2023</v>
      </c>
      <c r="B142">
        <v>5350</v>
      </c>
      <c r="C142" t="s">
        <v>47</v>
      </c>
      <c r="D142" t="s">
        <v>73</v>
      </c>
      <c r="E142">
        <v>2000</v>
      </c>
      <c r="F142">
        <v>1.7</v>
      </c>
      <c r="G142">
        <v>1.9</v>
      </c>
      <c r="H142">
        <v>21000</v>
      </c>
      <c r="I142">
        <v>2.2999999999999998</v>
      </c>
      <c r="J142">
        <v>8.3000000000000007</v>
      </c>
      <c r="K142">
        <v>24.7</v>
      </c>
    </row>
    <row r="143" spans="1:11" x14ac:dyDescent="0.2">
      <c r="A143">
        <v>2023</v>
      </c>
      <c r="B143">
        <v>5350</v>
      </c>
      <c r="C143" t="s">
        <v>47</v>
      </c>
      <c r="D143" t="s">
        <v>81</v>
      </c>
      <c r="E143">
        <v>9000</v>
      </c>
      <c r="F143">
        <v>6.4</v>
      </c>
      <c r="G143">
        <v>7.2</v>
      </c>
      <c r="H143">
        <v>73000</v>
      </c>
      <c r="I143">
        <v>8</v>
      </c>
      <c r="J143">
        <v>7.8</v>
      </c>
      <c r="K143">
        <v>22.4</v>
      </c>
    </row>
    <row r="144" spans="1:11" x14ac:dyDescent="0.2">
      <c r="A144">
        <v>2023</v>
      </c>
      <c r="B144">
        <v>5350</v>
      </c>
      <c r="C144" t="s">
        <v>47</v>
      </c>
      <c r="D144" t="s">
        <v>75</v>
      </c>
      <c r="E144">
        <v>60000</v>
      </c>
      <c r="F144">
        <v>41.1</v>
      </c>
      <c r="G144">
        <v>46.5</v>
      </c>
      <c r="H144">
        <v>651000</v>
      </c>
      <c r="I144">
        <v>71.8</v>
      </c>
      <c r="J144">
        <v>10.8</v>
      </c>
      <c r="K144">
        <v>21</v>
      </c>
    </row>
    <row r="145" spans="1:11" x14ac:dyDescent="0.2">
      <c r="A145">
        <v>2023</v>
      </c>
      <c r="B145">
        <v>5350</v>
      </c>
      <c r="C145" t="s">
        <v>47</v>
      </c>
      <c r="D145" t="s">
        <v>83</v>
      </c>
      <c r="E145">
        <v>23000</v>
      </c>
      <c r="F145">
        <v>15.7</v>
      </c>
      <c r="G145">
        <v>17.7</v>
      </c>
      <c r="H145">
        <v>129000</v>
      </c>
      <c r="I145">
        <v>14.2</v>
      </c>
      <c r="J145">
        <v>5.6</v>
      </c>
      <c r="K145">
        <v>17.2</v>
      </c>
    </row>
    <row r="146" spans="1:11" x14ac:dyDescent="0.2">
      <c r="A146">
        <v>2023</v>
      </c>
      <c r="B146">
        <v>5350</v>
      </c>
      <c r="C146" t="s">
        <v>47</v>
      </c>
      <c r="D146" t="s">
        <v>84</v>
      </c>
      <c r="E146">
        <v>17000</v>
      </c>
      <c r="F146">
        <v>11.6</v>
      </c>
      <c r="H146">
        <v>8000</v>
      </c>
      <c r="I146">
        <v>0.9</v>
      </c>
      <c r="J146">
        <v>0.5</v>
      </c>
      <c r="K146">
        <v>8</v>
      </c>
    </row>
    <row r="147" spans="1:11" x14ac:dyDescent="0.2">
      <c r="A147">
        <v>2023</v>
      </c>
      <c r="B147">
        <v>5350</v>
      </c>
      <c r="C147" t="s">
        <v>47</v>
      </c>
      <c r="D147" t="s">
        <v>85</v>
      </c>
      <c r="E147">
        <v>35000</v>
      </c>
      <c r="F147">
        <v>23.6</v>
      </c>
      <c r="G147">
        <v>26.7</v>
      </c>
      <c r="H147">
        <v>26000</v>
      </c>
      <c r="I147">
        <v>2.8</v>
      </c>
      <c r="J147">
        <v>0.7</v>
      </c>
      <c r="K147">
        <v>14</v>
      </c>
    </row>
    <row r="148" spans="1:11" x14ac:dyDescent="0.2">
      <c r="A148">
        <v>2023</v>
      </c>
      <c r="B148">
        <v>5900</v>
      </c>
      <c r="C148" t="s">
        <v>99</v>
      </c>
      <c r="D148" t="s">
        <v>73</v>
      </c>
      <c r="E148">
        <v>14000</v>
      </c>
      <c r="F148">
        <v>2.4</v>
      </c>
      <c r="G148">
        <v>2.4</v>
      </c>
      <c r="H148">
        <v>72000</v>
      </c>
      <c r="I148">
        <v>1.6</v>
      </c>
      <c r="J148">
        <v>5.2</v>
      </c>
      <c r="K148">
        <v>19.399999999999999</v>
      </c>
    </row>
    <row r="149" spans="1:11" x14ac:dyDescent="0.2">
      <c r="A149">
        <v>2023</v>
      </c>
      <c r="B149">
        <v>5900</v>
      </c>
      <c r="C149" t="s">
        <v>99</v>
      </c>
      <c r="D149" t="s">
        <v>81</v>
      </c>
      <c r="E149">
        <v>13000</v>
      </c>
      <c r="F149">
        <v>2.2999999999999998</v>
      </c>
      <c r="G149">
        <v>2.4</v>
      </c>
      <c r="H149">
        <v>212000</v>
      </c>
      <c r="I149">
        <v>4.7</v>
      </c>
      <c r="J149">
        <v>15.9</v>
      </c>
      <c r="K149">
        <v>30.7</v>
      </c>
    </row>
    <row r="150" spans="1:11" x14ac:dyDescent="0.2">
      <c r="A150">
        <v>2023</v>
      </c>
      <c r="B150">
        <v>5900</v>
      </c>
      <c r="C150" t="s">
        <v>99</v>
      </c>
      <c r="D150" t="s">
        <v>75</v>
      </c>
      <c r="E150">
        <v>335000</v>
      </c>
      <c r="F150">
        <v>57.3</v>
      </c>
      <c r="G150">
        <v>59.4</v>
      </c>
      <c r="H150">
        <v>3392000</v>
      </c>
      <c r="I150">
        <v>75.400000000000006</v>
      </c>
      <c r="J150">
        <v>10.1</v>
      </c>
      <c r="K150">
        <v>16.7</v>
      </c>
    </row>
    <row r="151" spans="1:11" x14ac:dyDescent="0.2">
      <c r="A151">
        <v>2023</v>
      </c>
      <c r="B151">
        <v>5900</v>
      </c>
      <c r="C151" t="s">
        <v>99</v>
      </c>
      <c r="D151" t="s">
        <v>76</v>
      </c>
      <c r="E151">
        <v>132000</v>
      </c>
      <c r="F151">
        <v>22.5</v>
      </c>
      <c r="G151">
        <v>23.4</v>
      </c>
      <c r="H151">
        <v>759000</v>
      </c>
      <c r="I151">
        <v>16.899999999999999</v>
      </c>
      <c r="J151">
        <v>5.8</v>
      </c>
      <c r="K151">
        <v>12.2</v>
      </c>
    </row>
    <row r="152" spans="1:11" x14ac:dyDescent="0.2">
      <c r="A152">
        <v>2023</v>
      </c>
      <c r="B152">
        <v>5900</v>
      </c>
      <c r="C152" t="s">
        <v>99</v>
      </c>
      <c r="D152" t="s">
        <v>77</v>
      </c>
      <c r="E152">
        <v>21000</v>
      </c>
      <c r="F152">
        <v>3.6</v>
      </c>
      <c r="H152">
        <v>15000</v>
      </c>
      <c r="I152">
        <v>0.3</v>
      </c>
      <c r="J152">
        <v>0.7</v>
      </c>
      <c r="K152">
        <v>15.3</v>
      </c>
    </row>
    <row r="153" spans="1:11" x14ac:dyDescent="0.2">
      <c r="A153">
        <v>2023</v>
      </c>
      <c r="B153">
        <v>5900</v>
      </c>
      <c r="C153" t="s">
        <v>99</v>
      </c>
      <c r="D153" t="s">
        <v>78</v>
      </c>
      <c r="E153">
        <v>70000</v>
      </c>
      <c r="F153">
        <v>11.9</v>
      </c>
      <c r="G153">
        <v>12.4</v>
      </c>
      <c r="H153">
        <v>49000</v>
      </c>
      <c r="I153">
        <v>1.1000000000000001</v>
      </c>
      <c r="J153">
        <v>0.7</v>
      </c>
      <c r="K153">
        <v>10.9</v>
      </c>
    </row>
    <row r="154" spans="1:11" x14ac:dyDescent="0.2">
      <c r="A154">
        <v>2023</v>
      </c>
      <c r="B154">
        <v>5950</v>
      </c>
      <c r="C154" t="s">
        <v>48</v>
      </c>
      <c r="D154" t="s">
        <v>80</v>
      </c>
      <c r="E154">
        <v>5000</v>
      </c>
      <c r="F154">
        <v>1.5</v>
      </c>
      <c r="G154">
        <v>1.8</v>
      </c>
      <c r="H154">
        <v>30000</v>
      </c>
      <c r="I154">
        <v>2.2000000000000002</v>
      </c>
      <c r="J154">
        <v>5.6</v>
      </c>
      <c r="K154">
        <v>19.600000000000001</v>
      </c>
    </row>
    <row r="155" spans="1:11" x14ac:dyDescent="0.2">
      <c r="A155">
        <v>2023</v>
      </c>
      <c r="B155">
        <v>5950</v>
      </c>
      <c r="C155" t="s">
        <v>48</v>
      </c>
      <c r="D155" t="s">
        <v>74</v>
      </c>
      <c r="E155">
        <v>32000</v>
      </c>
      <c r="F155">
        <v>8.9</v>
      </c>
      <c r="G155">
        <v>10.7</v>
      </c>
      <c r="H155">
        <v>213000</v>
      </c>
      <c r="I155">
        <v>15.8</v>
      </c>
      <c r="J155">
        <v>6.6</v>
      </c>
      <c r="K155">
        <v>16.3</v>
      </c>
    </row>
    <row r="156" spans="1:11" x14ac:dyDescent="0.2">
      <c r="A156">
        <v>2023</v>
      </c>
      <c r="B156">
        <v>5950</v>
      </c>
      <c r="C156" t="s">
        <v>48</v>
      </c>
      <c r="D156" t="s">
        <v>82</v>
      </c>
      <c r="E156">
        <v>111000</v>
      </c>
      <c r="F156">
        <v>30.8</v>
      </c>
      <c r="G156">
        <v>36.799999999999997</v>
      </c>
      <c r="H156">
        <v>837000</v>
      </c>
      <c r="I156">
        <v>62</v>
      </c>
      <c r="J156">
        <v>7.5</v>
      </c>
      <c r="K156">
        <v>16.399999999999999</v>
      </c>
    </row>
    <row r="157" spans="1:11" x14ac:dyDescent="0.2">
      <c r="A157">
        <v>2023</v>
      </c>
      <c r="B157">
        <v>5950</v>
      </c>
      <c r="C157" t="s">
        <v>48</v>
      </c>
      <c r="D157" t="s">
        <v>76</v>
      </c>
      <c r="E157">
        <v>27000</v>
      </c>
      <c r="F157">
        <v>7.4</v>
      </c>
      <c r="G157">
        <v>8.9</v>
      </c>
      <c r="H157">
        <v>155000</v>
      </c>
      <c r="I157">
        <v>11.5</v>
      </c>
      <c r="J157">
        <v>5.8</v>
      </c>
      <c r="K157">
        <v>14.6</v>
      </c>
    </row>
    <row r="158" spans="1:11" x14ac:dyDescent="0.2">
      <c r="A158">
        <v>2023</v>
      </c>
      <c r="B158">
        <v>5950</v>
      </c>
      <c r="C158" t="s">
        <v>48</v>
      </c>
      <c r="D158" t="s">
        <v>77</v>
      </c>
      <c r="E158">
        <v>59000</v>
      </c>
      <c r="F158">
        <v>16.3</v>
      </c>
      <c r="H158">
        <v>34000</v>
      </c>
      <c r="I158">
        <v>2.5</v>
      </c>
      <c r="J158">
        <v>0.6</v>
      </c>
      <c r="K158">
        <v>8.9</v>
      </c>
    </row>
    <row r="159" spans="1:11" x14ac:dyDescent="0.2">
      <c r="A159">
        <v>2023</v>
      </c>
      <c r="B159">
        <v>5950</v>
      </c>
      <c r="C159" t="s">
        <v>48</v>
      </c>
      <c r="D159" t="s">
        <v>85</v>
      </c>
      <c r="E159">
        <v>126000</v>
      </c>
      <c r="F159">
        <v>35.1</v>
      </c>
      <c r="G159">
        <v>41.9</v>
      </c>
      <c r="H159">
        <v>81000</v>
      </c>
      <c r="I159">
        <v>6</v>
      </c>
      <c r="J159">
        <v>0.6</v>
      </c>
      <c r="K159">
        <v>10.9</v>
      </c>
    </row>
    <row r="160" spans="1:11" x14ac:dyDescent="0.2">
      <c r="A160">
        <v>2023</v>
      </c>
      <c r="B160">
        <v>5990</v>
      </c>
      <c r="C160" t="s">
        <v>100</v>
      </c>
      <c r="D160" t="s">
        <v>73</v>
      </c>
      <c r="E160">
        <v>50000</v>
      </c>
      <c r="F160">
        <v>3.6</v>
      </c>
      <c r="G160">
        <v>4</v>
      </c>
      <c r="H160">
        <v>190000</v>
      </c>
      <c r="I160">
        <v>2.4</v>
      </c>
      <c r="J160">
        <v>3.8</v>
      </c>
      <c r="K160">
        <v>19.100000000000001</v>
      </c>
    </row>
    <row r="161" spans="1:11" x14ac:dyDescent="0.2">
      <c r="A161">
        <v>2023</v>
      </c>
      <c r="B161">
        <v>5990</v>
      </c>
      <c r="C161" t="s">
        <v>100</v>
      </c>
      <c r="D161" t="s">
        <v>74</v>
      </c>
      <c r="E161">
        <v>99000</v>
      </c>
      <c r="F161">
        <v>7</v>
      </c>
      <c r="G161">
        <v>7.9</v>
      </c>
      <c r="H161">
        <v>1086000</v>
      </c>
      <c r="I161">
        <v>13.9</v>
      </c>
      <c r="J161">
        <v>11</v>
      </c>
      <c r="K161">
        <v>31.1</v>
      </c>
    </row>
    <row r="162" spans="1:11" x14ac:dyDescent="0.2">
      <c r="A162">
        <v>2023</v>
      </c>
      <c r="B162">
        <v>5990</v>
      </c>
      <c r="C162" t="s">
        <v>100</v>
      </c>
      <c r="D162" t="s">
        <v>75</v>
      </c>
      <c r="E162">
        <v>602000</v>
      </c>
      <c r="F162">
        <v>43</v>
      </c>
      <c r="G162">
        <v>48</v>
      </c>
      <c r="H162">
        <v>4583000</v>
      </c>
      <c r="I162">
        <v>58.8</v>
      </c>
      <c r="J162">
        <v>7.6</v>
      </c>
      <c r="K162">
        <v>17.100000000000001</v>
      </c>
    </row>
    <row r="163" spans="1:11" x14ac:dyDescent="0.2">
      <c r="A163">
        <v>2023</v>
      </c>
      <c r="B163">
        <v>5990</v>
      </c>
      <c r="C163" t="s">
        <v>100</v>
      </c>
      <c r="D163" t="s">
        <v>76</v>
      </c>
      <c r="E163">
        <v>274000</v>
      </c>
      <c r="F163">
        <v>19.5</v>
      </c>
      <c r="G163">
        <v>21.8</v>
      </c>
      <c r="H163">
        <v>1661000</v>
      </c>
      <c r="I163">
        <v>21.3</v>
      </c>
      <c r="J163">
        <v>6.1</v>
      </c>
      <c r="K163">
        <v>14.4</v>
      </c>
    </row>
    <row r="164" spans="1:11" x14ac:dyDescent="0.2">
      <c r="A164">
        <v>2023</v>
      </c>
      <c r="B164">
        <v>5990</v>
      </c>
      <c r="C164" t="s">
        <v>100</v>
      </c>
      <c r="D164" t="s">
        <v>77</v>
      </c>
      <c r="E164">
        <v>147000</v>
      </c>
      <c r="F164">
        <v>10.5</v>
      </c>
      <c r="H164">
        <v>88000</v>
      </c>
      <c r="I164">
        <v>1.1000000000000001</v>
      </c>
      <c r="J164">
        <v>0.6</v>
      </c>
      <c r="K164">
        <v>9.3000000000000007</v>
      </c>
    </row>
    <row r="165" spans="1:11" x14ac:dyDescent="0.2">
      <c r="A165">
        <v>2023</v>
      </c>
      <c r="B165">
        <v>5990</v>
      </c>
      <c r="C165" t="s">
        <v>100</v>
      </c>
      <c r="D165" t="s">
        <v>78</v>
      </c>
      <c r="E165">
        <v>229000</v>
      </c>
      <c r="F165">
        <v>16.3</v>
      </c>
      <c r="G165">
        <v>18.3</v>
      </c>
      <c r="H165">
        <v>186000</v>
      </c>
      <c r="I165">
        <v>2.4</v>
      </c>
      <c r="J165">
        <v>0.8</v>
      </c>
      <c r="K165">
        <v>13.1</v>
      </c>
    </row>
    <row r="166" spans="1:11" x14ac:dyDescent="0.2">
      <c r="A166">
        <v>2023</v>
      </c>
      <c r="B166">
        <v>6260</v>
      </c>
      <c r="C166" t="s">
        <v>49</v>
      </c>
      <c r="D166" t="s">
        <v>73</v>
      </c>
      <c r="E166">
        <v>22000</v>
      </c>
      <c r="F166">
        <v>1.8</v>
      </c>
      <c r="G166">
        <v>2</v>
      </c>
      <c r="H166">
        <v>193000</v>
      </c>
      <c r="I166">
        <v>2.2999999999999998</v>
      </c>
      <c r="J166">
        <v>8.8000000000000007</v>
      </c>
      <c r="K166">
        <v>25.8</v>
      </c>
    </row>
    <row r="167" spans="1:11" x14ac:dyDescent="0.2">
      <c r="A167">
        <v>2023</v>
      </c>
      <c r="B167">
        <v>6260</v>
      </c>
      <c r="C167" t="s">
        <v>49</v>
      </c>
      <c r="D167" t="s">
        <v>74</v>
      </c>
      <c r="E167">
        <v>104000</v>
      </c>
      <c r="F167">
        <v>8.4</v>
      </c>
      <c r="G167">
        <v>9.6</v>
      </c>
      <c r="H167">
        <v>1501000</v>
      </c>
      <c r="I167">
        <v>17.7</v>
      </c>
      <c r="J167">
        <v>14.5</v>
      </c>
      <c r="K167">
        <v>25.3</v>
      </c>
    </row>
    <row r="168" spans="1:11" x14ac:dyDescent="0.2">
      <c r="A168">
        <v>2023</v>
      </c>
      <c r="B168">
        <v>6260</v>
      </c>
      <c r="C168" t="s">
        <v>49</v>
      </c>
      <c r="D168" t="s">
        <v>75</v>
      </c>
      <c r="E168">
        <v>550000</v>
      </c>
      <c r="F168">
        <v>44.6</v>
      </c>
      <c r="G168">
        <v>50.7</v>
      </c>
      <c r="H168">
        <v>4904000</v>
      </c>
      <c r="I168">
        <v>57.9</v>
      </c>
      <c r="J168">
        <v>8.9</v>
      </c>
      <c r="K168">
        <v>18.5</v>
      </c>
    </row>
    <row r="169" spans="1:11" x14ac:dyDescent="0.2">
      <c r="A169">
        <v>2023</v>
      </c>
      <c r="B169">
        <v>6260</v>
      </c>
      <c r="C169" t="s">
        <v>49</v>
      </c>
      <c r="D169" t="s">
        <v>76</v>
      </c>
      <c r="E169">
        <v>238000</v>
      </c>
      <c r="F169">
        <v>19.399999999999999</v>
      </c>
      <c r="G169">
        <v>22</v>
      </c>
      <c r="H169">
        <v>1648000</v>
      </c>
      <c r="I169">
        <v>19.5</v>
      </c>
      <c r="J169">
        <v>6.9</v>
      </c>
      <c r="K169">
        <v>14.9</v>
      </c>
    </row>
    <row r="170" spans="1:11" x14ac:dyDescent="0.2">
      <c r="A170">
        <v>2023</v>
      </c>
      <c r="B170">
        <v>6260</v>
      </c>
      <c r="C170" t="s">
        <v>49</v>
      </c>
      <c r="D170" t="s">
        <v>77</v>
      </c>
      <c r="E170">
        <v>148000</v>
      </c>
      <c r="F170">
        <v>12</v>
      </c>
      <c r="H170">
        <v>98000</v>
      </c>
      <c r="I170">
        <v>1.2</v>
      </c>
      <c r="J170">
        <v>0.7</v>
      </c>
      <c r="K170">
        <v>9.6</v>
      </c>
    </row>
    <row r="171" spans="1:11" x14ac:dyDescent="0.2">
      <c r="A171">
        <v>2023</v>
      </c>
      <c r="B171">
        <v>6260</v>
      </c>
      <c r="C171" t="s">
        <v>49</v>
      </c>
      <c r="D171" t="s">
        <v>78</v>
      </c>
      <c r="E171">
        <v>170000</v>
      </c>
      <c r="F171">
        <v>13.8</v>
      </c>
      <c r="G171">
        <v>15.7</v>
      </c>
      <c r="H171">
        <v>120000</v>
      </c>
      <c r="I171">
        <v>1.4</v>
      </c>
      <c r="J171">
        <v>0.7</v>
      </c>
      <c r="K171">
        <v>11.5</v>
      </c>
    </row>
    <row r="172" spans="1:11" x14ac:dyDescent="0.2">
      <c r="A172">
        <v>2023</v>
      </c>
      <c r="B172">
        <v>6350</v>
      </c>
      <c r="C172" t="s">
        <v>50</v>
      </c>
      <c r="D172" t="s">
        <v>73</v>
      </c>
      <c r="E172">
        <v>30000</v>
      </c>
      <c r="F172">
        <v>3.6</v>
      </c>
      <c r="G172">
        <v>3.9</v>
      </c>
      <c r="H172">
        <v>77000</v>
      </c>
      <c r="I172">
        <v>1</v>
      </c>
      <c r="J172">
        <v>2.6</v>
      </c>
      <c r="K172">
        <v>11.1</v>
      </c>
    </row>
    <row r="173" spans="1:11" x14ac:dyDescent="0.2">
      <c r="A173">
        <v>2023</v>
      </c>
      <c r="B173">
        <v>6350</v>
      </c>
      <c r="C173" t="s">
        <v>50</v>
      </c>
      <c r="D173" t="s">
        <v>81</v>
      </c>
      <c r="E173">
        <v>81000</v>
      </c>
      <c r="F173">
        <v>9.8000000000000007</v>
      </c>
      <c r="G173">
        <v>10.8</v>
      </c>
      <c r="H173">
        <v>1798000</v>
      </c>
      <c r="I173">
        <v>24.5</v>
      </c>
      <c r="J173">
        <v>22.2</v>
      </c>
      <c r="K173">
        <v>31.2</v>
      </c>
    </row>
    <row r="174" spans="1:11" x14ac:dyDescent="0.2">
      <c r="A174">
        <v>2023</v>
      </c>
      <c r="B174">
        <v>6350</v>
      </c>
      <c r="C174" t="s">
        <v>50</v>
      </c>
      <c r="D174" t="s">
        <v>75</v>
      </c>
      <c r="E174">
        <v>355000</v>
      </c>
      <c r="F174">
        <v>42.9</v>
      </c>
      <c r="G174">
        <v>47.2</v>
      </c>
      <c r="H174">
        <v>4119000</v>
      </c>
      <c r="I174">
        <v>56.1</v>
      </c>
      <c r="J174">
        <v>11.6</v>
      </c>
      <c r="K174">
        <v>21.5</v>
      </c>
    </row>
    <row r="175" spans="1:11" x14ac:dyDescent="0.2">
      <c r="A175">
        <v>2023</v>
      </c>
      <c r="B175">
        <v>6350</v>
      </c>
      <c r="C175" t="s">
        <v>50</v>
      </c>
      <c r="D175" t="s">
        <v>76</v>
      </c>
      <c r="E175">
        <v>164000</v>
      </c>
      <c r="F175">
        <v>19.899999999999999</v>
      </c>
      <c r="G175">
        <v>21.9</v>
      </c>
      <c r="H175">
        <v>1198000</v>
      </c>
      <c r="I175">
        <v>16.3</v>
      </c>
      <c r="J175">
        <v>7.3</v>
      </c>
      <c r="K175">
        <v>15.4</v>
      </c>
    </row>
    <row r="176" spans="1:11" x14ac:dyDescent="0.2">
      <c r="A176">
        <v>2023</v>
      </c>
      <c r="B176">
        <v>6350</v>
      </c>
      <c r="C176" t="s">
        <v>50</v>
      </c>
      <c r="D176" t="s">
        <v>84</v>
      </c>
      <c r="E176">
        <v>77000</v>
      </c>
      <c r="F176">
        <v>9.3000000000000007</v>
      </c>
      <c r="H176">
        <v>41000</v>
      </c>
      <c r="I176">
        <v>0.6</v>
      </c>
      <c r="J176">
        <v>0.5</v>
      </c>
      <c r="K176">
        <v>7.1</v>
      </c>
    </row>
    <row r="177" spans="1:11" x14ac:dyDescent="0.2">
      <c r="A177">
        <v>2023</v>
      </c>
      <c r="B177">
        <v>6350</v>
      </c>
      <c r="C177" t="s">
        <v>50</v>
      </c>
      <c r="D177" t="s">
        <v>78</v>
      </c>
      <c r="E177">
        <v>121000</v>
      </c>
      <c r="F177">
        <v>14.6</v>
      </c>
      <c r="G177">
        <v>16.100000000000001</v>
      </c>
      <c r="H177">
        <v>108000</v>
      </c>
      <c r="I177">
        <v>1.5</v>
      </c>
      <c r="J177">
        <v>0.9</v>
      </c>
      <c r="K177">
        <v>12.7</v>
      </c>
    </row>
    <row r="178" spans="1:11" x14ac:dyDescent="0.2">
      <c r="A178">
        <v>2023</v>
      </c>
      <c r="B178">
        <v>6400</v>
      </c>
      <c r="C178" t="s">
        <v>101</v>
      </c>
      <c r="D178" t="s">
        <v>80</v>
      </c>
      <c r="E178">
        <v>1000</v>
      </c>
      <c r="F178">
        <v>0.5</v>
      </c>
      <c r="G178">
        <v>0.5</v>
      </c>
      <c r="H178">
        <v>7000</v>
      </c>
      <c r="I178">
        <v>0.2</v>
      </c>
      <c r="J178">
        <v>6.2</v>
      </c>
      <c r="K178">
        <v>23.3</v>
      </c>
    </row>
    <row r="179" spans="1:11" x14ac:dyDescent="0.2">
      <c r="A179">
        <v>2023</v>
      </c>
      <c r="B179">
        <v>6400</v>
      </c>
      <c r="C179" t="s">
        <v>101</v>
      </c>
      <c r="D179" t="s">
        <v>74</v>
      </c>
      <c r="E179">
        <v>11000</v>
      </c>
      <c r="F179">
        <v>4.4000000000000004</v>
      </c>
      <c r="G179">
        <v>4.5999999999999996</v>
      </c>
      <c r="H179">
        <v>257000</v>
      </c>
      <c r="I179">
        <v>8</v>
      </c>
      <c r="J179">
        <v>23.4</v>
      </c>
      <c r="K179">
        <v>40.299999999999997</v>
      </c>
    </row>
    <row r="180" spans="1:11" x14ac:dyDescent="0.2">
      <c r="A180">
        <v>2023</v>
      </c>
      <c r="B180">
        <v>6400</v>
      </c>
      <c r="C180" t="s">
        <v>101</v>
      </c>
      <c r="D180" t="s">
        <v>75</v>
      </c>
      <c r="E180">
        <v>168000</v>
      </c>
      <c r="F180">
        <v>67.7</v>
      </c>
      <c r="G180">
        <v>70.099999999999994</v>
      </c>
      <c r="H180">
        <v>2536000</v>
      </c>
      <c r="I180">
        <v>79.400000000000006</v>
      </c>
      <c r="J180">
        <v>15.1</v>
      </c>
      <c r="K180">
        <v>19.8</v>
      </c>
    </row>
    <row r="181" spans="1:11" x14ac:dyDescent="0.2">
      <c r="A181">
        <v>2023</v>
      </c>
      <c r="B181">
        <v>6400</v>
      </c>
      <c r="C181" t="s">
        <v>101</v>
      </c>
      <c r="D181" t="s">
        <v>83</v>
      </c>
      <c r="E181">
        <v>34000</v>
      </c>
      <c r="F181">
        <v>13.7</v>
      </c>
      <c r="G181">
        <v>14.1</v>
      </c>
      <c r="H181">
        <v>372000</v>
      </c>
      <c r="I181">
        <v>11.6</v>
      </c>
      <c r="J181">
        <v>10.9</v>
      </c>
      <c r="K181">
        <v>17.2</v>
      </c>
    </row>
    <row r="182" spans="1:11" x14ac:dyDescent="0.2">
      <c r="A182">
        <v>2023</v>
      </c>
      <c r="B182">
        <v>6400</v>
      </c>
      <c r="C182" t="s">
        <v>101</v>
      </c>
      <c r="D182" t="s">
        <v>84</v>
      </c>
      <c r="E182">
        <v>8000</v>
      </c>
      <c r="F182">
        <v>3.3</v>
      </c>
      <c r="H182">
        <v>7000</v>
      </c>
      <c r="I182">
        <v>0.2</v>
      </c>
      <c r="J182">
        <v>0.8</v>
      </c>
      <c r="K182">
        <v>13.4</v>
      </c>
    </row>
    <row r="183" spans="1:11" x14ac:dyDescent="0.2">
      <c r="A183">
        <v>2023</v>
      </c>
      <c r="B183">
        <v>6400</v>
      </c>
      <c r="C183" t="s">
        <v>101</v>
      </c>
      <c r="D183" t="s">
        <v>85</v>
      </c>
      <c r="E183">
        <v>26000</v>
      </c>
      <c r="F183">
        <v>10.4</v>
      </c>
      <c r="G183">
        <v>10.7</v>
      </c>
      <c r="H183">
        <v>15000</v>
      </c>
      <c r="I183">
        <v>0.5</v>
      </c>
      <c r="J183">
        <v>0.6</v>
      </c>
      <c r="K183">
        <v>11.1</v>
      </c>
    </row>
    <row r="184" spans="1:11" x14ac:dyDescent="0.2">
      <c r="A184">
        <v>2023</v>
      </c>
      <c r="B184">
        <v>6550</v>
      </c>
      <c r="C184" t="s">
        <v>51</v>
      </c>
      <c r="D184" t="s">
        <v>73</v>
      </c>
      <c r="E184">
        <v>15000</v>
      </c>
      <c r="F184">
        <v>2.8</v>
      </c>
      <c r="G184">
        <v>3.2</v>
      </c>
      <c r="H184">
        <v>88000</v>
      </c>
      <c r="I184">
        <v>3.6</v>
      </c>
      <c r="J184">
        <v>5.9</v>
      </c>
      <c r="K184">
        <v>23.7</v>
      </c>
    </row>
    <row r="185" spans="1:11" x14ac:dyDescent="0.2">
      <c r="A185">
        <v>2023</v>
      </c>
      <c r="B185">
        <v>6550</v>
      </c>
      <c r="C185" t="s">
        <v>51</v>
      </c>
      <c r="D185" t="s">
        <v>74</v>
      </c>
      <c r="E185">
        <v>51000</v>
      </c>
      <c r="F185">
        <v>9.6</v>
      </c>
      <c r="G185">
        <v>10.9</v>
      </c>
      <c r="H185">
        <v>300000</v>
      </c>
      <c r="I185">
        <v>12.2</v>
      </c>
      <c r="J185">
        <v>5.8</v>
      </c>
      <c r="K185">
        <v>22.8</v>
      </c>
    </row>
    <row r="186" spans="1:11" x14ac:dyDescent="0.2">
      <c r="A186">
        <v>2023</v>
      </c>
      <c r="B186">
        <v>6550</v>
      </c>
      <c r="C186" t="s">
        <v>51</v>
      </c>
      <c r="D186" t="s">
        <v>75</v>
      </c>
      <c r="E186">
        <v>223000</v>
      </c>
      <c r="F186">
        <v>41.6</v>
      </c>
      <c r="G186">
        <v>47.3</v>
      </c>
      <c r="H186">
        <v>1459000</v>
      </c>
      <c r="I186">
        <v>59.1</v>
      </c>
      <c r="J186">
        <v>6.5</v>
      </c>
      <c r="K186">
        <v>16.600000000000001</v>
      </c>
    </row>
    <row r="187" spans="1:11" x14ac:dyDescent="0.2">
      <c r="A187">
        <v>2023</v>
      </c>
      <c r="B187">
        <v>6550</v>
      </c>
      <c r="C187" t="s">
        <v>51</v>
      </c>
      <c r="D187" t="s">
        <v>76</v>
      </c>
      <c r="E187">
        <v>66000</v>
      </c>
      <c r="F187">
        <v>12.3</v>
      </c>
      <c r="G187">
        <v>14</v>
      </c>
      <c r="H187">
        <v>465000</v>
      </c>
      <c r="I187">
        <v>18.8</v>
      </c>
      <c r="J187">
        <v>7</v>
      </c>
      <c r="K187">
        <v>19.3</v>
      </c>
    </row>
    <row r="188" spans="1:11" x14ac:dyDescent="0.2">
      <c r="A188">
        <v>2023</v>
      </c>
      <c r="B188">
        <v>6550</v>
      </c>
      <c r="C188" t="s">
        <v>51</v>
      </c>
      <c r="D188" t="s">
        <v>77</v>
      </c>
      <c r="E188">
        <v>65000</v>
      </c>
      <c r="F188">
        <v>12.1</v>
      </c>
      <c r="H188">
        <v>43000</v>
      </c>
      <c r="I188">
        <v>1.8</v>
      </c>
      <c r="J188">
        <v>0.7</v>
      </c>
      <c r="K188">
        <v>9.3000000000000007</v>
      </c>
    </row>
    <row r="189" spans="1:11" x14ac:dyDescent="0.2">
      <c r="A189">
        <v>2023</v>
      </c>
      <c r="B189">
        <v>6550</v>
      </c>
      <c r="C189" t="s">
        <v>51</v>
      </c>
      <c r="D189" t="s">
        <v>78</v>
      </c>
      <c r="E189">
        <v>116000</v>
      </c>
      <c r="F189">
        <v>21.6</v>
      </c>
      <c r="G189">
        <v>24.6</v>
      </c>
      <c r="H189">
        <v>113000</v>
      </c>
      <c r="I189">
        <v>4.5999999999999996</v>
      </c>
      <c r="J189">
        <v>1</v>
      </c>
      <c r="K189">
        <v>14.8</v>
      </c>
    </row>
    <row r="190" spans="1:11" x14ac:dyDescent="0.2">
      <c r="A190">
        <v>2023</v>
      </c>
      <c r="B190">
        <v>6700</v>
      </c>
      <c r="C190" t="s">
        <v>52</v>
      </c>
      <c r="D190" t="s">
        <v>73</v>
      </c>
      <c r="E190">
        <v>11000</v>
      </c>
      <c r="F190">
        <v>1.9</v>
      </c>
      <c r="G190">
        <v>2.2000000000000002</v>
      </c>
      <c r="H190">
        <v>100000</v>
      </c>
      <c r="I190">
        <v>2.9</v>
      </c>
      <c r="J190">
        <v>9.3000000000000007</v>
      </c>
      <c r="K190">
        <v>34.200000000000003</v>
      </c>
    </row>
    <row r="191" spans="1:11" x14ac:dyDescent="0.2">
      <c r="A191">
        <v>2023</v>
      </c>
      <c r="B191">
        <v>6700</v>
      </c>
      <c r="C191" t="s">
        <v>52</v>
      </c>
      <c r="D191" t="s">
        <v>74</v>
      </c>
      <c r="E191">
        <v>54000</v>
      </c>
      <c r="F191">
        <v>9.3000000000000007</v>
      </c>
      <c r="G191">
        <v>11</v>
      </c>
      <c r="H191">
        <v>606000</v>
      </c>
      <c r="I191">
        <v>17.399999999999999</v>
      </c>
      <c r="J191">
        <v>11.3</v>
      </c>
      <c r="K191">
        <v>27.4</v>
      </c>
    </row>
    <row r="192" spans="1:11" x14ac:dyDescent="0.2">
      <c r="A192">
        <v>2023</v>
      </c>
      <c r="B192">
        <v>6700</v>
      </c>
      <c r="C192" t="s">
        <v>52</v>
      </c>
      <c r="D192" t="s">
        <v>75</v>
      </c>
      <c r="E192">
        <v>246000</v>
      </c>
      <c r="F192">
        <v>42.4</v>
      </c>
      <c r="G192">
        <v>50.6</v>
      </c>
      <c r="H192">
        <v>2073000</v>
      </c>
      <c r="I192">
        <v>59.5</v>
      </c>
      <c r="J192">
        <v>8.4</v>
      </c>
      <c r="K192">
        <v>18.5</v>
      </c>
    </row>
    <row r="193" spans="1:11" x14ac:dyDescent="0.2">
      <c r="A193">
        <v>2023</v>
      </c>
      <c r="B193">
        <v>6700</v>
      </c>
      <c r="C193" t="s">
        <v>52</v>
      </c>
      <c r="D193" t="s">
        <v>76</v>
      </c>
      <c r="E193">
        <v>89000</v>
      </c>
      <c r="F193">
        <v>15.4</v>
      </c>
      <c r="G193">
        <v>18.399999999999999</v>
      </c>
      <c r="H193">
        <v>579000</v>
      </c>
      <c r="I193">
        <v>16.600000000000001</v>
      </c>
      <c r="J193">
        <v>6.5</v>
      </c>
      <c r="K193">
        <v>15</v>
      </c>
    </row>
    <row r="194" spans="1:11" x14ac:dyDescent="0.2">
      <c r="A194">
        <v>2023</v>
      </c>
      <c r="B194">
        <v>6700</v>
      </c>
      <c r="C194" t="s">
        <v>52</v>
      </c>
      <c r="D194" t="s">
        <v>77</v>
      </c>
      <c r="E194">
        <v>94000</v>
      </c>
      <c r="F194">
        <v>16.100000000000001</v>
      </c>
      <c r="H194">
        <v>60000</v>
      </c>
      <c r="I194">
        <v>1.7</v>
      </c>
      <c r="J194">
        <v>0.6</v>
      </c>
      <c r="K194">
        <v>9.3000000000000007</v>
      </c>
    </row>
    <row r="195" spans="1:11" x14ac:dyDescent="0.2">
      <c r="A195">
        <v>2023</v>
      </c>
      <c r="B195">
        <v>6700</v>
      </c>
      <c r="C195" t="s">
        <v>52</v>
      </c>
      <c r="D195" t="s">
        <v>78</v>
      </c>
      <c r="E195">
        <v>87000</v>
      </c>
      <c r="F195">
        <v>14.9</v>
      </c>
      <c r="G195">
        <v>17.8</v>
      </c>
      <c r="H195">
        <v>66000</v>
      </c>
      <c r="I195">
        <v>1.9</v>
      </c>
      <c r="J195">
        <v>0.8</v>
      </c>
      <c r="K195">
        <v>11.8</v>
      </c>
    </row>
    <row r="196" spans="1:11" x14ac:dyDescent="0.2">
      <c r="A196">
        <v>2023</v>
      </c>
      <c r="B196">
        <v>6900</v>
      </c>
      <c r="C196" t="s">
        <v>102</v>
      </c>
      <c r="D196" t="s">
        <v>80</v>
      </c>
      <c r="E196">
        <v>2000</v>
      </c>
      <c r="F196">
        <v>0.8</v>
      </c>
      <c r="G196">
        <v>0.9</v>
      </c>
      <c r="H196">
        <v>20000</v>
      </c>
      <c r="I196">
        <v>0.8</v>
      </c>
      <c r="J196">
        <v>10.4</v>
      </c>
      <c r="K196">
        <v>33.1</v>
      </c>
    </row>
    <row r="197" spans="1:11" x14ac:dyDescent="0.2">
      <c r="A197">
        <v>2023</v>
      </c>
      <c r="B197">
        <v>6900</v>
      </c>
      <c r="C197" t="s">
        <v>102</v>
      </c>
      <c r="D197" t="s">
        <v>87</v>
      </c>
      <c r="E197">
        <v>8000</v>
      </c>
      <c r="F197">
        <v>3.6</v>
      </c>
      <c r="G197">
        <v>3.7</v>
      </c>
      <c r="H197">
        <v>160000</v>
      </c>
      <c r="I197">
        <v>6.1</v>
      </c>
      <c r="J197">
        <v>18.899999999999999</v>
      </c>
      <c r="K197">
        <v>38.5</v>
      </c>
    </row>
    <row r="198" spans="1:11" x14ac:dyDescent="0.2">
      <c r="A198">
        <v>2023</v>
      </c>
      <c r="B198">
        <v>6900</v>
      </c>
      <c r="C198" t="s">
        <v>102</v>
      </c>
      <c r="D198" t="s">
        <v>75</v>
      </c>
      <c r="E198">
        <v>130000</v>
      </c>
      <c r="F198">
        <v>54.9</v>
      </c>
      <c r="G198">
        <v>56.5</v>
      </c>
      <c r="H198">
        <v>1975000</v>
      </c>
      <c r="I198">
        <v>75.8</v>
      </c>
      <c r="J198">
        <v>15.2</v>
      </c>
      <c r="K198">
        <v>19.899999999999999</v>
      </c>
    </row>
    <row r="199" spans="1:11" x14ac:dyDescent="0.2">
      <c r="A199">
        <v>2023</v>
      </c>
      <c r="B199">
        <v>6900</v>
      </c>
      <c r="C199" t="s">
        <v>102</v>
      </c>
      <c r="D199" t="s">
        <v>83</v>
      </c>
      <c r="E199">
        <v>59000</v>
      </c>
      <c r="F199">
        <v>25.1</v>
      </c>
      <c r="G199">
        <v>25.8</v>
      </c>
      <c r="H199">
        <v>427000</v>
      </c>
      <c r="I199">
        <v>16.399999999999999</v>
      </c>
      <c r="J199">
        <v>7.2</v>
      </c>
      <c r="K199">
        <v>12.6</v>
      </c>
    </row>
    <row r="200" spans="1:11" x14ac:dyDescent="0.2">
      <c r="A200">
        <v>2023</v>
      </c>
      <c r="B200">
        <v>6900</v>
      </c>
      <c r="C200" t="s">
        <v>102</v>
      </c>
      <c r="D200" t="s">
        <v>84</v>
      </c>
      <c r="E200">
        <v>7000</v>
      </c>
      <c r="F200">
        <v>2.9</v>
      </c>
      <c r="H200">
        <v>4000</v>
      </c>
      <c r="I200">
        <v>0.2</v>
      </c>
      <c r="J200">
        <v>0.6</v>
      </c>
      <c r="K200">
        <v>6.6</v>
      </c>
    </row>
    <row r="201" spans="1:11" x14ac:dyDescent="0.2">
      <c r="A201">
        <v>2023</v>
      </c>
      <c r="B201">
        <v>6900</v>
      </c>
      <c r="C201" t="s">
        <v>102</v>
      </c>
      <c r="D201" t="s">
        <v>85</v>
      </c>
      <c r="E201">
        <v>30000</v>
      </c>
      <c r="F201">
        <v>12.8</v>
      </c>
      <c r="G201">
        <v>13.1</v>
      </c>
      <c r="H201">
        <v>20000</v>
      </c>
      <c r="I201">
        <v>0.8</v>
      </c>
      <c r="J201">
        <v>0.7</v>
      </c>
      <c r="K201">
        <v>10.4</v>
      </c>
    </row>
    <row r="202" spans="1:11" x14ac:dyDescent="0.2">
      <c r="A202">
        <v>2023</v>
      </c>
      <c r="B202">
        <v>6950</v>
      </c>
      <c r="C202" t="s">
        <v>103</v>
      </c>
      <c r="D202" t="s">
        <v>80</v>
      </c>
      <c r="E202">
        <v>9000</v>
      </c>
      <c r="F202">
        <v>2.5</v>
      </c>
      <c r="G202">
        <v>2.6</v>
      </c>
      <c r="H202">
        <v>45000</v>
      </c>
      <c r="I202">
        <v>1.6</v>
      </c>
      <c r="J202">
        <v>5.2</v>
      </c>
      <c r="K202">
        <v>18.399999999999999</v>
      </c>
    </row>
    <row r="203" spans="1:11" x14ac:dyDescent="0.2">
      <c r="A203">
        <v>2023</v>
      </c>
      <c r="B203">
        <v>6950</v>
      </c>
      <c r="C203" t="s">
        <v>103</v>
      </c>
      <c r="D203" t="s">
        <v>87</v>
      </c>
      <c r="E203">
        <v>17000</v>
      </c>
      <c r="F203">
        <v>4.9000000000000004</v>
      </c>
      <c r="G203">
        <v>5.2</v>
      </c>
      <c r="H203">
        <v>192000</v>
      </c>
      <c r="I203">
        <v>6.7</v>
      </c>
      <c r="J203">
        <v>11.3</v>
      </c>
      <c r="K203">
        <v>27.5</v>
      </c>
    </row>
    <row r="204" spans="1:11" x14ac:dyDescent="0.2">
      <c r="A204">
        <v>2023</v>
      </c>
      <c r="B204">
        <v>6950</v>
      </c>
      <c r="C204" t="s">
        <v>103</v>
      </c>
      <c r="D204" t="s">
        <v>75</v>
      </c>
      <c r="E204">
        <v>196000</v>
      </c>
      <c r="F204">
        <v>56.7</v>
      </c>
      <c r="G204">
        <v>59.8</v>
      </c>
      <c r="H204">
        <v>2067000</v>
      </c>
      <c r="I204">
        <v>72.3</v>
      </c>
      <c r="J204">
        <v>10.6</v>
      </c>
      <c r="K204">
        <v>16.600000000000001</v>
      </c>
    </row>
    <row r="205" spans="1:11" x14ac:dyDescent="0.2">
      <c r="A205">
        <v>2023</v>
      </c>
      <c r="B205">
        <v>6950</v>
      </c>
      <c r="C205" t="s">
        <v>103</v>
      </c>
      <c r="D205" t="s">
        <v>76</v>
      </c>
      <c r="E205">
        <v>61000</v>
      </c>
      <c r="F205">
        <v>17.5</v>
      </c>
      <c r="G205">
        <v>18.5</v>
      </c>
      <c r="H205">
        <v>508000</v>
      </c>
      <c r="I205">
        <v>17.8</v>
      </c>
      <c r="J205">
        <v>8.4</v>
      </c>
      <c r="K205">
        <v>14.3</v>
      </c>
    </row>
    <row r="206" spans="1:11" x14ac:dyDescent="0.2">
      <c r="A206">
        <v>2023</v>
      </c>
      <c r="B206">
        <v>6950</v>
      </c>
      <c r="C206" t="s">
        <v>103</v>
      </c>
      <c r="D206" t="s">
        <v>84</v>
      </c>
      <c r="E206">
        <v>18000</v>
      </c>
      <c r="F206">
        <v>5.3</v>
      </c>
      <c r="H206">
        <v>4000</v>
      </c>
      <c r="I206">
        <v>0.1</v>
      </c>
      <c r="J206">
        <v>0.2</v>
      </c>
      <c r="K206">
        <v>8</v>
      </c>
    </row>
    <row r="207" spans="1:11" x14ac:dyDescent="0.2">
      <c r="A207">
        <v>2023</v>
      </c>
      <c r="B207">
        <v>6950</v>
      </c>
      <c r="C207" t="s">
        <v>103</v>
      </c>
      <c r="D207" t="s">
        <v>78</v>
      </c>
      <c r="E207">
        <v>45000</v>
      </c>
      <c r="F207">
        <v>13.1</v>
      </c>
      <c r="G207">
        <v>13.9</v>
      </c>
      <c r="H207">
        <v>44000</v>
      </c>
      <c r="I207">
        <v>1.5</v>
      </c>
      <c r="J207">
        <v>1</v>
      </c>
      <c r="K207">
        <v>14.2</v>
      </c>
    </row>
    <row r="208" spans="1:11" x14ac:dyDescent="0.2">
      <c r="A208">
        <v>2023</v>
      </c>
      <c r="B208">
        <v>7100</v>
      </c>
      <c r="C208" t="s">
        <v>53</v>
      </c>
      <c r="D208" t="s">
        <v>80</v>
      </c>
      <c r="E208">
        <v>2000</v>
      </c>
      <c r="F208">
        <v>1.1000000000000001</v>
      </c>
      <c r="G208">
        <v>1.3</v>
      </c>
      <c r="H208">
        <v>14000</v>
      </c>
      <c r="I208">
        <v>1.1000000000000001</v>
      </c>
      <c r="J208">
        <v>5.7</v>
      </c>
      <c r="K208">
        <v>15.8</v>
      </c>
    </row>
    <row r="209" spans="1:11" x14ac:dyDescent="0.2">
      <c r="A209">
        <v>2023</v>
      </c>
      <c r="B209">
        <v>7100</v>
      </c>
      <c r="C209" t="s">
        <v>53</v>
      </c>
      <c r="D209" t="s">
        <v>81</v>
      </c>
      <c r="E209">
        <v>40000</v>
      </c>
      <c r="F209">
        <v>18.2</v>
      </c>
      <c r="G209">
        <v>22.4</v>
      </c>
      <c r="H209">
        <v>290000</v>
      </c>
      <c r="I209">
        <v>23.4</v>
      </c>
      <c r="J209">
        <v>7.2</v>
      </c>
      <c r="K209">
        <v>15.7</v>
      </c>
    </row>
    <row r="210" spans="1:11" x14ac:dyDescent="0.2">
      <c r="A210">
        <v>2023</v>
      </c>
      <c r="B210">
        <v>7100</v>
      </c>
      <c r="C210" t="s">
        <v>53</v>
      </c>
      <c r="D210" t="s">
        <v>75</v>
      </c>
      <c r="E210">
        <v>71000</v>
      </c>
      <c r="F210">
        <v>31.9</v>
      </c>
      <c r="G210">
        <v>39.200000000000003</v>
      </c>
      <c r="H210">
        <v>631000</v>
      </c>
      <c r="I210">
        <v>51.1</v>
      </c>
      <c r="J210">
        <v>8.9</v>
      </c>
      <c r="K210">
        <v>21.9</v>
      </c>
    </row>
    <row r="211" spans="1:11" x14ac:dyDescent="0.2">
      <c r="A211">
        <v>2023</v>
      </c>
      <c r="B211">
        <v>7100</v>
      </c>
      <c r="C211" t="s">
        <v>53</v>
      </c>
      <c r="D211" t="s">
        <v>83</v>
      </c>
      <c r="E211">
        <v>45000</v>
      </c>
      <c r="F211">
        <v>20.100000000000001</v>
      </c>
      <c r="G211">
        <v>24.7</v>
      </c>
      <c r="H211">
        <v>242000</v>
      </c>
      <c r="I211">
        <v>19.600000000000001</v>
      </c>
      <c r="J211">
        <v>5.4</v>
      </c>
      <c r="K211">
        <v>17.399999999999999</v>
      </c>
    </row>
    <row r="212" spans="1:11" x14ac:dyDescent="0.2">
      <c r="A212">
        <v>2023</v>
      </c>
      <c r="B212">
        <v>7100</v>
      </c>
      <c r="C212" t="s">
        <v>53</v>
      </c>
      <c r="D212" t="s">
        <v>84</v>
      </c>
      <c r="E212">
        <v>42000</v>
      </c>
      <c r="F212">
        <v>18.7</v>
      </c>
      <c r="H212">
        <v>27000</v>
      </c>
      <c r="I212">
        <v>2.2000000000000002</v>
      </c>
      <c r="J212">
        <v>0.6</v>
      </c>
      <c r="K212">
        <v>7.9</v>
      </c>
    </row>
    <row r="213" spans="1:11" x14ac:dyDescent="0.2">
      <c r="A213">
        <v>2023</v>
      </c>
      <c r="B213">
        <v>7100</v>
      </c>
      <c r="C213" t="s">
        <v>53</v>
      </c>
      <c r="D213" t="s">
        <v>85</v>
      </c>
      <c r="E213">
        <v>22000</v>
      </c>
      <c r="F213">
        <v>10.1</v>
      </c>
      <c r="G213">
        <v>12.4</v>
      </c>
      <c r="H213">
        <v>32000</v>
      </c>
      <c r="I213">
        <v>2.6</v>
      </c>
      <c r="J213">
        <v>1.4</v>
      </c>
      <c r="K213">
        <v>13.3</v>
      </c>
    </row>
    <row r="214" spans="1:11" x14ac:dyDescent="0.2">
      <c r="A214">
        <v>2023</v>
      </c>
      <c r="B214">
        <v>7150</v>
      </c>
      <c r="C214" t="s">
        <v>104</v>
      </c>
      <c r="D214" t="s">
        <v>73</v>
      </c>
      <c r="E214">
        <v>13000</v>
      </c>
      <c r="F214">
        <v>1.1000000000000001</v>
      </c>
      <c r="G214">
        <v>1.2</v>
      </c>
      <c r="H214">
        <v>94000</v>
      </c>
      <c r="I214">
        <v>1</v>
      </c>
      <c r="J214">
        <v>7.2</v>
      </c>
      <c r="K214">
        <v>19.8</v>
      </c>
    </row>
    <row r="215" spans="1:11" x14ac:dyDescent="0.2">
      <c r="A215">
        <v>2023</v>
      </c>
      <c r="B215">
        <v>7150</v>
      </c>
      <c r="C215" t="s">
        <v>104</v>
      </c>
      <c r="D215" t="s">
        <v>74</v>
      </c>
      <c r="E215">
        <v>80000</v>
      </c>
      <c r="F215">
        <v>7</v>
      </c>
      <c r="G215">
        <v>7.7</v>
      </c>
      <c r="H215">
        <v>1416000</v>
      </c>
      <c r="I215">
        <v>15.3</v>
      </c>
      <c r="J215">
        <v>17.8</v>
      </c>
      <c r="K215">
        <v>29.9</v>
      </c>
    </row>
    <row r="216" spans="1:11" x14ac:dyDescent="0.2">
      <c r="A216">
        <v>2023</v>
      </c>
      <c r="B216">
        <v>7150</v>
      </c>
      <c r="C216" t="s">
        <v>104</v>
      </c>
      <c r="D216" t="s">
        <v>75</v>
      </c>
      <c r="E216">
        <v>523000</v>
      </c>
      <c r="F216">
        <v>45.8</v>
      </c>
      <c r="G216">
        <v>50.5</v>
      </c>
      <c r="H216">
        <v>5387000</v>
      </c>
      <c r="I216">
        <v>58.1</v>
      </c>
      <c r="J216">
        <v>10.3</v>
      </c>
      <c r="K216">
        <v>18.899999999999999</v>
      </c>
    </row>
    <row r="217" spans="1:11" x14ac:dyDescent="0.2">
      <c r="A217">
        <v>2023</v>
      </c>
      <c r="B217">
        <v>7150</v>
      </c>
      <c r="C217" t="s">
        <v>104</v>
      </c>
      <c r="D217" t="s">
        <v>76</v>
      </c>
      <c r="E217">
        <v>250000</v>
      </c>
      <c r="F217">
        <v>21.9</v>
      </c>
      <c r="G217">
        <v>24.2</v>
      </c>
      <c r="H217">
        <v>2163000</v>
      </c>
      <c r="I217">
        <v>23.3</v>
      </c>
      <c r="J217">
        <v>8.6</v>
      </c>
      <c r="K217">
        <v>17.2</v>
      </c>
    </row>
    <row r="218" spans="1:11" x14ac:dyDescent="0.2">
      <c r="A218">
        <v>2023</v>
      </c>
      <c r="B218">
        <v>7150</v>
      </c>
      <c r="C218" t="s">
        <v>104</v>
      </c>
      <c r="D218" t="s">
        <v>77</v>
      </c>
      <c r="E218">
        <v>105000</v>
      </c>
      <c r="F218">
        <v>9.1999999999999993</v>
      </c>
      <c r="H218">
        <v>71000</v>
      </c>
      <c r="I218">
        <v>0.8</v>
      </c>
      <c r="J218">
        <v>0.7</v>
      </c>
      <c r="K218">
        <v>9.4</v>
      </c>
    </row>
    <row r="219" spans="1:11" x14ac:dyDescent="0.2">
      <c r="A219">
        <v>2023</v>
      </c>
      <c r="B219">
        <v>7150</v>
      </c>
      <c r="C219" t="s">
        <v>104</v>
      </c>
      <c r="D219" t="s">
        <v>78</v>
      </c>
      <c r="E219">
        <v>170000</v>
      </c>
      <c r="F219">
        <v>14.9</v>
      </c>
      <c r="G219">
        <v>16.399999999999999</v>
      </c>
      <c r="H219">
        <v>145000</v>
      </c>
      <c r="I219">
        <v>1.6</v>
      </c>
      <c r="J219">
        <v>0.9</v>
      </c>
      <c r="K219">
        <v>13.4</v>
      </c>
    </row>
    <row r="220" spans="1:11" x14ac:dyDescent="0.2">
      <c r="A220">
        <v>2023</v>
      </c>
      <c r="B220">
        <v>7200</v>
      </c>
      <c r="C220" t="s">
        <v>55</v>
      </c>
      <c r="D220" t="s">
        <v>94</v>
      </c>
      <c r="E220">
        <v>53000</v>
      </c>
      <c r="F220">
        <v>5.0999999999999996</v>
      </c>
      <c r="G220">
        <v>6.2</v>
      </c>
      <c r="H220">
        <v>243000</v>
      </c>
      <c r="I220">
        <v>7.4</v>
      </c>
      <c r="J220">
        <v>4.5999999999999996</v>
      </c>
      <c r="K220">
        <v>15.9</v>
      </c>
    </row>
    <row r="221" spans="1:11" x14ac:dyDescent="0.2">
      <c r="A221">
        <v>2023</v>
      </c>
      <c r="B221">
        <v>7200</v>
      </c>
      <c r="C221" t="s">
        <v>55</v>
      </c>
      <c r="D221" t="s">
        <v>74</v>
      </c>
      <c r="E221">
        <v>114000</v>
      </c>
      <c r="F221">
        <v>11</v>
      </c>
      <c r="G221">
        <v>13.5</v>
      </c>
      <c r="H221">
        <v>911000</v>
      </c>
      <c r="I221">
        <v>27.9</v>
      </c>
      <c r="J221">
        <v>8</v>
      </c>
      <c r="K221">
        <v>19</v>
      </c>
    </row>
    <row r="222" spans="1:11" x14ac:dyDescent="0.2">
      <c r="A222">
        <v>2023</v>
      </c>
      <c r="B222">
        <v>7200</v>
      </c>
      <c r="C222" t="s">
        <v>55</v>
      </c>
      <c r="D222" t="s">
        <v>75</v>
      </c>
      <c r="E222">
        <v>146000</v>
      </c>
      <c r="F222">
        <v>14.1</v>
      </c>
      <c r="G222">
        <v>17.3</v>
      </c>
      <c r="H222">
        <v>1204000</v>
      </c>
      <c r="I222">
        <v>36.9</v>
      </c>
      <c r="J222">
        <v>8.1999999999999993</v>
      </c>
      <c r="K222">
        <v>21.4</v>
      </c>
    </row>
    <row r="223" spans="1:11" x14ac:dyDescent="0.2">
      <c r="A223">
        <v>2023</v>
      </c>
      <c r="B223">
        <v>7200</v>
      </c>
      <c r="C223" t="s">
        <v>55</v>
      </c>
      <c r="D223" t="s">
        <v>76</v>
      </c>
      <c r="E223">
        <v>60000</v>
      </c>
      <c r="F223">
        <v>5.8</v>
      </c>
      <c r="G223">
        <v>7.1</v>
      </c>
      <c r="H223">
        <v>407000</v>
      </c>
      <c r="I223">
        <v>12.5</v>
      </c>
      <c r="J223">
        <v>6.8</v>
      </c>
      <c r="K223">
        <v>20.399999999999999</v>
      </c>
    </row>
    <row r="224" spans="1:11" x14ac:dyDescent="0.2">
      <c r="A224">
        <v>2023</v>
      </c>
      <c r="B224">
        <v>7200</v>
      </c>
      <c r="C224" t="s">
        <v>55</v>
      </c>
      <c r="D224" t="s">
        <v>77</v>
      </c>
      <c r="E224">
        <v>189000</v>
      </c>
      <c r="F224">
        <v>18.2</v>
      </c>
      <c r="H224">
        <v>112000</v>
      </c>
      <c r="I224">
        <v>3.4</v>
      </c>
      <c r="J224">
        <v>0.6</v>
      </c>
      <c r="K224">
        <v>8.6999999999999993</v>
      </c>
    </row>
    <row r="225" spans="1:11" x14ac:dyDescent="0.2">
      <c r="A225">
        <v>2023</v>
      </c>
      <c r="B225">
        <v>7200</v>
      </c>
      <c r="C225" t="s">
        <v>55</v>
      </c>
      <c r="D225" t="s">
        <v>78</v>
      </c>
      <c r="E225">
        <v>474000</v>
      </c>
      <c r="F225">
        <v>45.8</v>
      </c>
      <c r="G225">
        <v>56</v>
      </c>
      <c r="H225">
        <v>383000</v>
      </c>
      <c r="I225">
        <v>11.7</v>
      </c>
      <c r="J225">
        <v>0.8</v>
      </c>
      <c r="K225">
        <v>13</v>
      </c>
    </row>
    <row r="226" spans="1:11" x14ac:dyDescent="0.2">
      <c r="A226">
        <v>2023</v>
      </c>
      <c r="B226">
        <v>7420</v>
      </c>
      <c r="C226" t="s">
        <v>105</v>
      </c>
      <c r="D226" t="s">
        <v>73</v>
      </c>
      <c r="E226">
        <v>8000</v>
      </c>
      <c r="F226">
        <v>1.1000000000000001</v>
      </c>
      <c r="G226">
        <v>1.2</v>
      </c>
      <c r="H226">
        <v>80000</v>
      </c>
      <c r="I226">
        <v>1.3</v>
      </c>
      <c r="J226">
        <v>9.5</v>
      </c>
      <c r="K226">
        <v>35</v>
      </c>
    </row>
    <row r="227" spans="1:11" x14ac:dyDescent="0.2">
      <c r="A227">
        <v>2023</v>
      </c>
      <c r="B227">
        <v>7420</v>
      </c>
      <c r="C227" t="s">
        <v>105</v>
      </c>
      <c r="D227" t="s">
        <v>74</v>
      </c>
      <c r="E227">
        <v>53000</v>
      </c>
      <c r="F227">
        <v>6.8</v>
      </c>
      <c r="G227">
        <v>7.5</v>
      </c>
      <c r="H227">
        <v>799000</v>
      </c>
      <c r="I227">
        <v>12.8</v>
      </c>
      <c r="J227">
        <v>15</v>
      </c>
      <c r="K227">
        <v>26.7</v>
      </c>
    </row>
    <row r="228" spans="1:11" x14ac:dyDescent="0.2">
      <c r="A228">
        <v>2023</v>
      </c>
      <c r="B228">
        <v>7420</v>
      </c>
      <c r="C228" t="s">
        <v>105</v>
      </c>
      <c r="D228" t="s">
        <v>75</v>
      </c>
      <c r="E228">
        <v>385000</v>
      </c>
      <c r="F228">
        <v>49.3</v>
      </c>
      <c r="G228">
        <v>54.3</v>
      </c>
      <c r="H228">
        <v>4123000</v>
      </c>
      <c r="I228">
        <v>66.2</v>
      </c>
      <c r="J228">
        <v>10.7</v>
      </c>
      <c r="K228">
        <v>20.2</v>
      </c>
    </row>
    <row r="229" spans="1:11" x14ac:dyDescent="0.2">
      <c r="A229">
        <v>2023</v>
      </c>
      <c r="B229">
        <v>7420</v>
      </c>
      <c r="C229" t="s">
        <v>105</v>
      </c>
      <c r="D229" t="s">
        <v>76</v>
      </c>
      <c r="E229">
        <v>158000</v>
      </c>
      <c r="F229">
        <v>20.2</v>
      </c>
      <c r="G229">
        <v>22.2</v>
      </c>
      <c r="H229">
        <v>1086000</v>
      </c>
      <c r="I229">
        <v>17.399999999999999</v>
      </c>
      <c r="J229">
        <v>6.9</v>
      </c>
      <c r="K229">
        <v>15.1</v>
      </c>
    </row>
    <row r="230" spans="1:11" x14ac:dyDescent="0.2">
      <c r="A230">
        <v>2023</v>
      </c>
      <c r="B230">
        <v>7420</v>
      </c>
      <c r="C230" t="s">
        <v>105</v>
      </c>
      <c r="D230" t="s">
        <v>77</v>
      </c>
      <c r="E230">
        <v>71000</v>
      </c>
      <c r="F230">
        <v>9.1</v>
      </c>
      <c r="H230">
        <v>51000</v>
      </c>
      <c r="I230">
        <v>0.8</v>
      </c>
      <c r="J230">
        <v>0.7</v>
      </c>
      <c r="K230">
        <v>9.4</v>
      </c>
    </row>
    <row r="231" spans="1:11" x14ac:dyDescent="0.2">
      <c r="A231">
        <v>2023</v>
      </c>
      <c r="B231">
        <v>7420</v>
      </c>
      <c r="C231" t="s">
        <v>105</v>
      </c>
      <c r="D231" t="s">
        <v>78</v>
      </c>
      <c r="E231">
        <v>105000</v>
      </c>
      <c r="F231">
        <v>13.5</v>
      </c>
      <c r="G231">
        <v>14.8</v>
      </c>
      <c r="H231">
        <v>93000</v>
      </c>
      <c r="I231">
        <v>1.5</v>
      </c>
      <c r="J231">
        <v>0.9</v>
      </c>
      <c r="K231">
        <v>12.7</v>
      </c>
    </row>
    <row r="232" spans="1:11" x14ac:dyDescent="0.2">
      <c r="A232">
        <v>2023</v>
      </c>
      <c r="B232">
        <v>8050</v>
      </c>
      <c r="C232" t="s">
        <v>56</v>
      </c>
      <c r="D232" t="s">
        <v>80</v>
      </c>
      <c r="E232">
        <v>4000</v>
      </c>
      <c r="F232">
        <v>1.5</v>
      </c>
      <c r="G232">
        <v>2</v>
      </c>
      <c r="H232">
        <v>19000</v>
      </c>
      <c r="I232">
        <v>2.2000000000000002</v>
      </c>
      <c r="J232">
        <v>5</v>
      </c>
      <c r="K232">
        <v>21.9</v>
      </c>
    </row>
    <row r="233" spans="1:11" x14ac:dyDescent="0.2">
      <c r="A233">
        <v>2023</v>
      </c>
      <c r="B233">
        <v>8050</v>
      </c>
      <c r="C233" t="s">
        <v>56</v>
      </c>
      <c r="D233" t="s">
        <v>81</v>
      </c>
      <c r="E233">
        <v>29000</v>
      </c>
      <c r="F233">
        <v>11.6</v>
      </c>
      <c r="G233">
        <v>15.1</v>
      </c>
      <c r="H233">
        <v>130000</v>
      </c>
      <c r="I233">
        <v>14.8</v>
      </c>
      <c r="J233">
        <v>4.5999999999999996</v>
      </c>
      <c r="K233">
        <v>16.399999999999999</v>
      </c>
    </row>
    <row r="234" spans="1:11" x14ac:dyDescent="0.2">
      <c r="A234">
        <v>2023</v>
      </c>
      <c r="B234">
        <v>8050</v>
      </c>
      <c r="C234" t="s">
        <v>56</v>
      </c>
      <c r="D234" t="s">
        <v>75</v>
      </c>
      <c r="E234">
        <v>59000</v>
      </c>
      <c r="F234">
        <v>24</v>
      </c>
      <c r="G234">
        <v>31.2</v>
      </c>
      <c r="H234">
        <v>422000</v>
      </c>
      <c r="I234">
        <v>48</v>
      </c>
      <c r="J234">
        <v>7.1</v>
      </c>
      <c r="K234">
        <v>21.9</v>
      </c>
    </row>
    <row r="235" spans="1:11" x14ac:dyDescent="0.2">
      <c r="A235">
        <v>2023</v>
      </c>
      <c r="B235">
        <v>8050</v>
      </c>
      <c r="C235" t="s">
        <v>56</v>
      </c>
      <c r="D235" t="s">
        <v>83</v>
      </c>
      <c r="E235">
        <v>30000</v>
      </c>
      <c r="F235">
        <v>12.1</v>
      </c>
      <c r="G235">
        <v>15.7</v>
      </c>
      <c r="H235">
        <v>202000</v>
      </c>
      <c r="I235">
        <v>23</v>
      </c>
      <c r="J235">
        <v>6.8</v>
      </c>
      <c r="K235">
        <v>20.9</v>
      </c>
    </row>
    <row r="236" spans="1:11" x14ac:dyDescent="0.2">
      <c r="A236">
        <v>2023</v>
      </c>
      <c r="B236">
        <v>8050</v>
      </c>
      <c r="C236" t="s">
        <v>56</v>
      </c>
      <c r="D236" t="s">
        <v>84</v>
      </c>
      <c r="E236">
        <v>57000</v>
      </c>
      <c r="F236">
        <v>23</v>
      </c>
      <c r="H236">
        <v>45000</v>
      </c>
      <c r="I236">
        <v>5.0999999999999996</v>
      </c>
      <c r="J236">
        <v>0.8</v>
      </c>
      <c r="K236">
        <v>9.4</v>
      </c>
    </row>
    <row r="237" spans="1:11" x14ac:dyDescent="0.2">
      <c r="A237">
        <v>2023</v>
      </c>
      <c r="B237">
        <v>8050</v>
      </c>
      <c r="C237" t="s">
        <v>56</v>
      </c>
      <c r="D237" t="s">
        <v>78</v>
      </c>
      <c r="E237">
        <v>68000</v>
      </c>
      <c r="F237">
        <v>27.7</v>
      </c>
      <c r="G237">
        <v>36</v>
      </c>
      <c r="H237">
        <v>60000</v>
      </c>
      <c r="I237">
        <v>6.9</v>
      </c>
      <c r="J237">
        <v>0.9</v>
      </c>
      <c r="K237">
        <v>15.7</v>
      </c>
    </row>
    <row r="238" spans="1:11" x14ac:dyDescent="0.2">
      <c r="A238">
        <v>2023</v>
      </c>
      <c r="B238">
        <v>8250</v>
      </c>
      <c r="C238" t="s">
        <v>57</v>
      </c>
      <c r="D238" t="s">
        <v>73</v>
      </c>
      <c r="E238">
        <v>5000</v>
      </c>
      <c r="F238">
        <v>1.4</v>
      </c>
      <c r="G238">
        <v>1.6</v>
      </c>
      <c r="H238">
        <v>24000</v>
      </c>
      <c r="I238">
        <v>1.2</v>
      </c>
      <c r="J238">
        <v>4.8</v>
      </c>
      <c r="K238">
        <v>17.600000000000001</v>
      </c>
    </row>
    <row r="239" spans="1:11" x14ac:dyDescent="0.2">
      <c r="A239">
        <v>2023</v>
      </c>
      <c r="B239">
        <v>8250</v>
      </c>
      <c r="C239" t="s">
        <v>57</v>
      </c>
      <c r="D239" t="s">
        <v>74</v>
      </c>
      <c r="E239">
        <v>35000</v>
      </c>
      <c r="F239">
        <v>9.6</v>
      </c>
      <c r="G239">
        <v>11.4</v>
      </c>
      <c r="H239">
        <v>264000</v>
      </c>
      <c r="I239">
        <v>13.8</v>
      </c>
      <c r="J239">
        <v>7.5</v>
      </c>
      <c r="K239">
        <v>21.1</v>
      </c>
    </row>
    <row r="240" spans="1:11" x14ac:dyDescent="0.2">
      <c r="A240">
        <v>2023</v>
      </c>
      <c r="B240">
        <v>8250</v>
      </c>
      <c r="C240" t="s">
        <v>57</v>
      </c>
      <c r="D240" t="s">
        <v>75</v>
      </c>
      <c r="E240">
        <v>135000</v>
      </c>
      <c r="F240">
        <v>37.1</v>
      </c>
      <c r="G240">
        <v>43.8</v>
      </c>
      <c r="H240">
        <v>880000</v>
      </c>
      <c r="I240">
        <v>45.9</v>
      </c>
      <c r="J240">
        <v>6.5</v>
      </c>
      <c r="K240">
        <v>15.4</v>
      </c>
    </row>
    <row r="241" spans="1:11" x14ac:dyDescent="0.2">
      <c r="A241">
        <v>2023</v>
      </c>
      <c r="B241">
        <v>8250</v>
      </c>
      <c r="C241" t="s">
        <v>57</v>
      </c>
      <c r="D241" t="s">
        <v>76</v>
      </c>
      <c r="E241">
        <v>77000</v>
      </c>
      <c r="F241">
        <v>21.1</v>
      </c>
      <c r="G241">
        <v>24.9</v>
      </c>
      <c r="H241">
        <v>667000</v>
      </c>
      <c r="I241">
        <v>34.799999999999997</v>
      </c>
      <c r="J241">
        <v>8.6999999999999993</v>
      </c>
      <c r="K241">
        <v>15.5</v>
      </c>
    </row>
    <row r="242" spans="1:11" x14ac:dyDescent="0.2">
      <c r="A242">
        <v>2023</v>
      </c>
      <c r="B242">
        <v>8250</v>
      </c>
      <c r="C242" t="s">
        <v>57</v>
      </c>
      <c r="D242" t="s">
        <v>77</v>
      </c>
      <c r="E242">
        <v>56000</v>
      </c>
      <c r="F242">
        <v>15.3</v>
      </c>
      <c r="H242">
        <v>37000</v>
      </c>
      <c r="I242">
        <v>1.9</v>
      </c>
      <c r="J242">
        <v>0.7</v>
      </c>
      <c r="K242">
        <v>9.1</v>
      </c>
    </row>
    <row r="243" spans="1:11" x14ac:dyDescent="0.2">
      <c r="A243">
        <v>2023</v>
      </c>
      <c r="B243">
        <v>8250</v>
      </c>
      <c r="C243" t="s">
        <v>57</v>
      </c>
      <c r="D243" t="s">
        <v>78</v>
      </c>
      <c r="E243">
        <v>56000</v>
      </c>
      <c r="F243">
        <v>15.5</v>
      </c>
      <c r="G243">
        <v>18.2</v>
      </c>
      <c r="H243">
        <v>44000</v>
      </c>
      <c r="I243">
        <v>2.2999999999999998</v>
      </c>
      <c r="J243">
        <v>0.8</v>
      </c>
      <c r="K243">
        <v>12.5</v>
      </c>
    </row>
    <row r="244" spans="1:11" x14ac:dyDescent="0.2">
      <c r="A244">
        <v>2023</v>
      </c>
      <c r="B244">
        <v>8350</v>
      </c>
      <c r="C244" t="s">
        <v>106</v>
      </c>
      <c r="D244" t="s">
        <v>80</v>
      </c>
      <c r="E244">
        <v>3000</v>
      </c>
      <c r="F244">
        <v>1.5</v>
      </c>
      <c r="G244">
        <v>1.5</v>
      </c>
      <c r="H244">
        <v>22000</v>
      </c>
      <c r="I244">
        <v>0.7</v>
      </c>
      <c r="J244">
        <v>6.3</v>
      </c>
      <c r="K244">
        <v>28.1</v>
      </c>
    </row>
    <row r="245" spans="1:11" x14ac:dyDescent="0.2">
      <c r="A245">
        <v>2023</v>
      </c>
      <c r="B245">
        <v>8350</v>
      </c>
      <c r="C245" t="s">
        <v>106</v>
      </c>
      <c r="D245" t="s">
        <v>81</v>
      </c>
      <c r="E245">
        <v>11000</v>
      </c>
      <c r="F245">
        <v>4.5</v>
      </c>
      <c r="G245">
        <v>4.7</v>
      </c>
      <c r="H245">
        <v>386000</v>
      </c>
      <c r="I245">
        <v>12</v>
      </c>
      <c r="J245">
        <v>36.4</v>
      </c>
      <c r="K245">
        <v>52.4</v>
      </c>
    </row>
    <row r="246" spans="1:11" x14ac:dyDescent="0.2">
      <c r="A246">
        <v>2023</v>
      </c>
      <c r="B246">
        <v>8350</v>
      </c>
      <c r="C246" t="s">
        <v>106</v>
      </c>
      <c r="D246" t="s">
        <v>75</v>
      </c>
      <c r="E246">
        <v>146000</v>
      </c>
      <c r="F246">
        <v>62.2</v>
      </c>
      <c r="G246">
        <v>64.8</v>
      </c>
      <c r="H246">
        <v>2172000</v>
      </c>
      <c r="I246">
        <v>67.2</v>
      </c>
      <c r="J246">
        <v>14.9</v>
      </c>
      <c r="K246">
        <v>19.899999999999999</v>
      </c>
    </row>
    <row r="247" spans="1:11" x14ac:dyDescent="0.2">
      <c r="A247">
        <v>2023</v>
      </c>
      <c r="B247">
        <v>8350</v>
      </c>
      <c r="C247" t="s">
        <v>106</v>
      </c>
      <c r="D247" t="s">
        <v>76</v>
      </c>
      <c r="E247">
        <v>45000</v>
      </c>
      <c r="F247">
        <v>19.3</v>
      </c>
      <c r="G247">
        <v>20.100000000000001</v>
      </c>
      <c r="H247">
        <v>615000</v>
      </c>
      <c r="I247">
        <v>19</v>
      </c>
      <c r="J247">
        <v>13.6</v>
      </c>
      <c r="K247">
        <v>18.7</v>
      </c>
    </row>
    <row r="248" spans="1:11" x14ac:dyDescent="0.2">
      <c r="A248">
        <v>2023</v>
      </c>
      <c r="B248">
        <v>8350</v>
      </c>
      <c r="C248" t="s">
        <v>106</v>
      </c>
      <c r="D248" t="s">
        <v>84</v>
      </c>
      <c r="E248">
        <v>9000</v>
      </c>
      <c r="F248">
        <v>4</v>
      </c>
      <c r="H248">
        <v>6000</v>
      </c>
      <c r="I248">
        <v>0.2</v>
      </c>
      <c r="J248">
        <v>0.7</v>
      </c>
      <c r="K248">
        <v>14.5</v>
      </c>
    </row>
    <row r="249" spans="1:11" x14ac:dyDescent="0.2">
      <c r="A249">
        <v>2023</v>
      </c>
      <c r="B249">
        <v>8350</v>
      </c>
      <c r="C249" t="s">
        <v>106</v>
      </c>
      <c r="D249" t="s">
        <v>78</v>
      </c>
      <c r="E249">
        <v>20000</v>
      </c>
      <c r="F249">
        <v>8.4</v>
      </c>
      <c r="G249">
        <v>8.8000000000000007</v>
      </c>
      <c r="H249">
        <v>32000</v>
      </c>
      <c r="I249">
        <v>1</v>
      </c>
      <c r="J249">
        <v>1.6</v>
      </c>
      <c r="K249">
        <v>18</v>
      </c>
    </row>
    <row r="250" spans="1:11" x14ac:dyDescent="0.2">
      <c r="A250">
        <v>2023</v>
      </c>
      <c r="B250">
        <v>8400</v>
      </c>
      <c r="C250" t="s">
        <v>107</v>
      </c>
      <c r="D250" t="s">
        <v>80</v>
      </c>
      <c r="E250">
        <v>5000</v>
      </c>
      <c r="F250">
        <v>2.9</v>
      </c>
      <c r="G250">
        <v>2.9</v>
      </c>
      <c r="H250">
        <v>5000</v>
      </c>
      <c r="I250">
        <v>0.1</v>
      </c>
      <c r="J250">
        <v>0.9</v>
      </c>
      <c r="K250">
        <v>9.4</v>
      </c>
    </row>
    <row r="251" spans="1:11" x14ac:dyDescent="0.2">
      <c r="A251">
        <v>2023</v>
      </c>
      <c r="B251">
        <v>8400</v>
      </c>
      <c r="C251" t="s">
        <v>107</v>
      </c>
      <c r="D251" t="s">
        <v>87</v>
      </c>
      <c r="E251">
        <v>2000</v>
      </c>
      <c r="F251">
        <v>1.2</v>
      </c>
      <c r="G251">
        <v>1.2</v>
      </c>
      <c r="H251">
        <v>68000</v>
      </c>
      <c r="I251">
        <v>2.2000000000000002</v>
      </c>
      <c r="J251">
        <v>30.9</v>
      </c>
      <c r="K251">
        <v>52.4</v>
      </c>
    </row>
    <row r="252" spans="1:11" x14ac:dyDescent="0.2">
      <c r="A252">
        <v>2023</v>
      </c>
      <c r="B252">
        <v>8400</v>
      </c>
      <c r="C252" t="s">
        <v>107</v>
      </c>
      <c r="D252" t="s">
        <v>75</v>
      </c>
      <c r="E252">
        <v>95000</v>
      </c>
      <c r="F252">
        <v>52.6</v>
      </c>
      <c r="G252">
        <v>53.7</v>
      </c>
      <c r="H252">
        <v>2102000</v>
      </c>
      <c r="I252">
        <v>69</v>
      </c>
      <c r="J252">
        <v>22.1</v>
      </c>
      <c r="K252">
        <v>29.4</v>
      </c>
    </row>
    <row r="253" spans="1:11" x14ac:dyDescent="0.2">
      <c r="A253">
        <v>2023</v>
      </c>
      <c r="B253">
        <v>8400</v>
      </c>
      <c r="C253" t="s">
        <v>107</v>
      </c>
      <c r="D253" t="s">
        <v>83</v>
      </c>
      <c r="E253">
        <v>54000</v>
      </c>
      <c r="F253">
        <v>29.9</v>
      </c>
      <c r="G253">
        <v>30.5</v>
      </c>
      <c r="H253">
        <v>836000</v>
      </c>
      <c r="I253">
        <v>27.4</v>
      </c>
      <c r="J253">
        <v>15.4</v>
      </c>
      <c r="K253">
        <v>22</v>
      </c>
    </row>
    <row r="254" spans="1:11" x14ac:dyDescent="0.2">
      <c r="A254">
        <v>2023</v>
      </c>
      <c r="B254">
        <v>8400</v>
      </c>
      <c r="C254" t="s">
        <v>107</v>
      </c>
      <c r="D254" t="s">
        <v>84</v>
      </c>
      <c r="E254">
        <v>4000</v>
      </c>
      <c r="F254">
        <v>2</v>
      </c>
      <c r="H254">
        <v>2000</v>
      </c>
      <c r="I254">
        <v>0.1</v>
      </c>
      <c r="J254">
        <v>0.5</v>
      </c>
      <c r="K254">
        <v>7.4</v>
      </c>
    </row>
    <row r="255" spans="1:11" x14ac:dyDescent="0.2">
      <c r="A255">
        <v>2023</v>
      </c>
      <c r="B255">
        <v>8400</v>
      </c>
      <c r="C255" t="s">
        <v>107</v>
      </c>
      <c r="D255" t="s">
        <v>85</v>
      </c>
      <c r="E255">
        <v>21000</v>
      </c>
      <c r="F255">
        <v>11.4</v>
      </c>
      <c r="G255">
        <v>11.6</v>
      </c>
      <c r="H255">
        <v>34000</v>
      </c>
      <c r="I255">
        <v>1.1000000000000001</v>
      </c>
      <c r="J255">
        <v>1.6</v>
      </c>
      <c r="K255">
        <v>15.3</v>
      </c>
    </row>
    <row r="256" spans="1:11" x14ac:dyDescent="0.2">
      <c r="A256">
        <v>2023</v>
      </c>
      <c r="B256">
        <v>8450</v>
      </c>
      <c r="C256" t="s">
        <v>108</v>
      </c>
      <c r="D256" t="s">
        <v>73</v>
      </c>
      <c r="E256">
        <v>19000</v>
      </c>
      <c r="F256">
        <v>2.5</v>
      </c>
      <c r="G256">
        <v>2.6</v>
      </c>
      <c r="H256">
        <v>102000</v>
      </c>
      <c r="I256">
        <v>1.7</v>
      </c>
      <c r="J256">
        <v>5.4</v>
      </c>
      <c r="K256">
        <v>26.7</v>
      </c>
    </row>
    <row r="257" spans="1:11" x14ac:dyDescent="0.2">
      <c r="A257">
        <v>2023</v>
      </c>
      <c r="B257">
        <v>8450</v>
      </c>
      <c r="C257" t="s">
        <v>108</v>
      </c>
      <c r="D257" t="s">
        <v>74</v>
      </c>
      <c r="E257">
        <v>33000</v>
      </c>
      <c r="F257">
        <v>4.2</v>
      </c>
      <c r="G257">
        <v>4.5999999999999996</v>
      </c>
      <c r="H257">
        <v>463000</v>
      </c>
      <c r="I257">
        <v>7.6</v>
      </c>
      <c r="J257">
        <v>14.2</v>
      </c>
      <c r="K257">
        <v>29.2</v>
      </c>
    </row>
    <row r="258" spans="1:11" x14ac:dyDescent="0.2">
      <c r="A258">
        <v>2023</v>
      </c>
      <c r="B258">
        <v>8450</v>
      </c>
      <c r="C258" t="s">
        <v>108</v>
      </c>
      <c r="D258" t="s">
        <v>75</v>
      </c>
      <c r="E258">
        <v>398000</v>
      </c>
      <c r="F258">
        <v>52</v>
      </c>
      <c r="G258">
        <v>56</v>
      </c>
      <c r="H258">
        <v>3890000</v>
      </c>
      <c r="I258">
        <v>63.8</v>
      </c>
      <c r="J258">
        <v>9.8000000000000007</v>
      </c>
      <c r="K258">
        <v>15.6</v>
      </c>
    </row>
    <row r="259" spans="1:11" x14ac:dyDescent="0.2">
      <c r="A259">
        <v>2023</v>
      </c>
      <c r="B259">
        <v>8450</v>
      </c>
      <c r="C259" t="s">
        <v>108</v>
      </c>
      <c r="D259" t="s">
        <v>76</v>
      </c>
      <c r="E259">
        <v>161000</v>
      </c>
      <c r="F259">
        <v>21.1</v>
      </c>
      <c r="G259">
        <v>22.7</v>
      </c>
      <c r="H259">
        <v>1512000</v>
      </c>
      <c r="I259">
        <v>24.8</v>
      </c>
      <c r="J259">
        <v>9.4</v>
      </c>
      <c r="K259">
        <v>15.3</v>
      </c>
    </row>
    <row r="260" spans="1:11" x14ac:dyDescent="0.2">
      <c r="A260">
        <v>2023</v>
      </c>
      <c r="B260">
        <v>8450</v>
      </c>
      <c r="C260" t="s">
        <v>108</v>
      </c>
      <c r="D260" t="s">
        <v>77</v>
      </c>
      <c r="E260">
        <v>55000</v>
      </c>
      <c r="F260">
        <v>7.2</v>
      </c>
      <c r="H260">
        <v>37000</v>
      </c>
      <c r="I260">
        <v>0.6</v>
      </c>
      <c r="J260">
        <v>0.7</v>
      </c>
      <c r="K260">
        <v>7.8</v>
      </c>
    </row>
    <row r="261" spans="1:11" x14ac:dyDescent="0.2">
      <c r="A261">
        <v>2023</v>
      </c>
      <c r="B261">
        <v>8450</v>
      </c>
      <c r="C261" t="s">
        <v>108</v>
      </c>
      <c r="D261" t="s">
        <v>78</v>
      </c>
      <c r="E261">
        <v>100000</v>
      </c>
      <c r="F261">
        <v>13.1</v>
      </c>
      <c r="G261">
        <v>14.1</v>
      </c>
      <c r="H261">
        <v>90000</v>
      </c>
      <c r="I261">
        <v>1.5</v>
      </c>
      <c r="J261">
        <v>0.9</v>
      </c>
      <c r="K261">
        <v>17.100000000000001</v>
      </c>
    </row>
    <row r="262" spans="1:11" x14ac:dyDescent="0.2">
      <c r="A262">
        <v>2023</v>
      </c>
      <c r="B262">
        <v>8500</v>
      </c>
      <c r="C262" t="s">
        <v>58</v>
      </c>
      <c r="D262" t="s">
        <v>80</v>
      </c>
      <c r="E262">
        <v>5000</v>
      </c>
      <c r="F262">
        <v>2.1</v>
      </c>
      <c r="G262">
        <v>2.5</v>
      </c>
      <c r="H262">
        <v>37000</v>
      </c>
      <c r="I262">
        <v>4.9000000000000004</v>
      </c>
      <c r="J262">
        <v>6.8</v>
      </c>
      <c r="K262">
        <v>40.6</v>
      </c>
    </row>
    <row r="263" spans="1:11" x14ac:dyDescent="0.2">
      <c r="A263">
        <v>2023</v>
      </c>
      <c r="B263">
        <v>8500</v>
      </c>
      <c r="C263" t="s">
        <v>58</v>
      </c>
      <c r="D263" t="s">
        <v>74</v>
      </c>
      <c r="E263">
        <v>24000</v>
      </c>
      <c r="F263">
        <v>9.1</v>
      </c>
      <c r="G263">
        <v>11</v>
      </c>
      <c r="H263">
        <v>105000</v>
      </c>
      <c r="I263">
        <v>14.2</v>
      </c>
      <c r="J263">
        <v>4.4000000000000004</v>
      </c>
      <c r="K263">
        <v>17.5</v>
      </c>
    </row>
    <row r="264" spans="1:11" x14ac:dyDescent="0.2">
      <c r="A264">
        <v>2023</v>
      </c>
      <c r="B264">
        <v>8500</v>
      </c>
      <c r="C264" t="s">
        <v>58</v>
      </c>
      <c r="D264" t="s">
        <v>75</v>
      </c>
      <c r="E264">
        <v>92000</v>
      </c>
      <c r="F264">
        <v>35.200000000000003</v>
      </c>
      <c r="G264">
        <v>42.5</v>
      </c>
      <c r="H264">
        <v>410000</v>
      </c>
      <c r="I264">
        <v>55.2</v>
      </c>
      <c r="J264">
        <v>4.5</v>
      </c>
      <c r="K264">
        <v>15.1</v>
      </c>
    </row>
    <row r="265" spans="1:11" x14ac:dyDescent="0.2">
      <c r="A265">
        <v>2023</v>
      </c>
      <c r="B265">
        <v>8500</v>
      </c>
      <c r="C265" t="s">
        <v>58</v>
      </c>
      <c r="D265" t="s">
        <v>76</v>
      </c>
      <c r="E265">
        <v>36000</v>
      </c>
      <c r="F265">
        <v>13.9</v>
      </c>
      <c r="G265">
        <v>16.8</v>
      </c>
      <c r="H265">
        <v>122000</v>
      </c>
      <c r="I265">
        <v>16.399999999999999</v>
      </c>
      <c r="J265">
        <v>3.3</v>
      </c>
      <c r="K265">
        <v>14.4</v>
      </c>
    </row>
    <row r="266" spans="1:11" x14ac:dyDescent="0.2">
      <c r="A266">
        <v>2023</v>
      </c>
      <c r="B266">
        <v>8500</v>
      </c>
      <c r="C266" t="s">
        <v>58</v>
      </c>
      <c r="D266" t="s">
        <v>77</v>
      </c>
      <c r="E266">
        <v>45000</v>
      </c>
      <c r="F266">
        <v>17.2</v>
      </c>
      <c r="H266">
        <v>24000</v>
      </c>
      <c r="I266">
        <v>3.2</v>
      </c>
      <c r="J266">
        <v>0.5</v>
      </c>
      <c r="K266">
        <v>8.6</v>
      </c>
    </row>
    <row r="267" spans="1:11" x14ac:dyDescent="0.2">
      <c r="A267">
        <v>2023</v>
      </c>
      <c r="B267">
        <v>8500</v>
      </c>
      <c r="C267" t="s">
        <v>58</v>
      </c>
      <c r="D267" t="s">
        <v>78</v>
      </c>
      <c r="E267">
        <v>59000</v>
      </c>
      <c r="F267">
        <v>22.5</v>
      </c>
      <c r="G267">
        <v>27.2</v>
      </c>
      <c r="H267">
        <v>46000</v>
      </c>
      <c r="I267">
        <v>6.2</v>
      </c>
      <c r="J267">
        <v>0.8</v>
      </c>
      <c r="K267">
        <v>12.8</v>
      </c>
    </row>
    <row r="268" spans="1:11" x14ac:dyDescent="0.2">
      <c r="A268">
        <v>2024</v>
      </c>
      <c r="B268">
        <v>500</v>
      </c>
      <c r="C268" t="s">
        <v>72</v>
      </c>
      <c r="D268" t="s">
        <v>73</v>
      </c>
      <c r="E268">
        <v>24000</v>
      </c>
      <c r="F268">
        <v>3</v>
      </c>
      <c r="G268">
        <v>3.5</v>
      </c>
      <c r="H268">
        <v>281000</v>
      </c>
      <c r="I268">
        <v>6.4</v>
      </c>
      <c r="J268">
        <v>11.8</v>
      </c>
      <c r="K268">
        <v>21.7</v>
      </c>
    </row>
    <row r="269" spans="1:11" x14ac:dyDescent="0.2">
      <c r="A269">
        <v>2024</v>
      </c>
      <c r="B269">
        <v>500</v>
      </c>
      <c r="C269" t="s">
        <v>72</v>
      </c>
      <c r="D269" t="s">
        <v>74</v>
      </c>
      <c r="E269">
        <v>65000</v>
      </c>
      <c r="F269">
        <v>8.3000000000000007</v>
      </c>
      <c r="G269">
        <v>9.5</v>
      </c>
      <c r="H269">
        <v>528000</v>
      </c>
      <c r="I269">
        <v>12</v>
      </c>
      <c r="J269">
        <v>8.1</v>
      </c>
      <c r="K269">
        <v>21.5</v>
      </c>
    </row>
    <row r="270" spans="1:11" x14ac:dyDescent="0.2">
      <c r="A270">
        <v>2024</v>
      </c>
      <c r="B270">
        <v>500</v>
      </c>
      <c r="C270" t="s">
        <v>72</v>
      </c>
      <c r="D270" t="s">
        <v>75</v>
      </c>
      <c r="E270">
        <v>317000</v>
      </c>
      <c r="F270">
        <v>40.299999999999997</v>
      </c>
      <c r="G270">
        <v>46.2</v>
      </c>
      <c r="H270">
        <v>2462000</v>
      </c>
      <c r="I270">
        <v>56.1</v>
      </c>
      <c r="J270">
        <v>7.8</v>
      </c>
      <c r="K270">
        <v>18.7</v>
      </c>
    </row>
    <row r="271" spans="1:11" x14ac:dyDescent="0.2">
      <c r="A271">
        <v>2024</v>
      </c>
      <c r="B271">
        <v>500</v>
      </c>
      <c r="C271" t="s">
        <v>72</v>
      </c>
      <c r="D271" t="s">
        <v>76</v>
      </c>
      <c r="E271">
        <v>151000</v>
      </c>
      <c r="F271">
        <v>19.2</v>
      </c>
      <c r="G271">
        <v>22</v>
      </c>
      <c r="H271">
        <v>942000</v>
      </c>
      <c r="I271">
        <v>21.5</v>
      </c>
      <c r="J271">
        <v>6.2</v>
      </c>
      <c r="K271">
        <v>16.600000000000001</v>
      </c>
    </row>
    <row r="272" spans="1:11" x14ac:dyDescent="0.2">
      <c r="A272">
        <v>2024</v>
      </c>
      <c r="B272">
        <v>500</v>
      </c>
      <c r="C272" t="s">
        <v>72</v>
      </c>
      <c r="D272" t="s">
        <v>77</v>
      </c>
      <c r="E272">
        <v>100000</v>
      </c>
      <c r="F272">
        <v>12.8</v>
      </c>
      <c r="H272">
        <v>86000</v>
      </c>
      <c r="I272">
        <v>2</v>
      </c>
      <c r="J272">
        <v>0.9</v>
      </c>
      <c r="K272">
        <v>11</v>
      </c>
    </row>
    <row r="273" spans="1:11" x14ac:dyDescent="0.2">
      <c r="A273">
        <v>2024</v>
      </c>
      <c r="B273">
        <v>500</v>
      </c>
      <c r="C273" t="s">
        <v>72</v>
      </c>
      <c r="D273" t="s">
        <v>78</v>
      </c>
      <c r="E273">
        <v>129000</v>
      </c>
      <c r="F273">
        <v>16.399999999999999</v>
      </c>
      <c r="G273">
        <v>18.8</v>
      </c>
      <c r="H273">
        <v>87000</v>
      </c>
      <c r="I273">
        <v>2</v>
      </c>
      <c r="J273">
        <v>0.7</v>
      </c>
      <c r="K273">
        <v>10.199999999999999</v>
      </c>
    </row>
    <row r="274" spans="1:11" x14ac:dyDescent="0.2">
      <c r="A274">
        <v>2024</v>
      </c>
      <c r="B274">
        <v>750</v>
      </c>
      <c r="C274" t="s">
        <v>35</v>
      </c>
      <c r="D274" t="s">
        <v>73</v>
      </c>
      <c r="E274">
        <v>20000</v>
      </c>
      <c r="F274">
        <v>1.4</v>
      </c>
      <c r="G274">
        <v>1.6</v>
      </c>
      <c r="H274">
        <v>128000</v>
      </c>
      <c r="I274">
        <v>1.1000000000000001</v>
      </c>
      <c r="J274">
        <v>6.4</v>
      </c>
      <c r="K274">
        <v>12.5</v>
      </c>
    </row>
    <row r="275" spans="1:11" x14ac:dyDescent="0.2">
      <c r="A275">
        <v>2024</v>
      </c>
      <c r="B275">
        <v>750</v>
      </c>
      <c r="C275" t="s">
        <v>35</v>
      </c>
      <c r="D275" t="s">
        <v>74</v>
      </c>
      <c r="E275">
        <v>106000</v>
      </c>
      <c r="F275">
        <v>7.5</v>
      </c>
      <c r="G275">
        <v>8.4</v>
      </c>
      <c r="H275">
        <v>1885000</v>
      </c>
      <c r="I275">
        <v>15.6</v>
      </c>
      <c r="J275">
        <v>17.7</v>
      </c>
      <c r="K275">
        <v>29.3</v>
      </c>
    </row>
    <row r="276" spans="1:11" x14ac:dyDescent="0.2">
      <c r="A276">
        <v>2024</v>
      </c>
      <c r="B276">
        <v>750</v>
      </c>
      <c r="C276" t="s">
        <v>35</v>
      </c>
      <c r="D276" t="s">
        <v>75</v>
      </c>
      <c r="E276">
        <v>654000</v>
      </c>
      <c r="F276">
        <v>46.4</v>
      </c>
      <c r="G276">
        <v>51.5</v>
      </c>
      <c r="H276">
        <v>6832000</v>
      </c>
      <c r="I276">
        <v>56.6</v>
      </c>
      <c r="J276">
        <v>10.5</v>
      </c>
      <c r="K276">
        <v>19.7</v>
      </c>
    </row>
    <row r="277" spans="1:11" x14ac:dyDescent="0.2">
      <c r="A277">
        <v>2024</v>
      </c>
      <c r="B277">
        <v>750</v>
      </c>
      <c r="C277" t="s">
        <v>35</v>
      </c>
      <c r="D277" t="s">
        <v>76</v>
      </c>
      <c r="E277">
        <v>333000</v>
      </c>
      <c r="F277">
        <v>23.6</v>
      </c>
      <c r="G277">
        <v>26.2</v>
      </c>
      <c r="H277">
        <v>3004000</v>
      </c>
      <c r="I277">
        <v>24.9</v>
      </c>
      <c r="J277">
        <v>9</v>
      </c>
      <c r="K277">
        <v>17.600000000000001</v>
      </c>
    </row>
    <row r="278" spans="1:11" x14ac:dyDescent="0.2">
      <c r="A278">
        <v>2024</v>
      </c>
      <c r="B278">
        <v>750</v>
      </c>
      <c r="C278" t="s">
        <v>35</v>
      </c>
      <c r="D278" t="s">
        <v>77</v>
      </c>
      <c r="E278">
        <v>139000</v>
      </c>
      <c r="F278">
        <v>9.9</v>
      </c>
      <c r="H278">
        <v>88000</v>
      </c>
      <c r="I278">
        <v>0.7</v>
      </c>
      <c r="J278">
        <v>0.6</v>
      </c>
      <c r="K278">
        <v>8.1</v>
      </c>
    </row>
    <row r="279" spans="1:11" x14ac:dyDescent="0.2">
      <c r="A279">
        <v>2024</v>
      </c>
      <c r="B279">
        <v>750</v>
      </c>
      <c r="C279" t="s">
        <v>35</v>
      </c>
      <c r="D279" t="s">
        <v>78</v>
      </c>
      <c r="E279">
        <v>157000</v>
      </c>
      <c r="F279">
        <v>11.1</v>
      </c>
      <c r="G279">
        <v>12.4</v>
      </c>
      <c r="H279">
        <v>138000</v>
      </c>
      <c r="I279">
        <v>1.1000000000000001</v>
      </c>
      <c r="J279">
        <v>0.9</v>
      </c>
      <c r="K279">
        <v>13.1</v>
      </c>
    </row>
    <row r="280" spans="1:11" x14ac:dyDescent="0.2">
      <c r="A280">
        <v>2024</v>
      </c>
      <c r="B280">
        <v>900</v>
      </c>
      <c r="C280" t="s">
        <v>79</v>
      </c>
      <c r="D280" t="s">
        <v>80</v>
      </c>
      <c r="E280">
        <v>2000</v>
      </c>
      <c r="F280">
        <v>0.6</v>
      </c>
      <c r="G280">
        <v>0.6</v>
      </c>
      <c r="H280">
        <v>7000</v>
      </c>
      <c r="I280">
        <v>0.2</v>
      </c>
      <c r="J280">
        <v>4.0999999999999996</v>
      </c>
      <c r="K280">
        <v>49.2</v>
      </c>
    </row>
    <row r="281" spans="1:11" x14ac:dyDescent="0.2">
      <c r="A281">
        <v>2024</v>
      </c>
      <c r="B281">
        <v>900</v>
      </c>
      <c r="C281" t="s">
        <v>79</v>
      </c>
      <c r="D281" t="s">
        <v>81</v>
      </c>
      <c r="E281">
        <v>15000</v>
      </c>
      <c r="F281">
        <v>5</v>
      </c>
      <c r="G281">
        <v>5.4</v>
      </c>
      <c r="H281">
        <v>443000</v>
      </c>
      <c r="I281">
        <v>11.8</v>
      </c>
      <c r="J281">
        <v>28.8</v>
      </c>
      <c r="K281">
        <v>38.9</v>
      </c>
    </row>
    <row r="282" spans="1:11" x14ac:dyDescent="0.2">
      <c r="A282">
        <v>2024</v>
      </c>
      <c r="B282">
        <v>900</v>
      </c>
      <c r="C282" t="s">
        <v>79</v>
      </c>
      <c r="D282" t="s">
        <v>75</v>
      </c>
      <c r="E282">
        <v>154000</v>
      </c>
      <c r="F282">
        <v>50.2</v>
      </c>
      <c r="G282">
        <v>53.5</v>
      </c>
      <c r="H282">
        <v>2266000</v>
      </c>
      <c r="I282">
        <v>60.5</v>
      </c>
      <c r="J282">
        <v>14.7</v>
      </c>
      <c r="K282">
        <v>20.100000000000001</v>
      </c>
    </row>
    <row r="283" spans="1:11" x14ac:dyDescent="0.2">
      <c r="A283">
        <v>2024</v>
      </c>
      <c r="B283">
        <v>900</v>
      </c>
      <c r="C283" t="s">
        <v>79</v>
      </c>
      <c r="D283" t="s">
        <v>76</v>
      </c>
      <c r="E283">
        <v>74000</v>
      </c>
      <c r="F283">
        <v>24.1</v>
      </c>
      <c r="G283">
        <v>25.7</v>
      </c>
      <c r="H283">
        <v>977000</v>
      </c>
      <c r="I283">
        <v>26.1</v>
      </c>
      <c r="J283">
        <v>13.2</v>
      </c>
      <c r="K283">
        <v>19.100000000000001</v>
      </c>
    </row>
    <row r="284" spans="1:11" x14ac:dyDescent="0.2">
      <c r="A284">
        <v>2024</v>
      </c>
      <c r="B284">
        <v>900</v>
      </c>
      <c r="C284" t="s">
        <v>79</v>
      </c>
      <c r="D284" t="s">
        <v>77</v>
      </c>
      <c r="E284">
        <v>19000</v>
      </c>
      <c r="F284">
        <v>6.2</v>
      </c>
      <c r="H284">
        <v>12000</v>
      </c>
      <c r="I284">
        <v>0.3</v>
      </c>
      <c r="J284">
        <v>0.6</v>
      </c>
      <c r="K284">
        <v>10.3</v>
      </c>
    </row>
    <row r="285" spans="1:11" x14ac:dyDescent="0.2">
      <c r="A285">
        <v>2024</v>
      </c>
      <c r="B285">
        <v>900</v>
      </c>
      <c r="C285" t="s">
        <v>79</v>
      </c>
      <c r="D285" t="s">
        <v>78</v>
      </c>
      <c r="E285">
        <v>43000</v>
      </c>
      <c r="F285">
        <v>13.9</v>
      </c>
      <c r="G285">
        <v>14.9</v>
      </c>
      <c r="H285">
        <v>38000</v>
      </c>
      <c r="I285">
        <v>1</v>
      </c>
      <c r="J285">
        <v>0.9</v>
      </c>
      <c r="K285">
        <v>14.1</v>
      </c>
    </row>
    <row r="286" spans="1:11" x14ac:dyDescent="0.2">
      <c r="A286">
        <v>2024</v>
      </c>
      <c r="B286">
        <v>1300</v>
      </c>
      <c r="C286" t="s">
        <v>36</v>
      </c>
      <c r="D286" t="s">
        <v>81</v>
      </c>
      <c r="E286">
        <v>27000</v>
      </c>
      <c r="F286">
        <v>11.6</v>
      </c>
      <c r="G286">
        <v>13.9</v>
      </c>
      <c r="H286">
        <v>274000</v>
      </c>
      <c r="I286">
        <v>17.600000000000001</v>
      </c>
      <c r="J286">
        <v>10</v>
      </c>
      <c r="K286">
        <v>19.100000000000001</v>
      </c>
    </row>
    <row r="287" spans="1:11" x14ac:dyDescent="0.2">
      <c r="A287">
        <v>2024</v>
      </c>
      <c r="B287">
        <v>1300</v>
      </c>
      <c r="C287" t="s">
        <v>36</v>
      </c>
      <c r="D287" t="s">
        <v>82</v>
      </c>
      <c r="E287">
        <v>99000</v>
      </c>
      <c r="F287">
        <v>42</v>
      </c>
      <c r="G287">
        <v>50.5</v>
      </c>
      <c r="H287">
        <v>847000</v>
      </c>
      <c r="I287">
        <v>54.2</v>
      </c>
      <c r="J287">
        <v>8.6</v>
      </c>
      <c r="K287">
        <v>20.7</v>
      </c>
    </row>
    <row r="288" spans="1:11" x14ac:dyDescent="0.2">
      <c r="A288">
        <v>2024</v>
      </c>
      <c r="B288">
        <v>1300</v>
      </c>
      <c r="C288" t="s">
        <v>36</v>
      </c>
      <c r="D288" t="s">
        <v>83</v>
      </c>
      <c r="E288">
        <v>31000</v>
      </c>
      <c r="F288">
        <v>13</v>
      </c>
      <c r="G288">
        <v>15.6</v>
      </c>
      <c r="H288">
        <v>391000</v>
      </c>
      <c r="I288">
        <v>25</v>
      </c>
      <c r="J288">
        <v>12.8</v>
      </c>
      <c r="K288">
        <v>22.7</v>
      </c>
    </row>
    <row r="289" spans="1:11" x14ac:dyDescent="0.2">
      <c r="A289">
        <v>2024</v>
      </c>
      <c r="B289">
        <v>1300</v>
      </c>
      <c r="C289" t="s">
        <v>36</v>
      </c>
      <c r="D289" t="s">
        <v>84</v>
      </c>
      <c r="E289">
        <v>40000</v>
      </c>
      <c r="F289">
        <v>16.8</v>
      </c>
      <c r="H289">
        <v>26000</v>
      </c>
      <c r="I289">
        <v>1.7</v>
      </c>
      <c r="J289">
        <v>0.7</v>
      </c>
      <c r="K289">
        <v>12.4</v>
      </c>
    </row>
    <row r="290" spans="1:11" x14ac:dyDescent="0.2">
      <c r="A290">
        <v>2024</v>
      </c>
      <c r="B290">
        <v>1300</v>
      </c>
      <c r="C290" t="s">
        <v>36</v>
      </c>
      <c r="D290" t="s">
        <v>85</v>
      </c>
      <c r="E290">
        <v>39000</v>
      </c>
      <c r="F290">
        <v>16.600000000000001</v>
      </c>
      <c r="G290">
        <v>20</v>
      </c>
      <c r="H290">
        <v>24000</v>
      </c>
      <c r="I290">
        <v>1.5</v>
      </c>
      <c r="J290">
        <v>0.6</v>
      </c>
      <c r="K290">
        <v>11.4</v>
      </c>
    </row>
    <row r="291" spans="1:11" x14ac:dyDescent="0.2">
      <c r="A291">
        <v>2024</v>
      </c>
      <c r="B291">
        <v>1450</v>
      </c>
      <c r="C291" t="s">
        <v>37</v>
      </c>
      <c r="D291" t="s">
        <v>80</v>
      </c>
      <c r="E291">
        <v>5000</v>
      </c>
      <c r="F291">
        <v>1</v>
      </c>
      <c r="G291">
        <v>1.1000000000000001</v>
      </c>
      <c r="H291">
        <v>6000</v>
      </c>
      <c r="I291">
        <v>0.1</v>
      </c>
      <c r="J291">
        <v>1.1000000000000001</v>
      </c>
      <c r="K291">
        <v>6.5</v>
      </c>
    </row>
    <row r="292" spans="1:11" x14ac:dyDescent="0.2">
      <c r="A292">
        <v>2024</v>
      </c>
      <c r="B292">
        <v>1450</v>
      </c>
      <c r="C292" t="s">
        <v>37</v>
      </c>
      <c r="D292" t="s">
        <v>81</v>
      </c>
      <c r="E292">
        <v>41000</v>
      </c>
      <c r="F292">
        <v>8.1999999999999993</v>
      </c>
      <c r="G292">
        <v>8.9</v>
      </c>
      <c r="H292">
        <v>728000</v>
      </c>
      <c r="I292">
        <v>14.1</v>
      </c>
      <c r="J292">
        <v>17.7</v>
      </c>
      <c r="K292">
        <v>31.1</v>
      </c>
    </row>
    <row r="293" spans="1:11" x14ac:dyDescent="0.2">
      <c r="A293">
        <v>2024</v>
      </c>
      <c r="B293">
        <v>1450</v>
      </c>
      <c r="C293" t="s">
        <v>37</v>
      </c>
      <c r="D293" t="s">
        <v>75</v>
      </c>
      <c r="E293">
        <v>244000</v>
      </c>
      <c r="F293">
        <v>48.7</v>
      </c>
      <c r="G293">
        <v>52.6</v>
      </c>
      <c r="H293">
        <v>3431000</v>
      </c>
      <c r="I293">
        <v>66.5</v>
      </c>
      <c r="J293">
        <v>14.1</v>
      </c>
      <c r="K293">
        <v>21.6</v>
      </c>
    </row>
    <row r="294" spans="1:11" x14ac:dyDescent="0.2">
      <c r="A294">
        <v>2024</v>
      </c>
      <c r="B294">
        <v>1450</v>
      </c>
      <c r="C294" t="s">
        <v>37</v>
      </c>
      <c r="D294" t="s">
        <v>83</v>
      </c>
      <c r="E294">
        <v>134000</v>
      </c>
      <c r="F294">
        <v>26.8</v>
      </c>
      <c r="G294">
        <v>28.9</v>
      </c>
      <c r="H294">
        <v>934000</v>
      </c>
      <c r="I294">
        <v>18.100000000000001</v>
      </c>
      <c r="J294">
        <v>7</v>
      </c>
      <c r="K294">
        <v>12.9</v>
      </c>
    </row>
    <row r="295" spans="1:11" x14ac:dyDescent="0.2">
      <c r="A295">
        <v>2024</v>
      </c>
      <c r="B295">
        <v>1450</v>
      </c>
      <c r="C295" t="s">
        <v>37</v>
      </c>
      <c r="D295" t="s">
        <v>84</v>
      </c>
      <c r="E295">
        <v>38000</v>
      </c>
      <c r="F295">
        <v>7.5</v>
      </c>
      <c r="H295">
        <v>23000</v>
      </c>
      <c r="I295">
        <v>0.4</v>
      </c>
      <c r="J295">
        <v>0.6</v>
      </c>
      <c r="K295">
        <v>7.5</v>
      </c>
    </row>
    <row r="296" spans="1:11" x14ac:dyDescent="0.2">
      <c r="A296">
        <v>2024</v>
      </c>
      <c r="B296">
        <v>1450</v>
      </c>
      <c r="C296" t="s">
        <v>37</v>
      </c>
      <c r="D296" t="s">
        <v>85</v>
      </c>
      <c r="E296">
        <v>39000</v>
      </c>
      <c r="F296">
        <v>7.9</v>
      </c>
      <c r="G296">
        <v>8.5</v>
      </c>
      <c r="H296">
        <v>36000</v>
      </c>
      <c r="I296">
        <v>0.7</v>
      </c>
      <c r="J296">
        <v>0.9</v>
      </c>
      <c r="K296">
        <v>14.5</v>
      </c>
    </row>
    <row r="297" spans="1:11" x14ac:dyDescent="0.2">
      <c r="A297">
        <v>2024</v>
      </c>
      <c r="B297">
        <v>1500</v>
      </c>
      <c r="C297" t="s">
        <v>38</v>
      </c>
      <c r="D297" t="s">
        <v>80</v>
      </c>
      <c r="E297">
        <v>2000</v>
      </c>
      <c r="F297">
        <v>0.4</v>
      </c>
      <c r="G297">
        <v>0.5</v>
      </c>
      <c r="H297">
        <v>32000</v>
      </c>
      <c r="I297">
        <v>0.6</v>
      </c>
      <c r="J297">
        <v>13.2</v>
      </c>
      <c r="K297">
        <v>34.799999999999997</v>
      </c>
    </row>
    <row r="298" spans="1:11" x14ac:dyDescent="0.2">
      <c r="A298">
        <v>2024</v>
      </c>
      <c r="B298">
        <v>1500</v>
      </c>
      <c r="C298" t="s">
        <v>38</v>
      </c>
      <c r="D298" t="s">
        <v>74</v>
      </c>
      <c r="E298">
        <v>41000</v>
      </c>
      <c r="F298">
        <v>7.2</v>
      </c>
      <c r="G298">
        <v>7.9</v>
      </c>
      <c r="H298">
        <v>824000</v>
      </c>
      <c r="I298">
        <v>14.6</v>
      </c>
      <c r="J298">
        <v>20.3</v>
      </c>
      <c r="K298">
        <v>31.5</v>
      </c>
    </row>
    <row r="299" spans="1:11" x14ac:dyDescent="0.2">
      <c r="A299">
        <v>2024</v>
      </c>
      <c r="B299">
        <v>1500</v>
      </c>
      <c r="C299" t="s">
        <v>38</v>
      </c>
      <c r="D299" t="s">
        <v>75</v>
      </c>
      <c r="E299">
        <v>271000</v>
      </c>
      <c r="F299">
        <v>48.1</v>
      </c>
      <c r="G299">
        <v>53</v>
      </c>
      <c r="H299">
        <v>3404000</v>
      </c>
      <c r="I299">
        <v>60.3</v>
      </c>
      <c r="J299">
        <v>12.5</v>
      </c>
      <c r="K299">
        <v>21.7</v>
      </c>
    </row>
    <row r="300" spans="1:11" x14ac:dyDescent="0.2">
      <c r="A300">
        <v>2024</v>
      </c>
      <c r="B300">
        <v>1500</v>
      </c>
      <c r="C300" t="s">
        <v>38</v>
      </c>
      <c r="D300" t="s">
        <v>76</v>
      </c>
      <c r="E300">
        <v>131000</v>
      </c>
      <c r="F300">
        <v>23.2</v>
      </c>
      <c r="G300">
        <v>25.6</v>
      </c>
      <c r="H300">
        <v>1296000</v>
      </c>
      <c r="I300">
        <v>23</v>
      </c>
      <c r="J300">
        <v>9.9</v>
      </c>
      <c r="K300">
        <v>18.2</v>
      </c>
    </row>
    <row r="301" spans="1:11" x14ac:dyDescent="0.2">
      <c r="A301">
        <v>2024</v>
      </c>
      <c r="B301">
        <v>1500</v>
      </c>
      <c r="C301" t="s">
        <v>38</v>
      </c>
      <c r="D301" t="s">
        <v>84</v>
      </c>
      <c r="E301">
        <v>52000</v>
      </c>
      <c r="F301">
        <v>9.1999999999999993</v>
      </c>
      <c r="H301">
        <v>36000</v>
      </c>
      <c r="I301">
        <v>0.6</v>
      </c>
      <c r="J301">
        <v>0.7</v>
      </c>
      <c r="K301">
        <v>10.3</v>
      </c>
    </row>
    <row r="302" spans="1:11" x14ac:dyDescent="0.2">
      <c r="A302">
        <v>2024</v>
      </c>
      <c r="B302">
        <v>1500</v>
      </c>
      <c r="C302" t="s">
        <v>38</v>
      </c>
      <c r="D302" t="s">
        <v>78</v>
      </c>
      <c r="E302">
        <v>66000</v>
      </c>
      <c r="F302">
        <v>11.8</v>
      </c>
      <c r="G302">
        <v>13</v>
      </c>
      <c r="H302">
        <v>52000</v>
      </c>
      <c r="I302">
        <v>0.9</v>
      </c>
      <c r="J302">
        <v>0.8</v>
      </c>
      <c r="K302">
        <v>14.5</v>
      </c>
    </row>
    <row r="303" spans="1:11" x14ac:dyDescent="0.2">
      <c r="A303">
        <v>2024</v>
      </c>
      <c r="B303">
        <v>1520</v>
      </c>
      <c r="C303" t="s">
        <v>39</v>
      </c>
      <c r="D303" t="s">
        <v>73</v>
      </c>
      <c r="E303">
        <v>9000</v>
      </c>
      <c r="F303">
        <v>2</v>
      </c>
      <c r="G303">
        <v>2.5</v>
      </c>
      <c r="H303">
        <v>61000</v>
      </c>
      <c r="I303">
        <v>2.8</v>
      </c>
      <c r="J303">
        <v>6.7</v>
      </c>
      <c r="K303">
        <v>19.899999999999999</v>
      </c>
    </row>
    <row r="304" spans="1:11" x14ac:dyDescent="0.2">
      <c r="A304">
        <v>2024</v>
      </c>
      <c r="B304">
        <v>1520</v>
      </c>
      <c r="C304" t="s">
        <v>39</v>
      </c>
      <c r="D304" t="s">
        <v>74</v>
      </c>
      <c r="E304">
        <v>67000</v>
      </c>
      <c r="F304">
        <v>14.8</v>
      </c>
      <c r="G304">
        <v>18.399999999999999</v>
      </c>
      <c r="H304">
        <v>523000</v>
      </c>
      <c r="I304">
        <v>23.6</v>
      </c>
      <c r="J304">
        <v>7.8</v>
      </c>
      <c r="K304">
        <v>18.7</v>
      </c>
    </row>
    <row r="305" spans="1:11" x14ac:dyDescent="0.2">
      <c r="A305">
        <v>2024</v>
      </c>
      <c r="B305">
        <v>1520</v>
      </c>
      <c r="C305" t="s">
        <v>39</v>
      </c>
      <c r="D305" t="s">
        <v>75</v>
      </c>
      <c r="E305">
        <v>149000</v>
      </c>
      <c r="F305">
        <v>32.799999999999997</v>
      </c>
      <c r="G305">
        <v>40.6</v>
      </c>
      <c r="H305">
        <v>1271000</v>
      </c>
      <c r="I305">
        <v>57.4</v>
      </c>
      <c r="J305">
        <v>8.5</v>
      </c>
      <c r="K305">
        <v>20</v>
      </c>
    </row>
    <row r="306" spans="1:11" x14ac:dyDescent="0.2">
      <c r="A306">
        <v>2024</v>
      </c>
      <c r="B306">
        <v>1520</v>
      </c>
      <c r="C306" t="s">
        <v>39</v>
      </c>
      <c r="D306" t="s">
        <v>76</v>
      </c>
      <c r="E306">
        <v>50000</v>
      </c>
      <c r="F306">
        <v>11</v>
      </c>
      <c r="G306">
        <v>13.6</v>
      </c>
      <c r="H306">
        <v>248000</v>
      </c>
      <c r="I306">
        <v>11.2</v>
      </c>
      <c r="J306">
        <v>5</v>
      </c>
      <c r="K306">
        <v>15.7</v>
      </c>
    </row>
    <row r="307" spans="1:11" x14ac:dyDescent="0.2">
      <c r="A307">
        <v>2024</v>
      </c>
      <c r="B307">
        <v>1520</v>
      </c>
      <c r="C307" t="s">
        <v>39</v>
      </c>
      <c r="D307" t="s">
        <v>77</v>
      </c>
      <c r="E307">
        <v>88000</v>
      </c>
      <c r="F307">
        <v>19.3</v>
      </c>
      <c r="H307">
        <v>48000</v>
      </c>
      <c r="I307">
        <v>2.2000000000000002</v>
      </c>
      <c r="J307">
        <v>0.5</v>
      </c>
      <c r="K307">
        <v>8.4</v>
      </c>
    </row>
    <row r="308" spans="1:11" x14ac:dyDescent="0.2">
      <c r="A308">
        <v>2024</v>
      </c>
      <c r="B308">
        <v>1520</v>
      </c>
      <c r="C308" t="s">
        <v>39</v>
      </c>
      <c r="D308" t="s">
        <v>78</v>
      </c>
      <c r="E308">
        <v>91000</v>
      </c>
      <c r="F308">
        <v>20</v>
      </c>
      <c r="G308">
        <v>24.8</v>
      </c>
      <c r="H308">
        <v>62000</v>
      </c>
      <c r="I308">
        <v>2.8</v>
      </c>
      <c r="J308">
        <v>0.7</v>
      </c>
      <c r="K308">
        <v>11</v>
      </c>
    </row>
    <row r="309" spans="1:11" x14ac:dyDescent="0.2">
      <c r="A309">
        <v>2024</v>
      </c>
      <c r="B309">
        <v>1570</v>
      </c>
      <c r="C309" t="s">
        <v>40</v>
      </c>
      <c r="D309" t="s">
        <v>73</v>
      </c>
      <c r="E309">
        <v>10000</v>
      </c>
      <c r="F309">
        <v>0.8</v>
      </c>
      <c r="G309">
        <v>1</v>
      </c>
      <c r="H309">
        <v>65000</v>
      </c>
      <c r="I309">
        <v>0.9</v>
      </c>
      <c r="J309">
        <v>6.6</v>
      </c>
      <c r="K309">
        <v>22.7</v>
      </c>
    </row>
    <row r="310" spans="1:11" x14ac:dyDescent="0.2">
      <c r="A310">
        <v>2024</v>
      </c>
      <c r="B310">
        <v>1570</v>
      </c>
      <c r="C310" t="s">
        <v>40</v>
      </c>
      <c r="D310" t="s">
        <v>74</v>
      </c>
      <c r="E310">
        <v>132000</v>
      </c>
      <c r="F310">
        <v>11.2</v>
      </c>
      <c r="G310">
        <v>13.2</v>
      </c>
      <c r="H310">
        <v>1431000</v>
      </c>
      <c r="I310">
        <v>20.5</v>
      </c>
      <c r="J310">
        <v>10.8</v>
      </c>
      <c r="K310">
        <v>24.1</v>
      </c>
    </row>
    <row r="311" spans="1:11" x14ac:dyDescent="0.2">
      <c r="A311">
        <v>2024</v>
      </c>
      <c r="B311">
        <v>1570</v>
      </c>
      <c r="C311" t="s">
        <v>40</v>
      </c>
      <c r="D311" t="s">
        <v>75</v>
      </c>
      <c r="E311">
        <v>485000</v>
      </c>
      <c r="F311">
        <v>40.9</v>
      </c>
      <c r="G311">
        <v>48.4</v>
      </c>
      <c r="H311">
        <v>4123000</v>
      </c>
      <c r="I311">
        <v>59.1</v>
      </c>
      <c r="J311">
        <v>8.5</v>
      </c>
      <c r="K311">
        <v>19.899999999999999</v>
      </c>
    </row>
    <row r="312" spans="1:11" x14ac:dyDescent="0.2">
      <c r="A312">
        <v>2024</v>
      </c>
      <c r="B312">
        <v>1570</v>
      </c>
      <c r="C312" t="s">
        <v>40</v>
      </c>
      <c r="D312" t="s">
        <v>76</v>
      </c>
      <c r="E312">
        <v>220000</v>
      </c>
      <c r="F312">
        <v>18.600000000000001</v>
      </c>
      <c r="G312">
        <v>22</v>
      </c>
      <c r="H312">
        <v>1153000</v>
      </c>
      <c r="I312">
        <v>16.5</v>
      </c>
      <c r="J312">
        <v>5.2</v>
      </c>
      <c r="K312">
        <v>15.6</v>
      </c>
    </row>
    <row r="313" spans="1:11" x14ac:dyDescent="0.2">
      <c r="A313">
        <v>2024</v>
      </c>
      <c r="B313">
        <v>1570</v>
      </c>
      <c r="C313" t="s">
        <v>40</v>
      </c>
      <c r="D313" t="s">
        <v>77</v>
      </c>
      <c r="E313">
        <v>184000</v>
      </c>
      <c r="F313">
        <v>15.5</v>
      </c>
      <c r="H313">
        <v>109000</v>
      </c>
      <c r="I313">
        <v>1.6</v>
      </c>
      <c r="J313">
        <v>0.6</v>
      </c>
      <c r="K313">
        <v>9.3000000000000007</v>
      </c>
    </row>
    <row r="314" spans="1:11" x14ac:dyDescent="0.2">
      <c r="A314">
        <v>2024</v>
      </c>
      <c r="B314">
        <v>1570</v>
      </c>
      <c r="C314" t="s">
        <v>40</v>
      </c>
      <c r="D314" t="s">
        <v>78</v>
      </c>
      <c r="E314">
        <v>154000</v>
      </c>
      <c r="F314">
        <v>13</v>
      </c>
      <c r="G314">
        <v>15.4</v>
      </c>
      <c r="H314">
        <v>97000</v>
      </c>
      <c r="I314">
        <v>1.4</v>
      </c>
      <c r="J314">
        <v>0.6</v>
      </c>
      <c r="K314">
        <v>10.4</v>
      </c>
    </row>
    <row r="315" spans="1:11" x14ac:dyDescent="0.2">
      <c r="A315">
        <v>2024</v>
      </c>
      <c r="B315">
        <v>1650</v>
      </c>
      <c r="C315" t="s">
        <v>33</v>
      </c>
      <c r="D315" t="s">
        <v>73</v>
      </c>
      <c r="E315">
        <v>22000</v>
      </c>
      <c r="F315">
        <v>1.5</v>
      </c>
      <c r="G315">
        <v>1.7</v>
      </c>
      <c r="H315">
        <v>98000</v>
      </c>
      <c r="I315">
        <v>0.6</v>
      </c>
      <c r="J315">
        <v>4.5999999999999996</v>
      </c>
      <c r="K315">
        <v>17.100000000000001</v>
      </c>
    </row>
    <row r="316" spans="1:11" x14ac:dyDescent="0.2">
      <c r="A316">
        <v>2024</v>
      </c>
      <c r="B316">
        <v>1650</v>
      </c>
      <c r="C316" t="s">
        <v>33</v>
      </c>
      <c r="D316" t="s">
        <v>74</v>
      </c>
      <c r="E316">
        <v>98000</v>
      </c>
      <c r="F316">
        <v>7</v>
      </c>
      <c r="G316">
        <v>7.5</v>
      </c>
      <c r="H316">
        <v>2107000</v>
      </c>
      <c r="I316">
        <v>13</v>
      </c>
      <c r="J316">
        <v>21.5</v>
      </c>
      <c r="K316">
        <v>32.799999999999997</v>
      </c>
    </row>
    <row r="317" spans="1:11" x14ac:dyDescent="0.2">
      <c r="A317">
        <v>2024</v>
      </c>
      <c r="B317">
        <v>1650</v>
      </c>
      <c r="C317" t="s">
        <v>33</v>
      </c>
      <c r="D317" t="s">
        <v>75</v>
      </c>
      <c r="E317">
        <v>737000</v>
      </c>
      <c r="F317">
        <v>52.6</v>
      </c>
      <c r="G317">
        <v>56.7</v>
      </c>
      <c r="H317">
        <v>9406000</v>
      </c>
      <c r="I317">
        <v>58.2</v>
      </c>
      <c r="J317">
        <v>12.8</v>
      </c>
      <c r="K317">
        <v>18.7</v>
      </c>
    </row>
    <row r="318" spans="1:11" x14ac:dyDescent="0.2">
      <c r="A318">
        <v>2024</v>
      </c>
      <c r="B318">
        <v>1650</v>
      </c>
      <c r="C318" t="s">
        <v>33</v>
      </c>
      <c r="D318" t="s">
        <v>76</v>
      </c>
      <c r="E318">
        <v>324000</v>
      </c>
      <c r="F318">
        <v>23.1</v>
      </c>
      <c r="G318">
        <v>24.9</v>
      </c>
      <c r="H318">
        <v>4392000</v>
      </c>
      <c r="I318">
        <v>27.2</v>
      </c>
      <c r="J318">
        <v>13.6</v>
      </c>
      <c r="K318">
        <v>19.7</v>
      </c>
    </row>
    <row r="319" spans="1:11" x14ac:dyDescent="0.2">
      <c r="A319">
        <v>2024</v>
      </c>
      <c r="B319">
        <v>1650</v>
      </c>
      <c r="C319" t="s">
        <v>33</v>
      </c>
      <c r="D319" t="s">
        <v>77</v>
      </c>
      <c r="E319">
        <v>103000</v>
      </c>
      <c r="F319">
        <v>7.3</v>
      </c>
      <c r="H319">
        <v>65000</v>
      </c>
      <c r="I319">
        <v>0.4</v>
      </c>
      <c r="J319">
        <v>0.6</v>
      </c>
      <c r="K319">
        <v>9</v>
      </c>
    </row>
    <row r="320" spans="1:11" x14ac:dyDescent="0.2">
      <c r="A320">
        <v>2024</v>
      </c>
      <c r="B320">
        <v>1650</v>
      </c>
      <c r="C320" t="s">
        <v>33</v>
      </c>
      <c r="D320" t="s">
        <v>78</v>
      </c>
      <c r="E320">
        <v>119000</v>
      </c>
      <c r="F320">
        <v>8.5</v>
      </c>
      <c r="G320">
        <v>9.1</v>
      </c>
      <c r="H320">
        <v>98000</v>
      </c>
      <c r="I320">
        <v>0.6</v>
      </c>
      <c r="J320">
        <v>0.8</v>
      </c>
      <c r="K320">
        <v>12.8</v>
      </c>
    </row>
    <row r="321" spans="1:11" x14ac:dyDescent="0.2">
      <c r="A321">
        <v>2024</v>
      </c>
      <c r="B321">
        <v>1720</v>
      </c>
      <c r="C321" t="s">
        <v>86</v>
      </c>
      <c r="D321" t="s">
        <v>87</v>
      </c>
      <c r="E321">
        <v>5000</v>
      </c>
      <c r="F321">
        <v>2.1</v>
      </c>
      <c r="G321">
        <v>2.1</v>
      </c>
      <c r="H321">
        <v>60000</v>
      </c>
      <c r="I321">
        <v>2.2000000000000002</v>
      </c>
      <c r="J321">
        <v>13.3</v>
      </c>
      <c r="K321">
        <v>25</v>
      </c>
    </row>
    <row r="322" spans="1:11" x14ac:dyDescent="0.2">
      <c r="A322">
        <v>2024</v>
      </c>
      <c r="B322">
        <v>1720</v>
      </c>
      <c r="C322" t="s">
        <v>86</v>
      </c>
      <c r="D322" t="s">
        <v>75</v>
      </c>
      <c r="E322">
        <v>146000</v>
      </c>
      <c r="F322">
        <v>67.8</v>
      </c>
      <c r="G322">
        <v>69</v>
      </c>
      <c r="H322">
        <v>2225000</v>
      </c>
      <c r="I322">
        <v>81.599999999999994</v>
      </c>
      <c r="J322">
        <v>15.2</v>
      </c>
      <c r="K322">
        <v>20.3</v>
      </c>
    </row>
    <row r="323" spans="1:11" x14ac:dyDescent="0.2">
      <c r="A323">
        <v>2024</v>
      </c>
      <c r="B323">
        <v>1720</v>
      </c>
      <c r="C323" t="s">
        <v>86</v>
      </c>
      <c r="D323" t="s">
        <v>83</v>
      </c>
      <c r="E323">
        <v>42000</v>
      </c>
      <c r="F323">
        <v>19.600000000000001</v>
      </c>
      <c r="G323">
        <v>20</v>
      </c>
      <c r="H323">
        <v>432000</v>
      </c>
      <c r="I323">
        <v>15.8</v>
      </c>
      <c r="J323">
        <v>10.199999999999999</v>
      </c>
      <c r="K323">
        <v>16.5</v>
      </c>
    </row>
    <row r="324" spans="1:11" x14ac:dyDescent="0.2">
      <c r="A324">
        <v>2024</v>
      </c>
      <c r="B324">
        <v>1720</v>
      </c>
      <c r="C324" t="s">
        <v>86</v>
      </c>
      <c r="D324" t="s">
        <v>88</v>
      </c>
      <c r="E324">
        <v>4000</v>
      </c>
      <c r="F324">
        <v>1.7</v>
      </c>
      <c r="H324">
        <v>2000</v>
      </c>
      <c r="I324">
        <v>0.1</v>
      </c>
      <c r="J324">
        <v>0.5</v>
      </c>
      <c r="K324">
        <v>10.3</v>
      </c>
    </row>
    <row r="325" spans="1:11" x14ac:dyDescent="0.2">
      <c r="A325">
        <v>2024</v>
      </c>
      <c r="B325">
        <v>1720</v>
      </c>
      <c r="C325" t="s">
        <v>86</v>
      </c>
      <c r="D325" t="s">
        <v>85</v>
      </c>
      <c r="E325">
        <v>19000</v>
      </c>
      <c r="F325">
        <v>8.8000000000000007</v>
      </c>
      <c r="G325">
        <v>8.9</v>
      </c>
      <c r="H325">
        <v>10000</v>
      </c>
      <c r="I325">
        <v>0.4</v>
      </c>
      <c r="J325">
        <v>0.5</v>
      </c>
      <c r="K325">
        <v>6.6</v>
      </c>
    </row>
    <row r="326" spans="1:11" x14ac:dyDescent="0.2">
      <c r="A326">
        <v>2024</v>
      </c>
      <c r="B326">
        <v>2380</v>
      </c>
      <c r="C326" t="s">
        <v>89</v>
      </c>
      <c r="D326" t="s">
        <v>80</v>
      </c>
      <c r="E326">
        <v>6000</v>
      </c>
      <c r="F326">
        <v>0.7</v>
      </c>
      <c r="G326">
        <v>0.8</v>
      </c>
      <c r="H326">
        <v>49000</v>
      </c>
      <c r="I326">
        <v>0.9</v>
      </c>
      <c r="J326">
        <v>8.1</v>
      </c>
      <c r="K326">
        <v>25.8</v>
      </c>
    </row>
    <row r="327" spans="1:11" x14ac:dyDescent="0.2">
      <c r="A327">
        <v>2024</v>
      </c>
      <c r="B327">
        <v>2380</v>
      </c>
      <c r="C327" t="s">
        <v>89</v>
      </c>
      <c r="D327" t="s">
        <v>81</v>
      </c>
      <c r="E327">
        <v>88000</v>
      </c>
      <c r="F327">
        <v>10.199999999999999</v>
      </c>
      <c r="G327">
        <v>11.7</v>
      </c>
      <c r="H327">
        <v>984000</v>
      </c>
      <c r="I327">
        <v>18.5</v>
      </c>
      <c r="J327">
        <v>11.1</v>
      </c>
      <c r="K327">
        <v>19.399999999999999</v>
      </c>
    </row>
    <row r="328" spans="1:11" x14ac:dyDescent="0.2">
      <c r="A328">
        <v>2024</v>
      </c>
      <c r="B328">
        <v>2380</v>
      </c>
      <c r="C328" t="s">
        <v>89</v>
      </c>
      <c r="D328" t="s">
        <v>75</v>
      </c>
      <c r="E328">
        <v>364000</v>
      </c>
      <c r="F328">
        <v>42</v>
      </c>
      <c r="G328">
        <v>48.3</v>
      </c>
      <c r="H328">
        <v>2993000</v>
      </c>
      <c r="I328">
        <v>56.4</v>
      </c>
      <c r="J328">
        <v>8.1999999999999993</v>
      </c>
      <c r="K328">
        <v>19</v>
      </c>
    </row>
    <row r="329" spans="1:11" x14ac:dyDescent="0.2">
      <c r="A329">
        <v>2024</v>
      </c>
      <c r="B329">
        <v>2380</v>
      </c>
      <c r="C329" t="s">
        <v>89</v>
      </c>
      <c r="D329" t="s">
        <v>76</v>
      </c>
      <c r="E329">
        <v>173000</v>
      </c>
      <c r="F329">
        <v>19.899999999999999</v>
      </c>
      <c r="G329">
        <v>22.9</v>
      </c>
      <c r="H329">
        <v>1126000</v>
      </c>
      <c r="I329">
        <v>21.2</v>
      </c>
      <c r="J329">
        <v>6.5</v>
      </c>
      <c r="K329">
        <v>15.7</v>
      </c>
    </row>
    <row r="330" spans="1:11" x14ac:dyDescent="0.2">
      <c r="A330">
        <v>2024</v>
      </c>
      <c r="B330">
        <v>2380</v>
      </c>
      <c r="C330" t="s">
        <v>89</v>
      </c>
      <c r="D330" t="s">
        <v>77</v>
      </c>
      <c r="E330">
        <v>112000</v>
      </c>
      <c r="F330">
        <v>13</v>
      </c>
      <c r="H330">
        <v>72000</v>
      </c>
      <c r="I330">
        <v>1.4</v>
      </c>
      <c r="J330">
        <v>0.6</v>
      </c>
      <c r="K330">
        <v>9.6999999999999993</v>
      </c>
    </row>
    <row r="331" spans="1:11" x14ac:dyDescent="0.2">
      <c r="A331">
        <v>2024</v>
      </c>
      <c r="B331">
        <v>2380</v>
      </c>
      <c r="C331" t="s">
        <v>89</v>
      </c>
      <c r="D331" t="s">
        <v>78</v>
      </c>
      <c r="E331">
        <v>123000</v>
      </c>
      <c r="F331">
        <v>14.2</v>
      </c>
      <c r="G331">
        <v>16.3</v>
      </c>
      <c r="H331">
        <v>84000</v>
      </c>
      <c r="I331">
        <v>1.6</v>
      </c>
      <c r="J331">
        <v>0.7</v>
      </c>
      <c r="K331">
        <v>18.2</v>
      </c>
    </row>
    <row r="332" spans="1:11" x14ac:dyDescent="0.2">
      <c r="A332">
        <v>2024</v>
      </c>
      <c r="B332">
        <v>2700</v>
      </c>
      <c r="C332" t="s">
        <v>90</v>
      </c>
      <c r="D332" t="s">
        <v>87</v>
      </c>
      <c r="E332">
        <v>2000</v>
      </c>
      <c r="F332">
        <v>6.1</v>
      </c>
      <c r="G332">
        <v>6.8</v>
      </c>
      <c r="H332">
        <v>39000</v>
      </c>
      <c r="I332">
        <v>9</v>
      </c>
      <c r="J332">
        <v>15.6</v>
      </c>
      <c r="K332">
        <v>17.100000000000001</v>
      </c>
    </row>
    <row r="333" spans="1:11" x14ac:dyDescent="0.2">
      <c r="A333">
        <v>2024</v>
      </c>
      <c r="B333">
        <v>2700</v>
      </c>
      <c r="C333" t="s">
        <v>90</v>
      </c>
      <c r="D333" t="s">
        <v>75</v>
      </c>
      <c r="E333">
        <v>22000</v>
      </c>
      <c r="F333">
        <v>53.8</v>
      </c>
      <c r="G333">
        <v>59.7</v>
      </c>
      <c r="H333">
        <v>334000</v>
      </c>
      <c r="I333">
        <v>77.5</v>
      </c>
      <c r="J333">
        <v>15.2</v>
      </c>
      <c r="K333">
        <v>20.5</v>
      </c>
    </row>
    <row r="334" spans="1:11" x14ac:dyDescent="0.2">
      <c r="A334">
        <v>2024</v>
      </c>
      <c r="B334">
        <v>2700</v>
      </c>
      <c r="C334" t="s">
        <v>90</v>
      </c>
      <c r="D334" t="s">
        <v>83</v>
      </c>
      <c r="E334">
        <v>8000</v>
      </c>
      <c r="F334">
        <v>20.2</v>
      </c>
      <c r="G334">
        <v>22.4</v>
      </c>
      <c r="H334">
        <v>53000</v>
      </c>
      <c r="I334">
        <v>12.2</v>
      </c>
      <c r="J334">
        <v>6.4</v>
      </c>
      <c r="K334">
        <v>11.2</v>
      </c>
    </row>
    <row r="335" spans="1:11" x14ac:dyDescent="0.2">
      <c r="A335">
        <v>2024</v>
      </c>
      <c r="B335">
        <v>2700</v>
      </c>
      <c r="C335" t="s">
        <v>90</v>
      </c>
      <c r="D335" t="s">
        <v>88</v>
      </c>
      <c r="E335">
        <v>4000</v>
      </c>
      <c r="F335">
        <v>10</v>
      </c>
      <c r="H335">
        <v>4000</v>
      </c>
      <c r="I335">
        <v>1</v>
      </c>
      <c r="J335">
        <v>1</v>
      </c>
      <c r="K335">
        <v>13.9</v>
      </c>
    </row>
    <row r="336" spans="1:11" x14ac:dyDescent="0.2">
      <c r="A336">
        <v>2024</v>
      </c>
      <c r="B336">
        <v>2700</v>
      </c>
      <c r="C336" t="s">
        <v>90</v>
      </c>
      <c r="D336" t="s">
        <v>91</v>
      </c>
      <c r="E336">
        <v>4000</v>
      </c>
      <c r="F336">
        <v>9.9</v>
      </c>
      <c r="G336">
        <v>11.1</v>
      </c>
      <c r="H336">
        <v>1000</v>
      </c>
      <c r="I336">
        <v>0.2</v>
      </c>
      <c r="J336">
        <v>0.2</v>
      </c>
      <c r="K336">
        <v>6.6</v>
      </c>
    </row>
    <row r="337" spans="1:11" x14ac:dyDescent="0.2">
      <c r="A337">
        <v>2024</v>
      </c>
      <c r="B337">
        <v>2850</v>
      </c>
      <c r="C337" t="s">
        <v>41</v>
      </c>
      <c r="D337" t="s">
        <v>81</v>
      </c>
      <c r="E337">
        <v>18000</v>
      </c>
      <c r="F337">
        <v>3.6</v>
      </c>
      <c r="G337">
        <v>3.8</v>
      </c>
      <c r="H337">
        <v>267000</v>
      </c>
      <c r="I337">
        <v>7.1</v>
      </c>
      <c r="J337">
        <v>15</v>
      </c>
      <c r="K337">
        <v>34.200000000000003</v>
      </c>
    </row>
    <row r="338" spans="1:11" x14ac:dyDescent="0.2">
      <c r="A338">
        <v>2024</v>
      </c>
      <c r="B338">
        <v>2850</v>
      </c>
      <c r="C338" t="s">
        <v>41</v>
      </c>
      <c r="D338" t="s">
        <v>75</v>
      </c>
      <c r="E338">
        <v>274000</v>
      </c>
      <c r="F338">
        <v>55.2</v>
      </c>
      <c r="G338">
        <v>58.5</v>
      </c>
      <c r="H338">
        <v>2663000</v>
      </c>
      <c r="I338">
        <v>70.7</v>
      </c>
      <c r="J338">
        <v>9.6999999999999993</v>
      </c>
      <c r="K338">
        <v>21.1</v>
      </c>
    </row>
    <row r="339" spans="1:11" x14ac:dyDescent="0.2">
      <c r="A339">
        <v>2024</v>
      </c>
      <c r="B339">
        <v>2850</v>
      </c>
      <c r="C339" t="s">
        <v>41</v>
      </c>
      <c r="D339" t="s">
        <v>76</v>
      </c>
      <c r="E339">
        <v>110000</v>
      </c>
      <c r="F339">
        <v>22.1</v>
      </c>
      <c r="G339">
        <v>23.4</v>
      </c>
      <c r="H339">
        <v>763000</v>
      </c>
      <c r="I339">
        <v>20.3</v>
      </c>
      <c r="J339">
        <v>7</v>
      </c>
      <c r="K339">
        <v>17.899999999999999</v>
      </c>
    </row>
    <row r="340" spans="1:11" x14ac:dyDescent="0.2">
      <c r="A340">
        <v>2024</v>
      </c>
      <c r="B340">
        <v>2850</v>
      </c>
      <c r="C340" t="s">
        <v>41</v>
      </c>
      <c r="D340" t="s">
        <v>84</v>
      </c>
      <c r="E340">
        <v>28000</v>
      </c>
      <c r="F340">
        <v>5.7</v>
      </c>
      <c r="H340">
        <v>20000</v>
      </c>
      <c r="I340">
        <v>0.5</v>
      </c>
      <c r="J340">
        <v>0.7</v>
      </c>
      <c r="K340">
        <v>10.3</v>
      </c>
    </row>
    <row r="341" spans="1:11" x14ac:dyDescent="0.2">
      <c r="A341">
        <v>2024</v>
      </c>
      <c r="B341">
        <v>2850</v>
      </c>
      <c r="C341" t="s">
        <v>41</v>
      </c>
      <c r="D341" t="s">
        <v>78</v>
      </c>
      <c r="E341">
        <v>67000</v>
      </c>
      <c r="F341">
        <v>13.5</v>
      </c>
      <c r="G341">
        <v>14.3</v>
      </c>
      <c r="H341">
        <v>52000</v>
      </c>
      <c r="I341">
        <v>1.4</v>
      </c>
      <c r="J341">
        <v>0.8</v>
      </c>
      <c r="K341">
        <v>14</v>
      </c>
    </row>
    <row r="342" spans="1:11" x14ac:dyDescent="0.2">
      <c r="A342">
        <v>2024</v>
      </c>
      <c r="B342">
        <v>2930</v>
      </c>
      <c r="C342" t="s">
        <v>92</v>
      </c>
      <c r="D342" t="s">
        <v>73</v>
      </c>
      <c r="E342">
        <v>10000</v>
      </c>
      <c r="F342">
        <v>1.3</v>
      </c>
      <c r="G342">
        <v>1.6</v>
      </c>
      <c r="H342">
        <v>81000</v>
      </c>
      <c r="I342">
        <v>1.8</v>
      </c>
      <c r="J342">
        <v>8.1999999999999993</v>
      </c>
      <c r="K342">
        <v>17.399999999999999</v>
      </c>
    </row>
    <row r="343" spans="1:11" x14ac:dyDescent="0.2">
      <c r="A343">
        <v>2024</v>
      </c>
      <c r="B343">
        <v>2930</v>
      </c>
      <c r="C343" t="s">
        <v>92</v>
      </c>
      <c r="D343" t="s">
        <v>74</v>
      </c>
      <c r="E343">
        <v>95000</v>
      </c>
      <c r="F343">
        <v>12.7</v>
      </c>
      <c r="G343">
        <v>15.4</v>
      </c>
      <c r="H343">
        <v>1114000</v>
      </c>
      <c r="I343">
        <v>24.2</v>
      </c>
      <c r="J343">
        <v>11.8</v>
      </c>
      <c r="K343">
        <v>22.9</v>
      </c>
    </row>
    <row r="344" spans="1:11" x14ac:dyDescent="0.2">
      <c r="A344">
        <v>2024</v>
      </c>
      <c r="B344">
        <v>2930</v>
      </c>
      <c r="C344" t="s">
        <v>92</v>
      </c>
      <c r="D344" t="s">
        <v>75</v>
      </c>
      <c r="E344">
        <v>292000</v>
      </c>
      <c r="F344">
        <v>39.200000000000003</v>
      </c>
      <c r="G344">
        <v>47.6</v>
      </c>
      <c r="H344">
        <v>2454000</v>
      </c>
      <c r="I344">
        <v>53.2</v>
      </c>
      <c r="J344">
        <v>8.4</v>
      </c>
      <c r="K344">
        <v>19.5</v>
      </c>
    </row>
    <row r="345" spans="1:11" x14ac:dyDescent="0.2">
      <c r="A345">
        <v>2024</v>
      </c>
      <c r="B345">
        <v>2930</v>
      </c>
      <c r="C345" t="s">
        <v>92</v>
      </c>
      <c r="D345" t="s">
        <v>76</v>
      </c>
      <c r="E345">
        <v>128000</v>
      </c>
      <c r="F345">
        <v>17.100000000000001</v>
      </c>
      <c r="G345">
        <v>20.8</v>
      </c>
      <c r="H345">
        <v>796000</v>
      </c>
      <c r="I345">
        <v>17.2</v>
      </c>
      <c r="J345">
        <v>6.2</v>
      </c>
      <c r="K345">
        <v>17.399999999999999</v>
      </c>
    </row>
    <row r="346" spans="1:11" x14ac:dyDescent="0.2">
      <c r="A346">
        <v>2024</v>
      </c>
      <c r="B346">
        <v>2930</v>
      </c>
      <c r="C346" t="s">
        <v>92</v>
      </c>
      <c r="D346" t="s">
        <v>77</v>
      </c>
      <c r="E346">
        <v>131000</v>
      </c>
      <c r="F346">
        <v>17.600000000000001</v>
      </c>
      <c r="H346">
        <v>95000</v>
      </c>
      <c r="I346">
        <v>2.1</v>
      </c>
      <c r="J346">
        <v>0.7</v>
      </c>
      <c r="K346">
        <v>10.3</v>
      </c>
    </row>
    <row r="347" spans="1:11" x14ac:dyDescent="0.2">
      <c r="A347">
        <v>2024</v>
      </c>
      <c r="B347">
        <v>2930</v>
      </c>
      <c r="C347" t="s">
        <v>92</v>
      </c>
      <c r="D347" t="s">
        <v>78</v>
      </c>
      <c r="E347">
        <v>89000</v>
      </c>
      <c r="F347">
        <v>12</v>
      </c>
      <c r="G347">
        <v>14.5</v>
      </c>
      <c r="H347">
        <v>74000</v>
      </c>
      <c r="I347">
        <v>1.6</v>
      </c>
      <c r="J347">
        <v>0.8</v>
      </c>
      <c r="K347">
        <v>12.9</v>
      </c>
    </row>
    <row r="348" spans="1:11" x14ac:dyDescent="0.2">
      <c r="A348">
        <v>2024</v>
      </c>
      <c r="B348">
        <v>3800</v>
      </c>
      <c r="C348" t="s">
        <v>93</v>
      </c>
      <c r="D348" t="s">
        <v>80</v>
      </c>
      <c r="E348">
        <v>2000</v>
      </c>
      <c r="F348">
        <v>0.9</v>
      </c>
      <c r="G348">
        <v>0.9</v>
      </c>
      <c r="H348">
        <v>12000</v>
      </c>
      <c r="I348">
        <v>0.3</v>
      </c>
      <c r="J348">
        <v>6.4</v>
      </c>
      <c r="K348">
        <v>36.5</v>
      </c>
    </row>
    <row r="349" spans="1:11" x14ac:dyDescent="0.2">
      <c r="A349">
        <v>2024</v>
      </c>
      <c r="B349">
        <v>3800</v>
      </c>
      <c r="C349" t="s">
        <v>93</v>
      </c>
      <c r="D349" t="s">
        <v>81</v>
      </c>
      <c r="E349">
        <v>8000</v>
      </c>
      <c r="F349">
        <v>3.7</v>
      </c>
      <c r="G349">
        <v>3.8</v>
      </c>
      <c r="H349">
        <v>133000</v>
      </c>
      <c r="I349">
        <v>3.6</v>
      </c>
      <c r="J349">
        <v>17.5</v>
      </c>
      <c r="K349">
        <v>28.6</v>
      </c>
    </row>
    <row r="350" spans="1:11" x14ac:dyDescent="0.2">
      <c r="A350">
        <v>2024</v>
      </c>
      <c r="B350">
        <v>3800</v>
      </c>
      <c r="C350" t="s">
        <v>93</v>
      </c>
      <c r="D350" t="s">
        <v>75</v>
      </c>
      <c r="E350">
        <v>134000</v>
      </c>
      <c r="F350">
        <v>64.900000000000006</v>
      </c>
      <c r="G350">
        <v>66.599999999999994</v>
      </c>
      <c r="H350">
        <v>2711000</v>
      </c>
      <c r="I350">
        <v>72.900000000000006</v>
      </c>
      <c r="J350">
        <v>20.2</v>
      </c>
      <c r="K350">
        <v>31</v>
      </c>
    </row>
    <row r="351" spans="1:11" x14ac:dyDescent="0.2">
      <c r="A351">
        <v>2024</v>
      </c>
      <c r="B351">
        <v>3800</v>
      </c>
      <c r="C351" t="s">
        <v>93</v>
      </c>
      <c r="D351" t="s">
        <v>76</v>
      </c>
      <c r="E351">
        <v>49000</v>
      </c>
      <c r="F351">
        <v>23.8</v>
      </c>
      <c r="G351">
        <v>24.4</v>
      </c>
      <c r="H351">
        <v>854000</v>
      </c>
      <c r="I351">
        <v>23</v>
      </c>
      <c r="J351">
        <v>17.3</v>
      </c>
      <c r="K351">
        <v>27.6</v>
      </c>
    </row>
    <row r="352" spans="1:11" x14ac:dyDescent="0.2">
      <c r="A352">
        <v>2024</v>
      </c>
      <c r="B352">
        <v>3800</v>
      </c>
      <c r="C352" t="s">
        <v>93</v>
      </c>
      <c r="D352" t="s">
        <v>84</v>
      </c>
      <c r="E352">
        <v>5000</v>
      </c>
      <c r="F352">
        <v>2.6</v>
      </c>
      <c r="H352">
        <v>3000</v>
      </c>
      <c r="I352">
        <v>0.1</v>
      </c>
      <c r="J352">
        <v>0.6</v>
      </c>
      <c r="K352">
        <v>8.5</v>
      </c>
    </row>
    <row r="353" spans="1:11" x14ac:dyDescent="0.2">
      <c r="A353">
        <v>2024</v>
      </c>
      <c r="B353">
        <v>3800</v>
      </c>
      <c r="C353" t="s">
        <v>93</v>
      </c>
      <c r="D353" t="s">
        <v>85</v>
      </c>
      <c r="E353">
        <v>9000</v>
      </c>
      <c r="F353">
        <v>4.2</v>
      </c>
      <c r="G353">
        <v>4.3</v>
      </c>
      <c r="H353">
        <v>7000</v>
      </c>
      <c r="I353">
        <v>0.2</v>
      </c>
      <c r="J353">
        <v>0.8</v>
      </c>
      <c r="K353">
        <v>8.5</v>
      </c>
    </row>
    <row r="354" spans="1:11" x14ac:dyDescent="0.2">
      <c r="A354">
        <v>2024</v>
      </c>
      <c r="B354">
        <v>4000</v>
      </c>
      <c r="C354" t="s">
        <v>42</v>
      </c>
      <c r="D354" t="s">
        <v>73</v>
      </c>
      <c r="E354">
        <v>8000</v>
      </c>
      <c r="F354">
        <v>1.1000000000000001</v>
      </c>
      <c r="G354">
        <v>1.3</v>
      </c>
      <c r="H354">
        <v>43000</v>
      </c>
      <c r="I354">
        <v>0.9</v>
      </c>
      <c r="J354">
        <v>5.7</v>
      </c>
      <c r="K354">
        <v>21.6</v>
      </c>
    </row>
    <row r="355" spans="1:11" x14ac:dyDescent="0.2">
      <c r="A355">
        <v>2024</v>
      </c>
      <c r="B355">
        <v>4000</v>
      </c>
      <c r="C355" t="s">
        <v>42</v>
      </c>
      <c r="D355" t="s">
        <v>74</v>
      </c>
      <c r="E355">
        <v>87000</v>
      </c>
      <c r="F355">
        <v>12.3</v>
      </c>
      <c r="G355">
        <v>14.5</v>
      </c>
      <c r="H355">
        <v>1157000</v>
      </c>
      <c r="I355">
        <v>23</v>
      </c>
      <c r="J355">
        <v>13.4</v>
      </c>
      <c r="K355">
        <v>23.9</v>
      </c>
    </row>
    <row r="356" spans="1:11" x14ac:dyDescent="0.2">
      <c r="A356">
        <v>2024</v>
      </c>
      <c r="B356">
        <v>4000</v>
      </c>
      <c r="C356" t="s">
        <v>42</v>
      </c>
      <c r="D356" t="s">
        <v>75</v>
      </c>
      <c r="E356">
        <v>281000</v>
      </c>
      <c r="F356">
        <v>39.700000000000003</v>
      </c>
      <c r="G356">
        <v>46.9</v>
      </c>
      <c r="H356">
        <v>2696000</v>
      </c>
      <c r="I356">
        <v>53.7</v>
      </c>
      <c r="J356">
        <v>9.6</v>
      </c>
      <c r="K356">
        <v>18.7</v>
      </c>
    </row>
    <row r="357" spans="1:11" x14ac:dyDescent="0.2">
      <c r="A357">
        <v>2024</v>
      </c>
      <c r="B357">
        <v>4000</v>
      </c>
      <c r="C357" t="s">
        <v>42</v>
      </c>
      <c r="D357" t="s">
        <v>76</v>
      </c>
      <c r="E357">
        <v>129000</v>
      </c>
      <c r="F357">
        <v>18.3</v>
      </c>
      <c r="G357">
        <v>21.6</v>
      </c>
      <c r="H357">
        <v>974000</v>
      </c>
      <c r="I357">
        <v>19.399999999999999</v>
      </c>
      <c r="J357">
        <v>7.5</v>
      </c>
      <c r="K357">
        <v>15.9</v>
      </c>
    </row>
    <row r="358" spans="1:11" x14ac:dyDescent="0.2">
      <c r="A358">
        <v>2024</v>
      </c>
      <c r="B358">
        <v>4000</v>
      </c>
      <c r="C358" t="s">
        <v>42</v>
      </c>
      <c r="D358" t="s">
        <v>77</v>
      </c>
      <c r="E358">
        <v>108000</v>
      </c>
      <c r="F358">
        <v>15.3</v>
      </c>
      <c r="H358">
        <v>71000</v>
      </c>
      <c r="I358">
        <v>1.4</v>
      </c>
      <c r="J358">
        <v>0.7</v>
      </c>
      <c r="K358">
        <v>9.3000000000000007</v>
      </c>
    </row>
    <row r="359" spans="1:11" x14ac:dyDescent="0.2">
      <c r="A359">
        <v>2024</v>
      </c>
      <c r="B359">
        <v>4000</v>
      </c>
      <c r="C359" t="s">
        <v>42</v>
      </c>
      <c r="D359" t="s">
        <v>78</v>
      </c>
      <c r="E359">
        <v>94000</v>
      </c>
      <c r="F359">
        <v>13.3</v>
      </c>
      <c r="G359">
        <v>15.7</v>
      </c>
      <c r="H359">
        <v>82000</v>
      </c>
      <c r="I359">
        <v>1.6</v>
      </c>
      <c r="J359">
        <v>0.9</v>
      </c>
      <c r="K359">
        <v>13.9</v>
      </c>
    </row>
    <row r="360" spans="1:11" x14ac:dyDescent="0.2">
      <c r="A360">
        <v>2024</v>
      </c>
      <c r="B360">
        <v>4100</v>
      </c>
      <c r="C360" t="s">
        <v>43</v>
      </c>
      <c r="D360" t="s">
        <v>80</v>
      </c>
      <c r="E360">
        <v>1000</v>
      </c>
      <c r="F360">
        <v>1.1000000000000001</v>
      </c>
      <c r="G360">
        <v>1.4</v>
      </c>
      <c r="H360">
        <v>9000</v>
      </c>
      <c r="I360">
        <v>3</v>
      </c>
      <c r="J360">
        <v>14.6</v>
      </c>
      <c r="K360">
        <v>27.8</v>
      </c>
    </row>
    <row r="361" spans="1:11" x14ac:dyDescent="0.2">
      <c r="A361">
        <v>2024</v>
      </c>
      <c r="B361">
        <v>4100</v>
      </c>
      <c r="C361" t="s">
        <v>43</v>
      </c>
      <c r="D361" t="s">
        <v>81</v>
      </c>
      <c r="E361">
        <v>7000</v>
      </c>
      <c r="F361">
        <v>12.9</v>
      </c>
      <c r="G361">
        <v>16.3</v>
      </c>
      <c r="H361">
        <v>64000</v>
      </c>
      <c r="I361">
        <v>21.9</v>
      </c>
      <c r="J361">
        <v>9.1</v>
      </c>
      <c r="K361">
        <v>22.8</v>
      </c>
    </row>
    <row r="362" spans="1:11" x14ac:dyDescent="0.2">
      <c r="A362">
        <v>2024</v>
      </c>
      <c r="B362">
        <v>4100</v>
      </c>
      <c r="C362" t="s">
        <v>43</v>
      </c>
      <c r="D362" t="s">
        <v>82</v>
      </c>
      <c r="E362">
        <v>23000</v>
      </c>
      <c r="F362">
        <v>42.2</v>
      </c>
      <c r="G362">
        <v>53.4</v>
      </c>
      <c r="H362">
        <v>157000</v>
      </c>
      <c r="I362">
        <v>54.2</v>
      </c>
      <c r="J362">
        <v>6.9</v>
      </c>
      <c r="K362">
        <v>18.5</v>
      </c>
    </row>
    <row r="363" spans="1:11" x14ac:dyDescent="0.2">
      <c r="A363">
        <v>2024</v>
      </c>
      <c r="B363">
        <v>4100</v>
      </c>
      <c r="C363" t="s">
        <v>43</v>
      </c>
      <c r="D363" t="s">
        <v>83</v>
      </c>
      <c r="E363">
        <v>5000</v>
      </c>
      <c r="F363">
        <v>8.6999999999999993</v>
      </c>
      <c r="G363">
        <v>11.1</v>
      </c>
      <c r="H363">
        <v>48000</v>
      </c>
      <c r="I363">
        <v>16.5</v>
      </c>
      <c r="J363">
        <v>10.1</v>
      </c>
      <c r="K363">
        <v>18.399999999999999</v>
      </c>
    </row>
    <row r="364" spans="1:11" x14ac:dyDescent="0.2">
      <c r="A364">
        <v>2024</v>
      </c>
      <c r="B364">
        <v>4100</v>
      </c>
      <c r="C364" t="s">
        <v>43</v>
      </c>
      <c r="D364" t="s">
        <v>84</v>
      </c>
      <c r="E364">
        <v>11000</v>
      </c>
      <c r="F364">
        <v>21.1</v>
      </c>
      <c r="H364">
        <v>7000</v>
      </c>
      <c r="I364">
        <v>2.5</v>
      </c>
      <c r="J364">
        <v>0.6</v>
      </c>
      <c r="K364">
        <v>9.6999999999999993</v>
      </c>
    </row>
    <row r="365" spans="1:11" x14ac:dyDescent="0.2">
      <c r="A365">
        <v>2024</v>
      </c>
      <c r="B365">
        <v>4100</v>
      </c>
      <c r="C365" t="s">
        <v>43</v>
      </c>
      <c r="D365" t="s">
        <v>85</v>
      </c>
      <c r="E365">
        <v>8000</v>
      </c>
      <c r="F365">
        <v>14.1</v>
      </c>
      <c r="G365">
        <v>17.8</v>
      </c>
      <c r="H365">
        <v>6000</v>
      </c>
      <c r="I365">
        <v>1.9</v>
      </c>
      <c r="J365">
        <v>0.7</v>
      </c>
      <c r="K365">
        <v>14.3</v>
      </c>
    </row>
    <row r="366" spans="1:11" x14ac:dyDescent="0.2">
      <c r="A366">
        <v>2024</v>
      </c>
      <c r="B366">
        <v>4170</v>
      </c>
      <c r="C366" t="s">
        <v>44</v>
      </c>
      <c r="D366" t="s">
        <v>94</v>
      </c>
      <c r="E366">
        <v>34000</v>
      </c>
      <c r="F366">
        <v>3.1</v>
      </c>
      <c r="G366">
        <v>3.9</v>
      </c>
      <c r="H366">
        <v>175000</v>
      </c>
      <c r="I366">
        <v>3.6</v>
      </c>
      <c r="J366">
        <v>5.0999999999999996</v>
      </c>
      <c r="K366">
        <v>20.2</v>
      </c>
    </row>
    <row r="367" spans="1:11" x14ac:dyDescent="0.2">
      <c r="A367">
        <v>2024</v>
      </c>
      <c r="B367">
        <v>4170</v>
      </c>
      <c r="C367" t="s">
        <v>44</v>
      </c>
      <c r="D367" t="s">
        <v>74</v>
      </c>
      <c r="E367">
        <v>125000</v>
      </c>
      <c r="F367">
        <v>11.4</v>
      </c>
      <c r="G367">
        <v>14.1</v>
      </c>
      <c r="H367">
        <v>829000</v>
      </c>
      <c r="I367">
        <v>17.2</v>
      </c>
      <c r="J367">
        <v>6.6</v>
      </c>
      <c r="K367">
        <v>19.3</v>
      </c>
    </row>
    <row r="368" spans="1:11" x14ac:dyDescent="0.2">
      <c r="A368">
        <v>2024</v>
      </c>
      <c r="B368">
        <v>4170</v>
      </c>
      <c r="C368" t="s">
        <v>44</v>
      </c>
      <c r="D368" t="s">
        <v>75</v>
      </c>
      <c r="E368">
        <v>285000</v>
      </c>
      <c r="F368">
        <v>25.9</v>
      </c>
      <c r="G368">
        <v>32.1</v>
      </c>
      <c r="H368">
        <v>2191000</v>
      </c>
      <c r="I368">
        <v>45.4</v>
      </c>
      <c r="J368">
        <v>7.7</v>
      </c>
      <c r="K368">
        <v>18.600000000000001</v>
      </c>
    </row>
    <row r="369" spans="1:11" x14ac:dyDescent="0.2">
      <c r="A369">
        <v>2024</v>
      </c>
      <c r="B369">
        <v>4170</v>
      </c>
      <c r="C369" t="s">
        <v>44</v>
      </c>
      <c r="D369" t="s">
        <v>76</v>
      </c>
      <c r="E369">
        <v>138000</v>
      </c>
      <c r="F369">
        <v>12.6</v>
      </c>
      <c r="G369">
        <v>15.5</v>
      </c>
      <c r="H369">
        <v>1254000</v>
      </c>
      <c r="I369">
        <v>26</v>
      </c>
      <c r="J369">
        <v>9.1</v>
      </c>
      <c r="K369">
        <v>18.5</v>
      </c>
    </row>
    <row r="370" spans="1:11" x14ac:dyDescent="0.2">
      <c r="A370">
        <v>2024</v>
      </c>
      <c r="B370">
        <v>4170</v>
      </c>
      <c r="C370" t="s">
        <v>44</v>
      </c>
      <c r="D370" t="s">
        <v>77</v>
      </c>
      <c r="E370">
        <v>210000</v>
      </c>
      <c r="F370">
        <v>19.100000000000001</v>
      </c>
      <c r="H370">
        <v>139000</v>
      </c>
      <c r="I370">
        <v>2.9</v>
      </c>
      <c r="J370">
        <v>0.7</v>
      </c>
      <c r="K370">
        <v>9.6</v>
      </c>
    </row>
    <row r="371" spans="1:11" x14ac:dyDescent="0.2">
      <c r="A371">
        <v>2024</v>
      </c>
      <c r="B371">
        <v>4170</v>
      </c>
      <c r="C371" t="s">
        <v>44</v>
      </c>
      <c r="D371" t="s">
        <v>78</v>
      </c>
      <c r="E371">
        <v>306000</v>
      </c>
      <c r="F371">
        <v>27.9</v>
      </c>
      <c r="G371">
        <v>34.5</v>
      </c>
      <c r="H371">
        <v>235000</v>
      </c>
      <c r="I371">
        <v>4.9000000000000004</v>
      </c>
      <c r="J371">
        <v>0.8</v>
      </c>
      <c r="K371">
        <v>12.4</v>
      </c>
    </row>
    <row r="372" spans="1:11" x14ac:dyDescent="0.2">
      <c r="A372">
        <v>2024</v>
      </c>
      <c r="B372">
        <v>4400</v>
      </c>
      <c r="C372" t="s">
        <v>95</v>
      </c>
      <c r="D372" t="s">
        <v>80</v>
      </c>
      <c r="E372">
        <v>3000</v>
      </c>
      <c r="F372">
        <v>3.1</v>
      </c>
      <c r="G372">
        <v>3.2</v>
      </c>
      <c r="H372">
        <v>7000</v>
      </c>
      <c r="I372">
        <v>0.7</v>
      </c>
      <c r="J372">
        <v>2.7</v>
      </c>
      <c r="K372">
        <v>16.7</v>
      </c>
    </row>
    <row r="373" spans="1:11" x14ac:dyDescent="0.2">
      <c r="A373">
        <v>2024</v>
      </c>
      <c r="B373">
        <v>4400</v>
      </c>
      <c r="C373" t="s">
        <v>95</v>
      </c>
      <c r="D373" t="s">
        <v>87</v>
      </c>
      <c r="E373">
        <v>1000</v>
      </c>
      <c r="F373">
        <v>1.6</v>
      </c>
      <c r="G373">
        <v>1.6</v>
      </c>
      <c r="H373">
        <v>32000</v>
      </c>
      <c r="I373">
        <v>3.3</v>
      </c>
      <c r="J373">
        <v>22.9</v>
      </c>
      <c r="K373">
        <v>27.1</v>
      </c>
    </row>
    <row r="374" spans="1:11" x14ac:dyDescent="0.2">
      <c r="A374">
        <v>2024</v>
      </c>
      <c r="B374">
        <v>4400</v>
      </c>
      <c r="C374" t="s">
        <v>95</v>
      </c>
      <c r="D374" t="s">
        <v>75</v>
      </c>
      <c r="E374">
        <v>49000</v>
      </c>
      <c r="F374">
        <v>55.3</v>
      </c>
      <c r="G374">
        <v>57.7</v>
      </c>
      <c r="H374">
        <v>730000</v>
      </c>
      <c r="I374">
        <v>75</v>
      </c>
      <c r="J374">
        <v>14.9</v>
      </c>
      <c r="K374">
        <v>18.899999999999999</v>
      </c>
    </row>
    <row r="375" spans="1:11" x14ac:dyDescent="0.2">
      <c r="A375">
        <v>2024</v>
      </c>
      <c r="B375">
        <v>4400</v>
      </c>
      <c r="C375" t="s">
        <v>95</v>
      </c>
      <c r="D375" t="s">
        <v>83</v>
      </c>
      <c r="E375">
        <v>19000</v>
      </c>
      <c r="F375">
        <v>21.5</v>
      </c>
      <c r="G375">
        <v>22.5</v>
      </c>
      <c r="H375">
        <v>192000</v>
      </c>
      <c r="I375">
        <v>19.7</v>
      </c>
      <c r="J375">
        <v>10</v>
      </c>
      <c r="K375">
        <v>17.5</v>
      </c>
    </row>
    <row r="376" spans="1:11" x14ac:dyDescent="0.2">
      <c r="A376">
        <v>2024</v>
      </c>
      <c r="B376">
        <v>4400</v>
      </c>
      <c r="C376" t="s">
        <v>95</v>
      </c>
      <c r="D376" t="s">
        <v>84</v>
      </c>
      <c r="E376">
        <v>4000</v>
      </c>
      <c r="F376">
        <v>4.3</v>
      </c>
      <c r="H376">
        <v>2000</v>
      </c>
      <c r="I376">
        <v>0.2</v>
      </c>
      <c r="J376">
        <v>0.6</v>
      </c>
      <c r="K376">
        <v>8</v>
      </c>
    </row>
    <row r="377" spans="1:11" x14ac:dyDescent="0.2">
      <c r="A377">
        <v>2024</v>
      </c>
      <c r="B377">
        <v>4400</v>
      </c>
      <c r="C377" t="s">
        <v>95</v>
      </c>
      <c r="D377" t="s">
        <v>85</v>
      </c>
      <c r="E377">
        <v>13000</v>
      </c>
      <c r="F377">
        <v>14.3</v>
      </c>
      <c r="G377">
        <v>14.9</v>
      </c>
      <c r="H377">
        <v>10000</v>
      </c>
      <c r="I377">
        <v>1</v>
      </c>
      <c r="J377">
        <v>0.8</v>
      </c>
      <c r="K377">
        <v>10.7</v>
      </c>
    </row>
    <row r="378" spans="1:11" x14ac:dyDescent="0.2">
      <c r="A378">
        <v>2024</v>
      </c>
      <c r="B378">
        <v>4500</v>
      </c>
      <c r="C378" t="s">
        <v>96</v>
      </c>
      <c r="D378" t="s">
        <v>94</v>
      </c>
      <c r="E378">
        <v>10000</v>
      </c>
      <c r="F378">
        <v>1.5</v>
      </c>
      <c r="G378">
        <v>1.8</v>
      </c>
      <c r="H378">
        <v>96000</v>
      </c>
      <c r="I378">
        <v>2.1</v>
      </c>
      <c r="J378">
        <v>9.5</v>
      </c>
      <c r="K378">
        <v>29.1</v>
      </c>
    </row>
    <row r="379" spans="1:11" x14ac:dyDescent="0.2">
      <c r="A379">
        <v>2024</v>
      </c>
      <c r="B379">
        <v>4500</v>
      </c>
      <c r="C379" t="s">
        <v>96</v>
      </c>
      <c r="D379" t="s">
        <v>74</v>
      </c>
      <c r="E379">
        <v>76000</v>
      </c>
      <c r="F379">
        <v>11.2</v>
      </c>
      <c r="G379">
        <v>13.1</v>
      </c>
      <c r="H379">
        <v>853000</v>
      </c>
      <c r="I379">
        <v>18.7</v>
      </c>
      <c r="J379">
        <v>11.3</v>
      </c>
      <c r="K379">
        <v>22.3</v>
      </c>
    </row>
    <row r="380" spans="1:11" x14ac:dyDescent="0.2">
      <c r="A380">
        <v>2024</v>
      </c>
      <c r="B380">
        <v>4500</v>
      </c>
      <c r="C380" t="s">
        <v>96</v>
      </c>
      <c r="D380" t="s">
        <v>75</v>
      </c>
      <c r="E380">
        <v>271000</v>
      </c>
      <c r="F380">
        <v>40.1</v>
      </c>
      <c r="G380">
        <v>47</v>
      </c>
      <c r="H380">
        <v>2377000</v>
      </c>
      <c r="I380">
        <v>52.2</v>
      </c>
      <c r="J380">
        <v>8.8000000000000007</v>
      </c>
      <c r="K380">
        <v>17.899999999999999</v>
      </c>
    </row>
    <row r="381" spans="1:11" x14ac:dyDescent="0.2">
      <c r="A381">
        <v>2024</v>
      </c>
      <c r="B381">
        <v>4500</v>
      </c>
      <c r="C381" t="s">
        <v>96</v>
      </c>
      <c r="D381" t="s">
        <v>76</v>
      </c>
      <c r="E381">
        <v>131000</v>
      </c>
      <c r="F381">
        <v>19.399999999999999</v>
      </c>
      <c r="G381">
        <v>22.7</v>
      </c>
      <c r="H381">
        <v>1081000</v>
      </c>
      <c r="I381">
        <v>23.7</v>
      </c>
      <c r="J381">
        <v>8.3000000000000007</v>
      </c>
      <c r="K381">
        <v>15.8</v>
      </c>
    </row>
    <row r="382" spans="1:11" x14ac:dyDescent="0.2">
      <c r="A382">
        <v>2024</v>
      </c>
      <c r="B382">
        <v>4500</v>
      </c>
      <c r="C382" t="s">
        <v>96</v>
      </c>
      <c r="D382" t="s">
        <v>77</v>
      </c>
      <c r="E382">
        <v>99000</v>
      </c>
      <c r="F382">
        <v>14.6</v>
      </c>
      <c r="H382">
        <v>70000</v>
      </c>
      <c r="I382">
        <v>1.5</v>
      </c>
      <c r="J382">
        <v>0.7</v>
      </c>
      <c r="K382">
        <v>9.6</v>
      </c>
    </row>
    <row r="383" spans="1:11" x14ac:dyDescent="0.2">
      <c r="A383">
        <v>2024</v>
      </c>
      <c r="B383">
        <v>4500</v>
      </c>
      <c r="C383" t="s">
        <v>96</v>
      </c>
      <c r="D383" t="s">
        <v>78</v>
      </c>
      <c r="E383">
        <v>89000</v>
      </c>
      <c r="F383">
        <v>13.2</v>
      </c>
      <c r="G383">
        <v>15.4</v>
      </c>
      <c r="H383">
        <v>80000</v>
      </c>
      <c r="I383">
        <v>1.8</v>
      </c>
      <c r="J383">
        <v>0.9</v>
      </c>
      <c r="K383">
        <v>14</v>
      </c>
    </row>
    <row r="384" spans="1:11" x14ac:dyDescent="0.2">
      <c r="A384">
        <v>2024</v>
      </c>
      <c r="B384">
        <v>4650</v>
      </c>
      <c r="C384" t="s">
        <v>97</v>
      </c>
      <c r="D384" t="s">
        <v>73</v>
      </c>
      <c r="E384">
        <v>7000</v>
      </c>
      <c r="F384">
        <v>0.9</v>
      </c>
      <c r="G384">
        <v>1</v>
      </c>
      <c r="H384">
        <v>31000</v>
      </c>
      <c r="I384">
        <v>0.4</v>
      </c>
      <c r="J384">
        <v>4.5</v>
      </c>
      <c r="K384">
        <v>14.9</v>
      </c>
    </row>
    <row r="385" spans="1:11" x14ac:dyDescent="0.2">
      <c r="A385">
        <v>2024</v>
      </c>
      <c r="B385">
        <v>4650</v>
      </c>
      <c r="C385" t="s">
        <v>97</v>
      </c>
      <c r="D385" t="s">
        <v>74</v>
      </c>
      <c r="E385">
        <v>37000</v>
      </c>
      <c r="F385">
        <v>5</v>
      </c>
      <c r="G385">
        <v>5.5</v>
      </c>
      <c r="H385">
        <v>707000</v>
      </c>
      <c r="I385">
        <v>10.3</v>
      </c>
      <c r="J385">
        <v>19.2</v>
      </c>
      <c r="K385">
        <v>31.3</v>
      </c>
    </row>
    <row r="386" spans="1:11" x14ac:dyDescent="0.2">
      <c r="A386">
        <v>2024</v>
      </c>
      <c r="B386">
        <v>4650</v>
      </c>
      <c r="C386" t="s">
        <v>97</v>
      </c>
      <c r="D386" t="s">
        <v>75</v>
      </c>
      <c r="E386">
        <v>400000</v>
      </c>
      <c r="F386">
        <v>54.7</v>
      </c>
      <c r="G386">
        <v>59.3</v>
      </c>
      <c r="H386">
        <v>4475000</v>
      </c>
      <c r="I386">
        <v>65.099999999999994</v>
      </c>
      <c r="J386">
        <v>11.2</v>
      </c>
      <c r="K386">
        <v>18.2</v>
      </c>
    </row>
    <row r="387" spans="1:11" x14ac:dyDescent="0.2">
      <c r="A387">
        <v>2024</v>
      </c>
      <c r="B387">
        <v>4650</v>
      </c>
      <c r="C387" t="s">
        <v>97</v>
      </c>
      <c r="D387" t="s">
        <v>76</v>
      </c>
      <c r="E387">
        <v>151000</v>
      </c>
      <c r="F387">
        <v>20.6</v>
      </c>
      <c r="G387">
        <v>22.4</v>
      </c>
      <c r="H387">
        <v>1519000</v>
      </c>
      <c r="I387">
        <v>22.1</v>
      </c>
      <c r="J387">
        <v>10</v>
      </c>
      <c r="K387">
        <v>16.7</v>
      </c>
    </row>
    <row r="388" spans="1:11" x14ac:dyDescent="0.2">
      <c r="A388">
        <v>2024</v>
      </c>
      <c r="B388">
        <v>4650</v>
      </c>
      <c r="C388" t="s">
        <v>97</v>
      </c>
      <c r="D388" t="s">
        <v>77</v>
      </c>
      <c r="E388">
        <v>57000</v>
      </c>
      <c r="F388">
        <v>7.8</v>
      </c>
      <c r="H388">
        <v>72000</v>
      </c>
      <c r="I388">
        <v>1</v>
      </c>
      <c r="J388">
        <v>1.3</v>
      </c>
      <c r="K388">
        <v>14.7</v>
      </c>
    </row>
    <row r="389" spans="1:11" x14ac:dyDescent="0.2">
      <c r="A389">
        <v>2024</v>
      </c>
      <c r="B389">
        <v>4650</v>
      </c>
      <c r="C389" t="s">
        <v>97</v>
      </c>
      <c r="D389" t="s">
        <v>78</v>
      </c>
      <c r="E389">
        <v>80000</v>
      </c>
      <c r="F389">
        <v>10.9</v>
      </c>
      <c r="G389">
        <v>11.9</v>
      </c>
      <c r="H389">
        <v>70000</v>
      </c>
      <c r="I389">
        <v>1</v>
      </c>
      <c r="J389">
        <v>0.9</v>
      </c>
      <c r="K389">
        <v>13.9</v>
      </c>
    </row>
    <row r="390" spans="1:11" x14ac:dyDescent="0.2">
      <c r="A390">
        <v>2024</v>
      </c>
      <c r="B390">
        <v>4700</v>
      </c>
      <c r="C390" t="s">
        <v>45</v>
      </c>
      <c r="D390" t="s">
        <v>80</v>
      </c>
      <c r="E390">
        <v>3000</v>
      </c>
      <c r="F390">
        <v>1.3</v>
      </c>
      <c r="G390">
        <v>1.6</v>
      </c>
      <c r="H390">
        <v>19000</v>
      </c>
      <c r="I390">
        <v>1.7</v>
      </c>
      <c r="J390">
        <v>6.5</v>
      </c>
      <c r="K390">
        <v>13</v>
      </c>
    </row>
    <row r="391" spans="1:11" x14ac:dyDescent="0.2">
      <c r="A391">
        <v>2024</v>
      </c>
      <c r="B391">
        <v>4700</v>
      </c>
      <c r="C391" t="s">
        <v>45</v>
      </c>
      <c r="D391" t="s">
        <v>74</v>
      </c>
      <c r="E391">
        <v>26000</v>
      </c>
      <c r="F391">
        <v>11.9</v>
      </c>
      <c r="G391">
        <v>14.6</v>
      </c>
      <c r="H391">
        <v>200000</v>
      </c>
      <c r="I391">
        <v>17.600000000000001</v>
      </c>
      <c r="J391">
        <v>7.6</v>
      </c>
      <c r="K391">
        <v>21.3</v>
      </c>
    </row>
    <row r="392" spans="1:11" x14ac:dyDescent="0.2">
      <c r="A392">
        <v>2024</v>
      </c>
      <c r="B392">
        <v>4700</v>
      </c>
      <c r="C392" t="s">
        <v>45</v>
      </c>
      <c r="D392" t="s">
        <v>75</v>
      </c>
      <c r="E392">
        <v>78000</v>
      </c>
      <c r="F392">
        <v>35.200000000000003</v>
      </c>
      <c r="G392">
        <v>43.2</v>
      </c>
      <c r="H392">
        <v>646000</v>
      </c>
      <c r="I392">
        <v>56.8</v>
      </c>
      <c r="J392">
        <v>8.3000000000000007</v>
      </c>
      <c r="K392">
        <v>17</v>
      </c>
    </row>
    <row r="393" spans="1:11" x14ac:dyDescent="0.2">
      <c r="A393">
        <v>2024</v>
      </c>
      <c r="B393">
        <v>4700</v>
      </c>
      <c r="C393" t="s">
        <v>45</v>
      </c>
      <c r="D393" t="s">
        <v>76</v>
      </c>
      <c r="E393">
        <v>37000</v>
      </c>
      <c r="F393">
        <v>16.7</v>
      </c>
      <c r="G393">
        <v>20.5</v>
      </c>
      <c r="H393">
        <v>211000</v>
      </c>
      <c r="I393">
        <v>18.5</v>
      </c>
      <c r="J393">
        <v>5.7</v>
      </c>
      <c r="K393">
        <v>15.1</v>
      </c>
    </row>
    <row r="394" spans="1:11" x14ac:dyDescent="0.2">
      <c r="A394">
        <v>2024</v>
      </c>
      <c r="B394">
        <v>4700</v>
      </c>
      <c r="C394" t="s">
        <v>45</v>
      </c>
      <c r="D394" t="s">
        <v>77</v>
      </c>
      <c r="E394">
        <v>41000</v>
      </c>
      <c r="F394">
        <v>18.5</v>
      </c>
      <c r="H394">
        <v>25000</v>
      </c>
      <c r="I394">
        <v>2.2000000000000002</v>
      </c>
      <c r="J394">
        <v>0.6</v>
      </c>
      <c r="K394">
        <v>9</v>
      </c>
    </row>
    <row r="395" spans="1:11" x14ac:dyDescent="0.2">
      <c r="A395">
        <v>2024</v>
      </c>
      <c r="B395">
        <v>4700</v>
      </c>
      <c r="C395" t="s">
        <v>45</v>
      </c>
      <c r="D395" t="s">
        <v>78</v>
      </c>
      <c r="E395">
        <v>36000</v>
      </c>
      <c r="F395">
        <v>16.399999999999999</v>
      </c>
      <c r="G395">
        <v>20.100000000000001</v>
      </c>
      <c r="H395">
        <v>36000</v>
      </c>
      <c r="I395">
        <v>3.2</v>
      </c>
      <c r="J395">
        <v>1</v>
      </c>
      <c r="K395">
        <v>10.8</v>
      </c>
    </row>
    <row r="396" spans="1:11" x14ac:dyDescent="0.2">
      <c r="A396">
        <v>2024</v>
      </c>
      <c r="B396">
        <v>4900</v>
      </c>
      <c r="C396" t="s">
        <v>46</v>
      </c>
      <c r="D396" t="s">
        <v>80</v>
      </c>
      <c r="E396">
        <v>4000</v>
      </c>
      <c r="F396">
        <v>0.5</v>
      </c>
      <c r="G396">
        <v>0.6</v>
      </c>
      <c r="H396">
        <v>8000</v>
      </c>
      <c r="I396">
        <v>0.1</v>
      </c>
      <c r="J396">
        <v>2.2999999999999998</v>
      </c>
      <c r="K396">
        <v>27.1</v>
      </c>
    </row>
    <row r="397" spans="1:11" x14ac:dyDescent="0.2">
      <c r="A397">
        <v>2024</v>
      </c>
      <c r="B397">
        <v>4900</v>
      </c>
      <c r="C397" t="s">
        <v>46</v>
      </c>
      <c r="D397" t="s">
        <v>81</v>
      </c>
      <c r="E397">
        <v>65000</v>
      </c>
      <c r="F397">
        <v>8.6999999999999993</v>
      </c>
      <c r="G397">
        <v>10</v>
      </c>
      <c r="H397">
        <v>851000</v>
      </c>
      <c r="I397">
        <v>13</v>
      </c>
      <c r="J397">
        <v>13.1</v>
      </c>
      <c r="K397">
        <v>29.1</v>
      </c>
    </row>
    <row r="398" spans="1:11" x14ac:dyDescent="0.2">
      <c r="A398">
        <v>2024</v>
      </c>
      <c r="B398">
        <v>4900</v>
      </c>
      <c r="C398" t="s">
        <v>46</v>
      </c>
      <c r="D398" t="s">
        <v>75</v>
      </c>
      <c r="E398">
        <v>361000</v>
      </c>
      <c r="F398">
        <v>48.3</v>
      </c>
      <c r="G398">
        <v>55.8</v>
      </c>
      <c r="H398">
        <v>4308000</v>
      </c>
      <c r="I398">
        <v>65.8</v>
      </c>
      <c r="J398">
        <v>11.9</v>
      </c>
      <c r="K398">
        <v>24.3</v>
      </c>
    </row>
    <row r="399" spans="1:11" x14ac:dyDescent="0.2">
      <c r="A399">
        <v>2024</v>
      </c>
      <c r="B399">
        <v>4900</v>
      </c>
      <c r="C399" t="s">
        <v>46</v>
      </c>
      <c r="D399" t="s">
        <v>76</v>
      </c>
      <c r="E399">
        <v>158000</v>
      </c>
      <c r="F399">
        <v>21.2</v>
      </c>
      <c r="G399">
        <v>24.5</v>
      </c>
      <c r="H399">
        <v>1286000</v>
      </c>
      <c r="I399">
        <v>19.600000000000001</v>
      </c>
      <c r="J399">
        <v>8.1</v>
      </c>
      <c r="K399">
        <v>21.6</v>
      </c>
    </row>
    <row r="400" spans="1:11" x14ac:dyDescent="0.2">
      <c r="A400">
        <v>2024</v>
      </c>
      <c r="B400">
        <v>4900</v>
      </c>
      <c r="C400" t="s">
        <v>46</v>
      </c>
      <c r="D400" t="s">
        <v>84</v>
      </c>
      <c r="E400">
        <v>101000</v>
      </c>
      <c r="F400">
        <v>13.5</v>
      </c>
      <c r="H400">
        <v>59000</v>
      </c>
      <c r="I400">
        <v>0.9</v>
      </c>
      <c r="J400">
        <v>0.6</v>
      </c>
      <c r="K400">
        <v>7.2</v>
      </c>
    </row>
    <row r="401" spans="1:11" x14ac:dyDescent="0.2">
      <c r="A401">
        <v>2024</v>
      </c>
      <c r="B401">
        <v>4900</v>
      </c>
      <c r="C401" t="s">
        <v>46</v>
      </c>
      <c r="D401" t="s">
        <v>85</v>
      </c>
      <c r="E401">
        <v>59000</v>
      </c>
      <c r="F401">
        <v>7.9</v>
      </c>
      <c r="G401">
        <v>9.1999999999999993</v>
      </c>
      <c r="H401">
        <v>39000</v>
      </c>
      <c r="I401">
        <v>0.6</v>
      </c>
      <c r="J401">
        <v>0.7</v>
      </c>
      <c r="K401">
        <v>10.199999999999999</v>
      </c>
    </row>
    <row r="402" spans="1:11" x14ac:dyDescent="0.2">
      <c r="A402">
        <v>2024</v>
      </c>
      <c r="B402">
        <v>5050</v>
      </c>
      <c r="C402" t="s">
        <v>98</v>
      </c>
      <c r="D402" t="s">
        <v>73</v>
      </c>
      <c r="E402">
        <v>4000</v>
      </c>
      <c r="F402">
        <v>1</v>
      </c>
      <c r="G402">
        <v>1.1000000000000001</v>
      </c>
      <c r="H402">
        <v>18000</v>
      </c>
      <c r="I402">
        <v>0.4</v>
      </c>
      <c r="J402">
        <v>4.5999999999999996</v>
      </c>
      <c r="K402">
        <v>20.6</v>
      </c>
    </row>
    <row r="403" spans="1:11" x14ac:dyDescent="0.2">
      <c r="A403">
        <v>2024</v>
      </c>
      <c r="B403">
        <v>5050</v>
      </c>
      <c r="C403" t="s">
        <v>98</v>
      </c>
      <c r="D403" t="s">
        <v>81</v>
      </c>
      <c r="E403">
        <v>3000</v>
      </c>
      <c r="F403">
        <v>0.9</v>
      </c>
      <c r="G403">
        <v>1</v>
      </c>
      <c r="H403">
        <v>49000</v>
      </c>
      <c r="I403">
        <v>1.2</v>
      </c>
      <c r="J403">
        <v>14</v>
      </c>
      <c r="K403">
        <v>25.7</v>
      </c>
    </row>
    <row r="404" spans="1:11" x14ac:dyDescent="0.2">
      <c r="A404">
        <v>2024</v>
      </c>
      <c r="B404">
        <v>5050</v>
      </c>
      <c r="C404" t="s">
        <v>98</v>
      </c>
      <c r="D404" t="s">
        <v>75</v>
      </c>
      <c r="E404">
        <v>196000</v>
      </c>
      <c r="F404">
        <v>53</v>
      </c>
      <c r="G404">
        <v>53.4</v>
      </c>
      <c r="H404">
        <v>2828000</v>
      </c>
      <c r="I404">
        <v>69.400000000000006</v>
      </c>
      <c r="J404">
        <v>14.4</v>
      </c>
      <c r="K404">
        <v>20.5</v>
      </c>
    </row>
    <row r="405" spans="1:11" x14ac:dyDescent="0.2">
      <c r="A405">
        <v>2024</v>
      </c>
      <c r="B405">
        <v>5050</v>
      </c>
      <c r="C405" t="s">
        <v>98</v>
      </c>
      <c r="D405" t="s">
        <v>83</v>
      </c>
      <c r="E405">
        <v>125000</v>
      </c>
      <c r="F405">
        <v>33.799999999999997</v>
      </c>
      <c r="G405">
        <v>34.1</v>
      </c>
      <c r="H405">
        <v>1158000</v>
      </c>
      <c r="I405">
        <v>28.4</v>
      </c>
      <c r="J405">
        <v>9.3000000000000007</v>
      </c>
      <c r="K405">
        <v>16.2</v>
      </c>
    </row>
    <row r="406" spans="1:11" x14ac:dyDescent="0.2">
      <c r="A406">
        <v>2024</v>
      </c>
      <c r="B406">
        <v>5050</v>
      </c>
      <c r="C406" t="s">
        <v>98</v>
      </c>
      <c r="D406" t="s">
        <v>84</v>
      </c>
      <c r="E406">
        <v>3000</v>
      </c>
      <c r="F406">
        <v>0.9</v>
      </c>
      <c r="H406">
        <v>3000</v>
      </c>
      <c r="I406">
        <v>0.1</v>
      </c>
      <c r="J406">
        <v>1</v>
      </c>
      <c r="K406">
        <v>9.1</v>
      </c>
    </row>
    <row r="407" spans="1:11" x14ac:dyDescent="0.2">
      <c r="A407">
        <v>2024</v>
      </c>
      <c r="B407">
        <v>5050</v>
      </c>
      <c r="C407" t="s">
        <v>98</v>
      </c>
      <c r="D407" t="s">
        <v>85</v>
      </c>
      <c r="E407">
        <v>39000</v>
      </c>
      <c r="F407">
        <v>10.4</v>
      </c>
      <c r="G407">
        <v>10.5</v>
      </c>
      <c r="H407">
        <v>19000</v>
      </c>
      <c r="I407">
        <v>0.5</v>
      </c>
      <c r="J407">
        <v>0.5</v>
      </c>
      <c r="K407">
        <v>11.9</v>
      </c>
    </row>
    <row r="408" spans="1:11" x14ac:dyDescent="0.2">
      <c r="A408">
        <v>2024</v>
      </c>
      <c r="B408">
        <v>5350</v>
      </c>
      <c r="C408" t="s">
        <v>47</v>
      </c>
      <c r="D408" t="s">
        <v>73</v>
      </c>
      <c r="E408">
        <v>2000</v>
      </c>
      <c r="F408">
        <v>1.6</v>
      </c>
      <c r="G408">
        <v>1.9</v>
      </c>
      <c r="H408">
        <v>21000</v>
      </c>
      <c r="I408">
        <v>2.6</v>
      </c>
      <c r="J408">
        <v>8.6</v>
      </c>
      <c r="K408">
        <v>24.5</v>
      </c>
    </row>
    <row r="409" spans="1:11" x14ac:dyDescent="0.2">
      <c r="A409">
        <v>2024</v>
      </c>
      <c r="B409">
        <v>5350</v>
      </c>
      <c r="C409" t="s">
        <v>47</v>
      </c>
      <c r="D409" t="s">
        <v>74</v>
      </c>
      <c r="E409">
        <v>10000</v>
      </c>
      <c r="F409">
        <v>6.8</v>
      </c>
      <c r="G409">
        <v>7.8</v>
      </c>
      <c r="H409">
        <v>75000</v>
      </c>
      <c r="I409">
        <v>9.1</v>
      </c>
      <c r="J409">
        <v>7.2</v>
      </c>
      <c r="K409">
        <v>22</v>
      </c>
    </row>
    <row r="410" spans="1:11" x14ac:dyDescent="0.2">
      <c r="A410">
        <v>2024</v>
      </c>
      <c r="B410">
        <v>5350</v>
      </c>
      <c r="C410" t="s">
        <v>47</v>
      </c>
      <c r="D410" t="s">
        <v>75</v>
      </c>
      <c r="E410">
        <v>58000</v>
      </c>
      <c r="F410">
        <v>38.200000000000003</v>
      </c>
      <c r="G410">
        <v>43.7</v>
      </c>
      <c r="H410">
        <v>547000</v>
      </c>
      <c r="I410">
        <v>66.400000000000006</v>
      </c>
      <c r="J410">
        <v>9.4</v>
      </c>
      <c r="K410">
        <v>18.7</v>
      </c>
    </row>
    <row r="411" spans="1:11" x14ac:dyDescent="0.2">
      <c r="A411">
        <v>2024</v>
      </c>
      <c r="B411">
        <v>5350</v>
      </c>
      <c r="C411" t="s">
        <v>47</v>
      </c>
      <c r="D411" t="s">
        <v>83</v>
      </c>
      <c r="E411">
        <v>23000</v>
      </c>
      <c r="F411">
        <v>15.3</v>
      </c>
      <c r="G411">
        <v>17.5</v>
      </c>
      <c r="H411">
        <v>145000</v>
      </c>
      <c r="I411">
        <v>17.600000000000001</v>
      </c>
      <c r="J411">
        <v>6.2</v>
      </c>
      <c r="K411">
        <v>16.5</v>
      </c>
    </row>
    <row r="412" spans="1:11" x14ac:dyDescent="0.2">
      <c r="A412">
        <v>2024</v>
      </c>
      <c r="B412">
        <v>5350</v>
      </c>
      <c r="C412" t="s">
        <v>47</v>
      </c>
      <c r="D412" t="s">
        <v>77</v>
      </c>
      <c r="E412">
        <v>19000</v>
      </c>
      <c r="F412">
        <v>12.6</v>
      </c>
      <c r="H412">
        <v>10000</v>
      </c>
      <c r="I412">
        <v>1.2</v>
      </c>
      <c r="J412">
        <v>0.5</v>
      </c>
      <c r="K412">
        <v>7.8</v>
      </c>
    </row>
    <row r="413" spans="1:11" x14ac:dyDescent="0.2">
      <c r="A413">
        <v>2024</v>
      </c>
      <c r="B413">
        <v>5350</v>
      </c>
      <c r="C413" t="s">
        <v>47</v>
      </c>
      <c r="D413" t="s">
        <v>85</v>
      </c>
      <c r="E413">
        <v>39000</v>
      </c>
      <c r="F413">
        <v>25.4</v>
      </c>
      <c r="G413">
        <v>29.1</v>
      </c>
      <c r="H413">
        <v>26000</v>
      </c>
      <c r="I413">
        <v>3.2</v>
      </c>
      <c r="J413">
        <v>0.7</v>
      </c>
      <c r="K413">
        <v>12.5</v>
      </c>
    </row>
    <row r="414" spans="1:11" x14ac:dyDescent="0.2">
      <c r="A414">
        <v>2024</v>
      </c>
      <c r="B414">
        <v>5900</v>
      </c>
      <c r="C414" t="s">
        <v>99</v>
      </c>
      <c r="D414" t="s">
        <v>94</v>
      </c>
      <c r="E414">
        <v>16000</v>
      </c>
      <c r="F414">
        <v>2.9</v>
      </c>
      <c r="G414">
        <v>3</v>
      </c>
      <c r="H414">
        <v>77000</v>
      </c>
      <c r="I414">
        <v>1.5</v>
      </c>
      <c r="J414">
        <v>4.7</v>
      </c>
      <c r="K414">
        <v>19</v>
      </c>
    </row>
    <row r="415" spans="1:11" x14ac:dyDescent="0.2">
      <c r="A415">
        <v>2024</v>
      </c>
      <c r="B415">
        <v>5900</v>
      </c>
      <c r="C415" t="s">
        <v>99</v>
      </c>
      <c r="D415" t="s">
        <v>74</v>
      </c>
      <c r="E415">
        <v>15000</v>
      </c>
      <c r="F415">
        <v>2.6</v>
      </c>
      <c r="G415">
        <v>2.7</v>
      </c>
      <c r="H415">
        <v>362000</v>
      </c>
      <c r="I415">
        <v>7.3</v>
      </c>
      <c r="J415">
        <v>24.5</v>
      </c>
      <c r="K415">
        <v>37.700000000000003</v>
      </c>
    </row>
    <row r="416" spans="1:11" x14ac:dyDescent="0.2">
      <c r="A416">
        <v>2024</v>
      </c>
      <c r="B416">
        <v>5900</v>
      </c>
      <c r="C416" t="s">
        <v>99</v>
      </c>
      <c r="D416" t="s">
        <v>75</v>
      </c>
      <c r="E416">
        <v>317000</v>
      </c>
      <c r="F416">
        <v>55.9</v>
      </c>
      <c r="G416">
        <v>58.6</v>
      </c>
      <c r="H416">
        <v>3432000</v>
      </c>
      <c r="I416">
        <v>69.099999999999994</v>
      </c>
      <c r="J416">
        <v>10.8</v>
      </c>
      <c r="K416">
        <v>17.600000000000001</v>
      </c>
    </row>
    <row r="417" spans="1:11" x14ac:dyDescent="0.2">
      <c r="A417">
        <v>2024</v>
      </c>
      <c r="B417">
        <v>5900</v>
      </c>
      <c r="C417" t="s">
        <v>99</v>
      </c>
      <c r="D417" t="s">
        <v>76</v>
      </c>
      <c r="E417">
        <v>109000</v>
      </c>
      <c r="F417">
        <v>19.2</v>
      </c>
      <c r="G417">
        <v>20.100000000000001</v>
      </c>
      <c r="H417">
        <v>1020000</v>
      </c>
      <c r="I417">
        <v>20.5</v>
      </c>
      <c r="J417">
        <v>9.4</v>
      </c>
      <c r="K417">
        <v>15</v>
      </c>
    </row>
    <row r="418" spans="1:11" x14ac:dyDescent="0.2">
      <c r="A418">
        <v>2024</v>
      </c>
      <c r="B418">
        <v>5900</v>
      </c>
      <c r="C418" t="s">
        <v>99</v>
      </c>
      <c r="D418" t="s">
        <v>77</v>
      </c>
      <c r="E418">
        <v>26000</v>
      </c>
      <c r="F418">
        <v>4.5</v>
      </c>
      <c r="H418">
        <v>17000</v>
      </c>
      <c r="I418">
        <v>0.3</v>
      </c>
      <c r="J418">
        <v>0.7</v>
      </c>
      <c r="K418">
        <v>13.8</v>
      </c>
    </row>
    <row r="419" spans="1:11" x14ac:dyDescent="0.2">
      <c r="A419">
        <v>2024</v>
      </c>
      <c r="B419">
        <v>5900</v>
      </c>
      <c r="C419" t="s">
        <v>99</v>
      </c>
      <c r="D419" t="s">
        <v>78</v>
      </c>
      <c r="E419">
        <v>84000</v>
      </c>
      <c r="F419">
        <v>14.9</v>
      </c>
      <c r="G419">
        <v>15.6</v>
      </c>
      <c r="H419">
        <v>60000</v>
      </c>
      <c r="I419">
        <v>1.2</v>
      </c>
      <c r="J419">
        <v>0.7</v>
      </c>
      <c r="K419">
        <v>12.2</v>
      </c>
    </row>
    <row r="420" spans="1:11" x14ac:dyDescent="0.2">
      <c r="A420">
        <v>2024</v>
      </c>
      <c r="B420">
        <v>5950</v>
      </c>
      <c r="C420" t="s">
        <v>48</v>
      </c>
      <c r="D420" t="s">
        <v>80</v>
      </c>
      <c r="E420">
        <v>3000</v>
      </c>
      <c r="F420">
        <v>0.6</v>
      </c>
      <c r="G420">
        <v>0.8</v>
      </c>
      <c r="H420">
        <v>20000</v>
      </c>
      <c r="I420">
        <v>1.3</v>
      </c>
      <c r="J420">
        <v>7.6</v>
      </c>
      <c r="K420">
        <v>20.399999999999999</v>
      </c>
    </row>
    <row r="421" spans="1:11" x14ac:dyDescent="0.2">
      <c r="A421">
        <v>2024</v>
      </c>
      <c r="B421">
        <v>5950</v>
      </c>
      <c r="C421" t="s">
        <v>48</v>
      </c>
      <c r="D421" t="s">
        <v>74</v>
      </c>
      <c r="E421">
        <v>47000</v>
      </c>
      <c r="F421">
        <v>11.7</v>
      </c>
      <c r="G421">
        <v>14.9</v>
      </c>
      <c r="H421">
        <v>305000</v>
      </c>
      <c r="I421">
        <v>21</v>
      </c>
      <c r="J421">
        <v>6.5</v>
      </c>
      <c r="K421">
        <v>15.9</v>
      </c>
    </row>
    <row r="422" spans="1:11" x14ac:dyDescent="0.2">
      <c r="A422">
        <v>2024</v>
      </c>
      <c r="B422">
        <v>5950</v>
      </c>
      <c r="C422" t="s">
        <v>48</v>
      </c>
      <c r="D422" t="s">
        <v>75</v>
      </c>
      <c r="E422">
        <v>104000</v>
      </c>
      <c r="F422">
        <v>25.6</v>
      </c>
      <c r="G422">
        <v>32.700000000000003</v>
      </c>
      <c r="H422">
        <v>801000</v>
      </c>
      <c r="I422">
        <v>55.3</v>
      </c>
      <c r="J422">
        <v>7.7</v>
      </c>
      <c r="K422">
        <v>16.7</v>
      </c>
    </row>
    <row r="423" spans="1:11" x14ac:dyDescent="0.2">
      <c r="A423">
        <v>2024</v>
      </c>
      <c r="B423">
        <v>5950</v>
      </c>
      <c r="C423" t="s">
        <v>48</v>
      </c>
      <c r="D423" t="s">
        <v>76</v>
      </c>
      <c r="E423">
        <v>26000</v>
      </c>
      <c r="F423">
        <v>6.6</v>
      </c>
      <c r="G423">
        <v>8.4</v>
      </c>
      <c r="H423">
        <v>162000</v>
      </c>
      <c r="I423">
        <v>11.1</v>
      </c>
      <c r="J423">
        <v>6.1</v>
      </c>
      <c r="K423">
        <v>14.8</v>
      </c>
    </row>
    <row r="424" spans="1:11" x14ac:dyDescent="0.2">
      <c r="A424">
        <v>2024</v>
      </c>
      <c r="B424">
        <v>5950</v>
      </c>
      <c r="C424" t="s">
        <v>48</v>
      </c>
      <c r="D424" t="s">
        <v>77</v>
      </c>
      <c r="E424">
        <v>88000</v>
      </c>
      <c r="F424">
        <v>21.7</v>
      </c>
      <c r="H424">
        <v>52000</v>
      </c>
      <c r="I424">
        <v>3.6</v>
      </c>
      <c r="J424">
        <v>0.6</v>
      </c>
      <c r="K424">
        <v>8.3000000000000007</v>
      </c>
    </row>
    <row r="425" spans="1:11" x14ac:dyDescent="0.2">
      <c r="A425">
        <v>2024</v>
      </c>
      <c r="B425">
        <v>5950</v>
      </c>
      <c r="C425" t="s">
        <v>48</v>
      </c>
      <c r="D425" t="s">
        <v>85</v>
      </c>
      <c r="E425">
        <v>136000</v>
      </c>
      <c r="F425">
        <v>33.799999999999997</v>
      </c>
      <c r="G425">
        <v>43.1</v>
      </c>
      <c r="H425">
        <v>110000</v>
      </c>
      <c r="I425">
        <v>7.6</v>
      </c>
      <c r="J425">
        <v>0.8</v>
      </c>
      <c r="K425">
        <v>13.3</v>
      </c>
    </row>
    <row r="426" spans="1:11" x14ac:dyDescent="0.2">
      <c r="A426">
        <v>2024</v>
      </c>
      <c r="B426">
        <v>5990</v>
      </c>
      <c r="C426" t="s">
        <v>100</v>
      </c>
      <c r="D426" t="s">
        <v>73</v>
      </c>
      <c r="E426">
        <v>39000</v>
      </c>
      <c r="F426">
        <v>2.8</v>
      </c>
      <c r="G426">
        <v>3.2</v>
      </c>
      <c r="H426">
        <v>158000</v>
      </c>
      <c r="I426">
        <v>2</v>
      </c>
      <c r="J426">
        <v>4.0999999999999996</v>
      </c>
      <c r="K426">
        <v>19</v>
      </c>
    </row>
    <row r="427" spans="1:11" x14ac:dyDescent="0.2">
      <c r="A427">
        <v>2024</v>
      </c>
      <c r="B427">
        <v>5990</v>
      </c>
      <c r="C427" t="s">
        <v>100</v>
      </c>
      <c r="D427" t="s">
        <v>74</v>
      </c>
      <c r="E427">
        <v>118000</v>
      </c>
      <c r="F427">
        <v>8.6</v>
      </c>
      <c r="G427">
        <v>9.9</v>
      </c>
      <c r="H427">
        <v>1284000</v>
      </c>
      <c r="I427">
        <v>16.100000000000001</v>
      </c>
      <c r="J427">
        <v>10.9</v>
      </c>
      <c r="K427">
        <v>32.299999999999997</v>
      </c>
    </row>
    <row r="428" spans="1:11" x14ac:dyDescent="0.2">
      <c r="A428">
        <v>2024</v>
      </c>
      <c r="B428">
        <v>5990</v>
      </c>
      <c r="C428" t="s">
        <v>100</v>
      </c>
      <c r="D428" t="s">
        <v>75</v>
      </c>
      <c r="E428">
        <v>566000</v>
      </c>
      <c r="F428">
        <v>41.4</v>
      </c>
      <c r="G428">
        <v>47.2</v>
      </c>
      <c r="H428">
        <v>4509000</v>
      </c>
      <c r="I428">
        <v>56.6</v>
      </c>
      <c r="J428">
        <v>8</v>
      </c>
      <c r="K428">
        <v>18.2</v>
      </c>
    </row>
    <row r="429" spans="1:11" x14ac:dyDescent="0.2">
      <c r="A429">
        <v>2024</v>
      </c>
      <c r="B429">
        <v>5990</v>
      </c>
      <c r="C429" t="s">
        <v>100</v>
      </c>
      <c r="D429" t="s">
        <v>76</v>
      </c>
      <c r="E429">
        <v>244000</v>
      </c>
      <c r="F429">
        <v>17.899999999999999</v>
      </c>
      <c r="G429">
        <v>20.399999999999999</v>
      </c>
      <c r="H429">
        <v>1729000</v>
      </c>
      <c r="I429">
        <v>21.7</v>
      </c>
      <c r="J429">
        <v>7.1</v>
      </c>
      <c r="K429">
        <v>15.4</v>
      </c>
    </row>
    <row r="430" spans="1:11" x14ac:dyDescent="0.2">
      <c r="A430">
        <v>2024</v>
      </c>
      <c r="B430">
        <v>5990</v>
      </c>
      <c r="C430" t="s">
        <v>100</v>
      </c>
      <c r="D430" t="s">
        <v>77</v>
      </c>
      <c r="E430">
        <v>169000</v>
      </c>
      <c r="F430">
        <v>12.3</v>
      </c>
      <c r="H430">
        <v>104000</v>
      </c>
      <c r="I430">
        <v>1.3</v>
      </c>
      <c r="J430">
        <v>0.6</v>
      </c>
      <c r="K430">
        <v>9.1</v>
      </c>
    </row>
    <row r="431" spans="1:11" x14ac:dyDescent="0.2">
      <c r="A431">
        <v>2024</v>
      </c>
      <c r="B431">
        <v>5990</v>
      </c>
      <c r="C431" t="s">
        <v>100</v>
      </c>
      <c r="D431" t="s">
        <v>78</v>
      </c>
      <c r="E431">
        <v>231000</v>
      </c>
      <c r="F431">
        <v>16.899999999999999</v>
      </c>
      <c r="G431">
        <v>19.3</v>
      </c>
      <c r="H431">
        <v>186000</v>
      </c>
      <c r="I431">
        <v>2.2999999999999998</v>
      </c>
      <c r="J431">
        <v>0.8</v>
      </c>
      <c r="K431">
        <v>13</v>
      </c>
    </row>
    <row r="432" spans="1:11" x14ac:dyDescent="0.2">
      <c r="A432">
        <v>2024</v>
      </c>
      <c r="B432">
        <v>6260</v>
      </c>
      <c r="C432" t="s">
        <v>49</v>
      </c>
      <c r="D432" t="s">
        <v>73</v>
      </c>
      <c r="E432">
        <v>15000</v>
      </c>
      <c r="F432">
        <v>1.3</v>
      </c>
      <c r="G432">
        <v>1.5</v>
      </c>
      <c r="H432">
        <v>159000</v>
      </c>
      <c r="I432">
        <v>1.9</v>
      </c>
      <c r="J432">
        <v>10.5</v>
      </c>
      <c r="K432">
        <v>29.9</v>
      </c>
    </row>
    <row r="433" spans="1:11" x14ac:dyDescent="0.2">
      <c r="A433">
        <v>2024</v>
      </c>
      <c r="B433">
        <v>6260</v>
      </c>
      <c r="C433" t="s">
        <v>49</v>
      </c>
      <c r="D433" t="s">
        <v>74</v>
      </c>
      <c r="E433">
        <v>126000</v>
      </c>
      <c r="F433">
        <v>10.6</v>
      </c>
      <c r="G433">
        <v>12.5</v>
      </c>
      <c r="H433">
        <v>1760000</v>
      </c>
      <c r="I433">
        <v>21.2</v>
      </c>
      <c r="J433">
        <v>13.9</v>
      </c>
      <c r="K433">
        <v>24.7</v>
      </c>
    </row>
    <row r="434" spans="1:11" x14ac:dyDescent="0.2">
      <c r="A434">
        <v>2024</v>
      </c>
      <c r="B434">
        <v>6260</v>
      </c>
      <c r="C434" t="s">
        <v>49</v>
      </c>
      <c r="D434" t="s">
        <v>75</v>
      </c>
      <c r="E434">
        <v>502000</v>
      </c>
      <c r="F434">
        <v>42.2</v>
      </c>
      <c r="G434">
        <v>49.6</v>
      </c>
      <c r="H434">
        <v>4645000</v>
      </c>
      <c r="I434">
        <v>55.9</v>
      </c>
      <c r="J434">
        <v>9.1999999999999993</v>
      </c>
      <c r="K434">
        <v>19.899999999999999</v>
      </c>
    </row>
    <row r="435" spans="1:11" x14ac:dyDescent="0.2">
      <c r="A435">
        <v>2024</v>
      </c>
      <c r="B435">
        <v>6260</v>
      </c>
      <c r="C435" t="s">
        <v>49</v>
      </c>
      <c r="D435" t="s">
        <v>76</v>
      </c>
      <c r="E435">
        <v>212000</v>
      </c>
      <c r="F435">
        <v>17.8</v>
      </c>
      <c r="G435">
        <v>20.9</v>
      </c>
      <c r="H435">
        <v>1517000</v>
      </c>
      <c r="I435">
        <v>18.3</v>
      </c>
      <c r="J435">
        <v>7.2</v>
      </c>
      <c r="K435">
        <v>15.9</v>
      </c>
    </row>
    <row r="436" spans="1:11" x14ac:dyDescent="0.2">
      <c r="A436">
        <v>2024</v>
      </c>
      <c r="B436">
        <v>6260</v>
      </c>
      <c r="C436" t="s">
        <v>49</v>
      </c>
      <c r="D436" t="s">
        <v>77</v>
      </c>
      <c r="E436">
        <v>178000</v>
      </c>
      <c r="F436">
        <v>15</v>
      </c>
      <c r="H436">
        <v>109000</v>
      </c>
      <c r="I436">
        <v>1.3</v>
      </c>
      <c r="J436">
        <v>0.6</v>
      </c>
      <c r="K436">
        <v>9.1999999999999993</v>
      </c>
    </row>
    <row r="437" spans="1:11" x14ac:dyDescent="0.2">
      <c r="A437">
        <v>2024</v>
      </c>
      <c r="B437">
        <v>6260</v>
      </c>
      <c r="C437" t="s">
        <v>49</v>
      </c>
      <c r="D437" t="s">
        <v>78</v>
      </c>
      <c r="E437">
        <v>157000</v>
      </c>
      <c r="F437">
        <v>13.2</v>
      </c>
      <c r="G437">
        <v>15.5</v>
      </c>
      <c r="H437">
        <v>121000</v>
      </c>
      <c r="I437">
        <v>1.5</v>
      </c>
      <c r="J437">
        <v>0.8</v>
      </c>
      <c r="K437">
        <v>12</v>
      </c>
    </row>
    <row r="438" spans="1:11" x14ac:dyDescent="0.2">
      <c r="A438">
        <v>2024</v>
      </c>
      <c r="B438">
        <v>6350</v>
      </c>
      <c r="C438" t="s">
        <v>50</v>
      </c>
      <c r="D438" t="s">
        <v>73</v>
      </c>
      <c r="E438">
        <v>22000</v>
      </c>
      <c r="F438">
        <v>2.9</v>
      </c>
      <c r="G438">
        <v>3.1</v>
      </c>
      <c r="H438">
        <v>55000</v>
      </c>
      <c r="I438">
        <v>0.8</v>
      </c>
      <c r="J438">
        <v>2.5</v>
      </c>
      <c r="K438">
        <v>10.6</v>
      </c>
    </row>
    <row r="439" spans="1:11" x14ac:dyDescent="0.2">
      <c r="A439">
        <v>2024</v>
      </c>
      <c r="B439">
        <v>6350</v>
      </c>
      <c r="C439" t="s">
        <v>50</v>
      </c>
      <c r="D439" t="s">
        <v>81</v>
      </c>
      <c r="E439">
        <v>62000</v>
      </c>
      <c r="F439">
        <v>8.1</v>
      </c>
      <c r="G439">
        <v>8.8000000000000007</v>
      </c>
      <c r="H439">
        <v>1512000</v>
      </c>
      <c r="I439">
        <v>21</v>
      </c>
      <c r="J439">
        <v>24.5</v>
      </c>
      <c r="K439">
        <v>34.4</v>
      </c>
    </row>
    <row r="440" spans="1:11" x14ac:dyDescent="0.2">
      <c r="A440">
        <v>2024</v>
      </c>
      <c r="B440">
        <v>6350</v>
      </c>
      <c r="C440" t="s">
        <v>50</v>
      </c>
      <c r="D440" t="s">
        <v>75</v>
      </c>
      <c r="E440">
        <v>375000</v>
      </c>
      <c r="F440">
        <v>49.3</v>
      </c>
      <c r="G440">
        <v>53.3</v>
      </c>
      <c r="H440">
        <v>4297000</v>
      </c>
      <c r="I440">
        <v>59.6</v>
      </c>
      <c r="J440">
        <v>11.5</v>
      </c>
      <c r="K440">
        <v>21.4</v>
      </c>
    </row>
    <row r="441" spans="1:11" x14ac:dyDescent="0.2">
      <c r="A441">
        <v>2024</v>
      </c>
      <c r="B441">
        <v>6350</v>
      </c>
      <c r="C441" t="s">
        <v>50</v>
      </c>
      <c r="D441" t="s">
        <v>76</v>
      </c>
      <c r="E441">
        <v>150000</v>
      </c>
      <c r="F441">
        <v>19.7</v>
      </c>
      <c r="G441">
        <v>21.4</v>
      </c>
      <c r="H441">
        <v>1239000</v>
      </c>
      <c r="I441">
        <v>17.2</v>
      </c>
      <c r="J441">
        <v>8.1999999999999993</v>
      </c>
      <c r="K441">
        <v>17.2</v>
      </c>
    </row>
    <row r="442" spans="1:11" x14ac:dyDescent="0.2">
      <c r="A442">
        <v>2024</v>
      </c>
      <c r="B442">
        <v>6350</v>
      </c>
      <c r="C442" t="s">
        <v>50</v>
      </c>
      <c r="D442" t="s">
        <v>77</v>
      </c>
      <c r="E442">
        <v>57000</v>
      </c>
      <c r="F442">
        <v>7.5</v>
      </c>
      <c r="H442">
        <v>32000</v>
      </c>
      <c r="I442">
        <v>0.4</v>
      </c>
      <c r="J442">
        <v>0.6</v>
      </c>
      <c r="K442">
        <v>8</v>
      </c>
    </row>
    <row r="443" spans="1:11" x14ac:dyDescent="0.2">
      <c r="A443">
        <v>2024</v>
      </c>
      <c r="B443">
        <v>6350</v>
      </c>
      <c r="C443" t="s">
        <v>50</v>
      </c>
      <c r="D443" t="s">
        <v>78</v>
      </c>
      <c r="E443">
        <v>95000</v>
      </c>
      <c r="F443">
        <v>12.5</v>
      </c>
      <c r="G443">
        <v>13.5</v>
      </c>
      <c r="H443">
        <v>76000</v>
      </c>
      <c r="I443">
        <v>1</v>
      </c>
      <c r="J443">
        <v>0.8</v>
      </c>
      <c r="K443">
        <v>11.5</v>
      </c>
    </row>
    <row r="444" spans="1:11" x14ac:dyDescent="0.2">
      <c r="A444">
        <v>2024</v>
      </c>
      <c r="B444">
        <v>6400</v>
      </c>
      <c r="C444" t="s">
        <v>101</v>
      </c>
      <c r="D444" t="s">
        <v>80</v>
      </c>
      <c r="E444">
        <v>2000</v>
      </c>
      <c r="F444">
        <v>0.8</v>
      </c>
      <c r="G444">
        <v>0.9</v>
      </c>
      <c r="H444">
        <v>12000</v>
      </c>
      <c r="I444">
        <v>0.4</v>
      </c>
      <c r="J444">
        <v>6.2</v>
      </c>
      <c r="K444">
        <v>23.3</v>
      </c>
    </row>
    <row r="445" spans="1:11" x14ac:dyDescent="0.2">
      <c r="A445">
        <v>2024</v>
      </c>
      <c r="B445">
        <v>6400</v>
      </c>
      <c r="C445" t="s">
        <v>101</v>
      </c>
      <c r="D445" t="s">
        <v>81</v>
      </c>
      <c r="E445">
        <v>8000</v>
      </c>
      <c r="F445">
        <v>3.4</v>
      </c>
      <c r="G445">
        <v>3.5</v>
      </c>
      <c r="H445">
        <v>115000</v>
      </c>
      <c r="I445">
        <v>4.0999999999999996</v>
      </c>
      <c r="J445">
        <v>14.2</v>
      </c>
      <c r="K445">
        <v>28.7</v>
      </c>
    </row>
    <row r="446" spans="1:11" x14ac:dyDescent="0.2">
      <c r="A446">
        <v>2024</v>
      </c>
      <c r="B446">
        <v>6400</v>
      </c>
      <c r="C446" t="s">
        <v>101</v>
      </c>
      <c r="D446" t="s">
        <v>75</v>
      </c>
      <c r="E446">
        <v>160000</v>
      </c>
      <c r="F446">
        <v>67.900000000000006</v>
      </c>
      <c r="G446">
        <v>69.400000000000006</v>
      </c>
      <c r="H446">
        <v>2343000</v>
      </c>
      <c r="I446">
        <v>82.7</v>
      </c>
      <c r="J446">
        <v>14.7</v>
      </c>
      <c r="K446">
        <v>19.5</v>
      </c>
    </row>
    <row r="447" spans="1:11" x14ac:dyDescent="0.2">
      <c r="A447">
        <v>2024</v>
      </c>
      <c r="B447">
        <v>6400</v>
      </c>
      <c r="C447" t="s">
        <v>101</v>
      </c>
      <c r="D447" t="s">
        <v>83</v>
      </c>
      <c r="E447">
        <v>35000</v>
      </c>
      <c r="F447">
        <v>14.8</v>
      </c>
      <c r="G447">
        <v>15.1</v>
      </c>
      <c r="H447">
        <v>342000</v>
      </c>
      <c r="I447">
        <v>12.1</v>
      </c>
      <c r="J447">
        <v>9.8000000000000007</v>
      </c>
      <c r="K447">
        <v>16.899999999999999</v>
      </c>
    </row>
    <row r="448" spans="1:11" x14ac:dyDescent="0.2">
      <c r="A448">
        <v>2024</v>
      </c>
      <c r="B448">
        <v>6400</v>
      </c>
      <c r="C448" t="s">
        <v>101</v>
      </c>
      <c r="D448" t="s">
        <v>84</v>
      </c>
      <c r="E448">
        <v>5000</v>
      </c>
      <c r="F448">
        <v>2.2000000000000002</v>
      </c>
      <c r="H448">
        <v>5000</v>
      </c>
      <c r="I448">
        <v>0.2</v>
      </c>
      <c r="J448">
        <v>0.9</v>
      </c>
      <c r="K448">
        <v>17.5</v>
      </c>
    </row>
    <row r="449" spans="1:11" x14ac:dyDescent="0.2">
      <c r="A449">
        <v>2024</v>
      </c>
      <c r="B449">
        <v>6400</v>
      </c>
      <c r="C449" t="s">
        <v>101</v>
      </c>
      <c r="D449" t="s">
        <v>85</v>
      </c>
      <c r="E449">
        <v>26000</v>
      </c>
      <c r="F449">
        <v>10.8</v>
      </c>
      <c r="G449">
        <v>11.1</v>
      </c>
      <c r="H449">
        <v>14000</v>
      </c>
      <c r="I449">
        <v>0.5</v>
      </c>
      <c r="J449">
        <v>0.6</v>
      </c>
      <c r="K449">
        <v>10.4</v>
      </c>
    </row>
    <row r="450" spans="1:11" x14ac:dyDescent="0.2">
      <c r="A450">
        <v>2024</v>
      </c>
      <c r="B450">
        <v>6550</v>
      </c>
      <c r="C450" t="s">
        <v>51</v>
      </c>
      <c r="D450" t="s">
        <v>73</v>
      </c>
      <c r="E450">
        <v>24000</v>
      </c>
      <c r="F450">
        <v>3.9</v>
      </c>
      <c r="G450">
        <v>4.8</v>
      </c>
      <c r="H450">
        <v>100000</v>
      </c>
      <c r="I450">
        <v>4.4000000000000004</v>
      </c>
      <c r="J450">
        <v>4.2</v>
      </c>
      <c r="K450">
        <v>18.7</v>
      </c>
    </row>
    <row r="451" spans="1:11" x14ac:dyDescent="0.2">
      <c r="A451">
        <v>2024</v>
      </c>
      <c r="B451">
        <v>6550</v>
      </c>
      <c r="C451" t="s">
        <v>51</v>
      </c>
      <c r="D451" t="s">
        <v>74</v>
      </c>
      <c r="E451">
        <v>84000</v>
      </c>
      <c r="F451">
        <v>13.7</v>
      </c>
      <c r="G451">
        <v>16.7</v>
      </c>
      <c r="H451">
        <v>465000</v>
      </c>
      <c r="I451">
        <v>20.2</v>
      </c>
      <c r="J451">
        <v>5.5</v>
      </c>
      <c r="K451">
        <v>19.899999999999999</v>
      </c>
    </row>
    <row r="452" spans="1:11" x14ac:dyDescent="0.2">
      <c r="A452">
        <v>2024</v>
      </c>
      <c r="B452">
        <v>6550</v>
      </c>
      <c r="C452" t="s">
        <v>51</v>
      </c>
      <c r="D452" t="s">
        <v>75</v>
      </c>
      <c r="E452">
        <v>208000</v>
      </c>
      <c r="F452">
        <v>33.799999999999997</v>
      </c>
      <c r="G452">
        <v>41.3</v>
      </c>
      <c r="H452">
        <v>1195000</v>
      </c>
      <c r="I452">
        <v>51.8</v>
      </c>
      <c r="J452">
        <v>5.7</v>
      </c>
      <c r="K452">
        <v>15.6</v>
      </c>
    </row>
    <row r="453" spans="1:11" x14ac:dyDescent="0.2">
      <c r="A453">
        <v>2024</v>
      </c>
      <c r="B453">
        <v>6550</v>
      </c>
      <c r="C453" t="s">
        <v>51</v>
      </c>
      <c r="D453" t="s">
        <v>76</v>
      </c>
      <c r="E453">
        <v>66000</v>
      </c>
      <c r="F453">
        <v>10.7</v>
      </c>
      <c r="G453">
        <v>13.1</v>
      </c>
      <c r="H453">
        <v>374000</v>
      </c>
      <c r="I453">
        <v>16.2</v>
      </c>
      <c r="J453">
        <v>5.7</v>
      </c>
      <c r="K453">
        <v>17.8</v>
      </c>
    </row>
    <row r="454" spans="1:11" x14ac:dyDescent="0.2">
      <c r="A454">
        <v>2024</v>
      </c>
      <c r="B454">
        <v>6550</v>
      </c>
      <c r="C454" t="s">
        <v>51</v>
      </c>
      <c r="D454" t="s">
        <v>77</v>
      </c>
      <c r="E454">
        <v>112000</v>
      </c>
      <c r="F454">
        <v>18.2</v>
      </c>
      <c r="H454">
        <v>71000</v>
      </c>
      <c r="I454">
        <v>3.1</v>
      </c>
      <c r="J454">
        <v>0.6</v>
      </c>
      <c r="K454">
        <v>9</v>
      </c>
    </row>
    <row r="455" spans="1:11" x14ac:dyDescent="0.2">
      <c r="A455">
        <v>2024</v>
      </c>
      <c r="B455">
        <v>6550</v>
      </c>
      <c r="C455" t="s">
        <v>51</v>
      </c>
      <c r="D455" t="s">
        <v>78</v>
      </c>
      <c r="E455">
        <v>121000</v>
      </c>
      <c r="F455">
        <v>19.7</v>
      </c>
      <c r="G455">
        <v>24.1</v>
      </c>
      <c r="H455">
        <v>101000</v>
      </c>
      <c r="I455">
        <v>4.4000000000000004</v>
      </c>
      <c r="J455">
        <v>0.8</v>
      </c>
      <c r="K455">
        <v>13.3</v>
      </c>
    </row>
    <row r="456" spans="1:11" x14ac:dyDescent="0.2">
      <c r="A456">
        <v>2024</v>
      </c>
      <c r="B456">
        <v>6700</v>
      </c>
      <c r="C456" t="s">
        <v>52</v>
      </c>
      <c r="D456" t="s">
        <v>73</v>
      </c>
      <c r="E456">
        <v>10000</v>
      </c>
      <c r="F456">
        <v>1.6</v>
      </c>
      <c r="G456">
        <v>1.9</v>
      </c>
      <c r="H456">
        <v>84000</v>
      </c>
      <c r="I456">
        <v>2.2999999999999998</v>
      </c>
      <c r="J456">
        <v>8.5</v>
      </c>
      <c r="K456">
        <v>29.5</v>
      </c>
    </row>
    <row r="457" spans="1:11" x14ac:dyDescent="0.2">
      <c r="A457">
        <v>2024</v>
      </c>
      <c r="B457">
        <v>6700</v>
      </c>
      <c r="C457" t="s">
        <v>52</v>
      </c>
      <c r="D457" t="s">
        <v>74</v>
      </c>
      <c r="E457">
        <v>73000</v>
      </c>
      <c r="F457">
        <v>11.6</v>
      </c>
      <c r="G457">
        <v>14.2</v>
      </c>
      <c r="H457">
        <v>834000</v>
      </c>
      <c r="I457">
        <v>22.7</v>
      </c>
      <c r="J457">
        <v>11.4</v>
      </c>
      <c r="K457">
        <v>25.4</v>
      </c>
    </row>
    <row r="458" spans="1:11" x14ac:dyDescent="0.2">
      <c r="A458">
        <v>2024</v>
      </c>
      <c r="B458">
        <v>6700</v>
      </c>
      <c r="C458" t="s">
        <v>52</v>
      </c>
      <c r="D458" t="s">
        <v>75</v>
      </c>
      <c r="E458">
        <v>252000</v>
      </c>
      <c r="F458">
        <v>40.1</v>
      </c>
      <c r="G458">
        <v>48.9</v>
      </c>
      <c r="H458">
        <v>2061000</v>
      </c>
      <c r="I458">
        <v>56.1</v>
      </c>
      <c r="J458">
        <v>8.1999999999999993</v>
      </c>
      <c r="K458">
        <v>18.399999999999999</v>
      </c>
    </row>
    <row r="459" spans="1:11" x14ac:dyDescent="0.2">
      <c r="A459">
        <v>2024</v>
      </c>
      <c r="B459">
        <v>6700</v>
      </c>
      <c r="C459" t="s">
        <v>52</v>
      </c>
      <c r="D459" t="s">
        <v>76</v>
      </c>
      <c r="E459">
        <v>88000</v>
      </c>
      <c r="F459">
        <v>14</v>
      </c>
      <c r="G459">
        <v>17</v>
      </c>
      <c r="H459">
        <v>556000</v>
      </c>
      <c r="I459">
        <v>15.1</v>
      </c>
      <c r="J459">
        <v>6.3</v>
      </c>
      <c r="K459">
        <v>14.3</v>
      </c>
    </row>
    <row r="460" spans="1:11" x14ac:dyDescent="0.2">
      <c r="A460">
        <v>2024</v>
      </c>
      <c r="B460">
        <v>6700</v>
      </c>
      <c r="C460" t="s">
        <v>52</v>
      </c>
      <c r="D460" t="s">
        <v>77</v>
      </c>
      <c r="E460">
        <v>113000</v>
      </c>
      <c r="F460">
        <v>18</v>
      </c>
      <c r="H460">
        <v>73000</v>
      </c>
      <c r="I460">
        <v>2</v>
      </c>
      <c r="J460">
        <v>0.6</v>
      </c>
      <c r="K460">
        <v>8.6</v>
      </c>
    </row>
    <row r="461" spans="1:11" x14ac:dyDescent="0.2">
      <c r="A461">
        <v>2024</v>
      </c>
      <c r="B461">
        <v>6700</v>
      </c>
      <c r="C461" t="s">
        <v>52</v>
      </c>
      <c r="D461" t="s">
        <v>78</v>
      </c>
      <c r="E461">
        <v>93000</v>
      </c>
      <c r="F461">
        <v>14.7</v>
      </c>
      <c r="G461">
        <v>18</v>
      </c>
      <c r="H461">
        <v>65000</v>
      </c>
      <c r="I461">
        <v>1.8</v>
      </c>
      <c r="J461">
        <v>0.7</v>
      </c>
      <c r="K461">
        <v>11.5</v>
      </c>
    </row>
    <row r="462" spans="1:11" x14ac:dyDescent="0.2">
      <c r="A462">
        <v>2024</v>
      </c>
      <c r="B462">
        <v>6900</v>
      </c>
      <c r="C462" t="s">
        <v>102</v>
      </c>
      <c r="D462" t="s">
        <v>80</v>
      </c>
      <c r="E462">
        <v>3000</v>
      </c>
      <c r="F462">
        <v>1.2</v>
      </c>
      <c r="G462">
        <v>1.2</v>
      </c>
      <c r="H462">
        <v>24000</v>
      </c>
      <c r="I462">
        <v>0.8</v>
      </c>
      <c r="J462">
        <v>8.5</v>
      </c>
      <c r="K462">
        <v>26.4</v>
      </c>
    </row>
    <row r="463" spans="1:11" x14ac:dyDescent="0.2">
      <c r="A463">
        <v>2024</v>
      </c>
      <c r="B463">
        <v>6900</v>
      </c>
      <c r="C463" t="s">
        <v>102</v>
      </c>
      <c r="D463" t="s">
        <v>87</v>
      </c>
      <c r="E463">
        <v>10000</v>
      </c>
      <c r="F463">
        <v>4.2</v>
      </c>
      <c r="G463">
        <v>4.3</v>
      </c>
      <c r="H463">
        <v>212000</v>
      </c>
      <c r="I463">
        <v>7.6</v>
      </c>
      <c r="J463">
        <v>21.5</v>
      </c>
      <c r="K463">
        <v>41.9</v>
      </c>
    </row>
    <row r="464" spans="1:11" x14ac:dyDescent="0.2">
      <c r="A464">
        <v>2024</v>
      </c>
      <c r="B464">
        <v>6900</v>
      </c>
      <c r="C464" t="s">
        <v>102</v>
      </c>
      <c r="D464" t="s">
        <v>75</v>
      </c>
      <c r="E464">
        <v>131000</v>
      </c>
      <c r="F464">
        <v>55.6</v>
      </c>
      <c r="G464">
        <v>57.5</v>
      </c>
      <c r="H464">
        <v>2159000</v>
      </c>
      <c r="I464">
        <v>77.5</v>
      </c>
      <c r="J464">
        <v>16.5</v>
      </c>
      <c r="K464">
        <v>20.7</v>
      </c>
    </row>
    <row r="465" spans="1:11" x14ac:dyDescent="0.2">
      <c r="A465">
        <v>2024</v>
      </c>
      <c r="B465">
        <v>6900</v>
      </c>
      <c r="C465" t="s">
        <v>102</v>
      </c>
      <c r="D465" t="s">
        <v>83</v>
      </c>
      <c r="E465">
        <v>53000</v>
      </c>
      <c r="F465">
        <v>22.6</v>
      </c>
      <c r="G465">
        <v>23.3</v>
      </c>
      <c r="H465">
        <v>364000</v>
      </c>
      <c r="I465">
        <v>13.1</v>
      </c>
      <c r="J465">
        <v>6.9</v>
      </c>
      <c r="K465">
        <v>12.3</v>
      </c>
    </row>
    <row r="466" spans="1:11" x14ac:dyDescent="0.2">
      <c r="A466">
        <v>2024</v>
      </c>
      <c r="B466">
        <v>6900</v>
      </c>
      <c r="C466" t="s">
        <v>102</v>
      </c>
      <c r="D466" t="s">
        <v>84</v>
      </c>
      <c r="E466">
        <v>8000</v>
      </c>
      <c r="F466">
        <v>3.3</v>
      </c>
      <c r="H466">
        <v>4000</v>
      </c>
      <c r="I466">
        <v>0.1</v>
      </c>
      <c r="J466">
        <v>0.5</v>
      </c>
      <c r="K466">
        <v>6</v>
      </c>
    </row>
    <row r="467" spans="1:11" x14ac:dyDescent="0.2">
      <c r="A467">
        <v>2024</v>
      </c>
      <c r="B467">
        <v>6900</v>
      </c>
      <c r="C467" t="s">
        <v>102</v>
      </c>
      <c r="D467" t="s">
        <v>85</v>
      </c>
      <c r="E467">
        <v>31000</v>
      </c>
      <c r="F467">
        <v>13.2</v>
      </c>
      <c r="G467">
        <v>13.7</v>
      </c>
      <c r="H467">
        <v>24000</v>
      </c>
      <c r="I467">
        <v>0.9</v>
      </c>
      <c r="J467">
        <v>0.8</v>
      </c>
      <c r="K467">
        <v>12.8</v>
      </c>
    </row>
    <row r="468" spans="1:11" x14ac:dyDescent="0.2">
      <c r="A468">
        <v>2024</v>
      </c>
      <c r="B468">
        <v>6950</v>
      </c>
      <c r="C468" t="s">
        <v>103</v>
      </c>
      <c r="D468" t="s">
        <v>73</v>
      </c>
      <c r="E468">
        <v>8000</v>
      </c>
      <c r="F468">
        <v>2.2000000000000002</v>
      </c>
      <c r="G468">
        <v>2.2999999999999998</v>
      </c>
      <c r="H468">
        <v>26000</v>
      </c>
      <c r="I468">
        <v>0.7</v>
      </c>
      <c r="J468">
        <v>3.2</v>
      </c>
      <c r="K468">
        <v>12.8</v>
      </c>
    </row>
    <row r="469" spans="1:11" x14ac:dyDescent="0.2">
      <c r="A469">
        <v>2024</v>
      </c>
      <c r="B469">
        <v>6950</v>
      </c>
      <c r="C469" t="s">
        <v>103</v>
      </c>
      <c r="D469" t="s">
        <v>87</v>
      </c>
      <c r="E469">
        <v>19000</v>
      </c>
      <c r="F469">
        <v>5.3</v>
      </c>
      <c r="G469">
        <v>5.6</v>
      </c>
      <c r="H469">
        <v>251000</v>
      </c>
      <c r="I469">
        <v>7.3</v>
      </c>
      <c r="J469">
        <v>13.1</v>
      </c>
      <c r="K469">
        <v>29.6</v>
      </c>
    </row>
    <row r="470" spans="1:11" x14ac:dyDescent="0.2">
      <c r="A470">
        <v>2024</v>
      </c>
      <c r="B470">
        <v>6950</v>
      </c>
      <c r="C470" t="s">
        <v>103</v>
      </c>
      <c r="D470" t="s">
        <v>75</v>
      </c>
      <c r="E470">
        <v>197000</v>
      </c>
      <c r="F470">
        <v>53.8</v>
      </c>
      <c r="G470">
        <v>56.7</v>
      </c>
      <c r="H470">
        <v>2439000</v>
      </c>
      <c r="I470">
        <v>70.900000000000006</v>
      </c>
      <c r="J470">
        <v>12.4</v>
      </c>
      <c r="K470">
        <v>17</v>
      </c>
    </row>
    <row r="471" spans="1:11" x14ac:dyDescent="0.2">
      <c r="A471">
        <v>2024</v>
      </c>
      <c r="B471">
        <v>6950</v>
      </c>
      <c r="C471" t="s">
        <v>103</v>
      </c>
      <c r="D471" t="s">
        <v>76</v>
      </c>
      <c r="E471">
        <v>63000</v>
      </c>
      <c r="F471">
        <v>17.2</v>
      </c>
      <c r="G471">
        <v>18.100000000000001</v>
      </c>
      <c r="H471">
        <v>669000</v>
      </c>
      <c r="I471">
        <v>19.5</v>
      </c>
      <c r="J471">
        <v>10.6</v>
      </c>
      <c r="K471">
        <v>15.3</v>
      </c>
    </row>
    <row r="472" spans="1:11" x14ac:dyDescent="0.2">
      <c r="A472">
        <v>2024</v>
      </c>
      <c r="B472">
        <v>6950</v>
      </c>
      <c r="C472" t="s">
        <v>103</v>
      </c>
      <c r="D472" t="s">
        <v>84</v>
      </c>
      <c r="E472">
        <v>18000</v>
      </c>
      <c r="F472">
        <v>5.0999999999999996</v>
      </c>
      <c r="H472">
        <v>5000</v>
      </c>
      <c r="I472">
        <v>0.1</v>
      </c>
      <c r="J472">
        <v>0.2</v>
      </c>
      <c r="K472">
        <v>8.1</v>
      </c>
    </row>
    <row r="473" spans="1:11" x14ac:dyDescent="0.2">
      <c r="A473">
        <v>2024</v>
      </c>
      <c r="B473">
        <v>6950</v>
      </c>
      <c r="C473" t="s">
        <v>103</v>
      </c>
      <c r="D473" t="s">
        <v>78</v>
      </c>
      <c r="E473">
        <v>60000</v>
      </c>
      <c r="F473">
        <v>16.399999999999999</v>
      </c>
      <c r="G473">
        <v>17.3</v>
      </c>
      <c r="H473">
        <v>49000</v>
      </c>
      <c r="I473">
        <v>1.4</v>
      </c>
      <c r="J473">
        <v>0.8</v>
      </c>
      <c r="K473">
        <v>13.6</v>
      </c>
    </row>
    <row r="474" spans="1:11" x14ac:dyDescent="0.2">
      <c r="A474">
        <v>2024</v>
      </c>
      <c r="B474">
        <v>7100</v>
      </c>
      <c r="C474" t="s">
        <v>53</v>
      </c>
      <c r="D474" t="s">
        <v>81</v>
      </c>
      <c r="E474">
        <v>51000</v>
      </c>
      <c r="F474">
        <v>19.600000000000001</v>
      </c>
      <c r="G474">
        <v>24.7</v>
      </c>
      <c r="H474">
        <v>464000</v>
      </c>
      <c r="I474">
        <v>30.5</v>
      </c>
      <c r="J474">
        <v>9.1</v>
      </c>
      <c r="K474">
        <v>19</v>
      </c>
    </row>
    <row r="475" spans="1:11" x14ac:dyDescent="0.2">
      <c r="A475">
        <v>2024</v>
      </c>
      <c r="B475">
        <v>7100</v>
      </c>
      <c r="C475" t="s">
        <v>53</v>
      </c>
      <c r="D475" t="s">
        <v>75</v>
      </c>
      <c r="E475">
        <v>77000</v>
      </c>
      <c r="F475">
        <v>29.4</v>
      </c>
      <c r="G475">
        <v>37.200000000000003</v>
      </c>
      <c r="H475">
        <v>655000</v>
      </c>
      <c r="I475">
        <v>43.1</v>
      </c>
      <c r="J475">
        <v>8.5</v>
      </c>
      <c r="K475">
        <v>21.3</v>
      </c>
    </row>
    <row r="476" spans="1:11" x14ac:dyDescent="0.2">
      <c r="A476">
        <v>2024</v>
      </c>
      <c r="B476">
        <v>7100</v>
      </c>
      <c r="C476" t="s">
        <v>53</v>
      </c>
      <c r="D476" t="s">
        <v>83</v>
      </c>
      <c r="E476">
        <v>57000</v>
      </c>
      <c r="F476">
        <v>21.9</v>
      </c>
      <c r="G476">
        <v>27.7</v>
      </c>
      <c r="H476">
        <v>354000</v>
      </c>
      <c r="I476">
        <v>23.3</v>
      </c>
      <c r="J476">
        <v>6.2</v>
      </c>
      <c r="K476">
        <v>17.3</v>
      </c>
    </row>
    <row r="477" spans="1:11" x14ac:dyDescent="0.2">
      <c r="A477">
        <v>2024</v>
      </c>
      <c r="B477">
        <v>7100</v>
      </c>
      <c r="C477" t="s">
        <v>53</v>
      </c>
      <c r="D477" t="s">
        <v>84</v>
      </c>
      <c r="E477">
        <v>54000</v>
      </c>
      <c r="F477">
        <v>20.8</v>
      </c>
      <c r="H477">
        <v>33000</v>
      </c>
      <c r="I477">
        <v>2.2000000000000002</v>
      </c>
      <c r="J477">
        <v>0.6</v>
      </c>
      <c r="K477">
        <v>8.1999999999999993</v>
      </c>
    </row>
    <row r="478" spans="1:11" x14ac:dyDescent="0.2">
      <c r="A478">
        <v>2024</v>
      </c>
      <c r="B478">
        <v>7100</v>
      </c>
      <c r="C478" t="s">
        <v>53</v>
      </c>
      <c r="D478" t="s">
        <v>85</v>
      </c>
      <c r="E478">
        <v>22000</v>
      </c>
      <c r="F478">
        <v>8.3000000000000007</v>
      </c>
      <c r="G478">
        <v>10.4</v>
      </c>
      <c r="H478">
        <v>15000</v>
      </c>
      <c r="I478">
        <v>1</v>
      </c>
      <c r="J478">
        <v>0.7</v>
      </c>
      <c r="K478">
        <v>11.2</v>
      </c>
    </row>
    <row r="479" spans="1:11" x14ac:dyDescent="0.2">
      <c r="A479">
        <v>2024</v>
      </c>
      <c r="B479">
        <v>7150</v>
      </c>
      <c r="C479" t="s">
        <v>104</v>
      </c>
      <c r="D479" t="s">
        <v>94</v>
      </c>
      <c r="E479">
        <v>11000</v>
      </c>
      <c r="F479">
        <v>1</v>
      </c>
      <c r="G479">
        <v>1.1000000000000001</v>
      </c>
      <c r="H479">
        <v>82000</v>
      </c>
      <c r="I479">
        <v>0.9</v>
      </c>
      <c r="J479">
        <v>7.2</v>
      </c>
      <c r="K479">
        <v>19.899999999999999</v>
      </c>
    </row>
    <row r="480" spans="1:11" x14ac:dyDescent="0.2">
      <c r="A480">
        <v>2024</v>
      </c>
      <c r="B480">
        <v>7150</v>
      </c>
      <c r="C480" t="s">
        <v>104</v>
      </c>
      <c r="D480" t="s">
        <v>74</v>
      </c>
      <c r="E480">
        <v>78000</v>
      </c>
      <c r="F480">
        <v>7</v>
      </c>
      <c r="G480">
        <v>7.7</v>
      </c>
      <c r="H480">
        <v>1398000</v>
      </c>
      <c r="I480">
        <v>15.5</v>
      </c>
      <c r="J480">
        <v>17.899999999999999</v>
      </c>
      <c r="K480">
        <v>30.5</v>
      </c>
    </row>
    <row r="481" spans="1:11" x14ac:dyDescent="0.2">
      <c r="A481">
        <v>2024</v>
      </c>
      <c r="B481">
        <v>7150</v>
      </c>
      <c r="C481" t="s">
        <v>104</v>
      </c>
      <c r="D481" t="s">
        <v>75</v>
      </c>
      <c r="E481">
        <v>517000</v>
      </c>
      <c r="F481">
        <v>46.1</v>
      </c>
      <c r="G481">
        <v>51.1</v>
      </c>
      <c r="H481">
        <v>5227000</v>
      </c>
      <c r="I481">
        <v>58</v>
      </c>
      <c r="J481">
        <v>10.1</v>
      </c>
      <c r="K481">
        <v>19.5</v>
      </c>
    </row>
    <row r="482" spans="1:11" x14ac:dyDescent="0.2">
      <c r="A482">
        <v>2024</v>
      </c>
      <c r="B482">
        <v>7150</v>
      </c>
      <c r="C482" t="s">
        <v>104</v>
      </c>
      <c r="D482" t="s">
        <v>76</v>
      </c>
      <c r="E482">
        <v>240000</v>
      </c>
      <c r="F482">
        <v>21.4</v>
      </c>
      <c r="G482">
        <v>23.7</v>
      </c>
      <c r="H482">
        <v>2077000</v>
      </c>
      <c r="I482">
        <v>23.1</v>
      </c>
      <c r="J482">
        <v>8.6999999999999993</v>
      </c>
      <c r="K482">
        <v>17</v>
      </c>
    </row>
    <row r="483" spans="1:11" x14ac:dyDescent="0.2">
      <c r="A483">
        <v>2024</v>
      </c>
      <c r="B483">
        <v>7150</v>
      </c>
      <c r="C483" t="s">
        <v>104</v>
      </c>
      <c r="D483" t="s">
        <v>77</v>
      </c>
      <c r="E483">
        <v>110000</v>
      </c>
      <c r="F483">
        <v>9.8000000000000007</v>
      </c>
      <c r="H483">
        <v>77000</v>
      </c>
      <c r="I483">
        <v>0.9</v>
      </c>
      <c r="J483">
        <v>0.7</v>
      </c>
      <c r="K483">
        <v>9.6</v>
      </c>
    </row>
    <row r="484" spans="1:11" x14ac:dyDescent="0.2">
      <c r="A484">
        <v>2024</v>
      </c>
      <c r="B484">
        <v>7150</v>
      </c>
      <c r="C484" t="s">
        <v>104</v>
      </c>
      <c r="D484" t="s">
        <v>78</v>
      </c>
      <c r="E484">
        <v>166000</v>
      </c>
      <c r="F484">
        <v>14.8</v>
      </c>
      <c r="G484">
        <v>16.399999999999999</v>
      </c>
      <c r="H484">
        <v>147000</v>
      </c>
      <c r="I484">
        <v>1.6</v>
      </c>
      <c r="J484">
        <v>0.9</v>
      </c>
      <c r="K484">
        <v>13.7</v>
      </c>
    </row>
    <row r="485" spans="1:11" x14ac:dyDescent="0.2">
      <c r="A485">
        <v>2024</v>
      </c>
      <c r="B485">
        <v>7200</v>
      </c>
      <c r="C485" t="s">
        <v>55</v>
      </c>
      <c r="D485" t="s">
        <v>73</v>
      </c>
      <c r="E485">
        <v>56000</v>
      </c>
      <c r="F485">
        <v>5.3</v>
      </c>
      <c r="G485">
        <v>6.7</v>
      </c>
      <c r="H485">
        <v>257000</v>
      </c>
      <c r="I485">
        <v>8.1999999999999993</v>
      </c>
      <c r="J485">
        <v>4.5999999999999996</v>
      </c>
      <c r="K485">
        <v>17.5</v>
      </c>
    </row>
    <row r="486" spans="1:11" x14ac:dyDescent="0.2">
      <c r="A486">
        <v>2024</v>
      </c>
      <c r="B486">
        <v>7200</v>
      </c>
      <c r="C486" t="s">
        <v>55</v>
      </c>
      <c r="D486" t="s">
        <v>74</v>
      </c>
      <c r="E486">
        <v>127000</v>
      </c>
      <c r="F486">
        <v>11.9</v>
      </c>
      <c r="G486">
        <v>15</v>
      </c>
      <c r="H486">
        <v>879000</v>
      </c>
      <c r="I486">
        <v>28</v>
      </c>
      <c r="J486">
        <v>6.9</v>
      </c>
      <c r="K486">
        <v>19.2</v>
      </c>
    </row>
    <row r="487" spans="1:11" x14ac:dyDescent="0.2">
      <c r="A487">
        <v>2024</v>
      </c>
      <c r="B487">
        <v>7200</v>
      </c>
      <c r="C487" t="s">
        <v>55</v>
      </c>
      <c r="D487" t="s">
        <v>75</v>
      </c>
      <c r="E487">
        <v>140000</v>
      </c>
      <c r="F487">
        <v>13.1</v>
      </c>
      <c r="G487">
        <v>16.5</v>
      </c>
      <c r="H487">
        <v>1114000</v>
      </c>
      <c r="I487">
        <v>35.5</v>
      </c>
      <c r="J487">
        <v>8</v>
      </c>
      <c r="K487">
        <v>20.8</v>
      </c>
    </row>
    <row r="488" spans="1:11" x14ac:dyDescent="0.2">
      <c r="A488">
        <v>2024</v>
      </c>
      <c r="B488">
        <v>7200</v>
      </c>
      <c r="C488" t="s">
        <v>55</v>
      </c>
      <c r="D488" t="s">
        <v>76</v>
      </c>
      <c r="E488">
        <v>56000</v>
      </c>
      <c r="F488">
        <v>5.3</v>
      </c>
      <c r="G488">
        <v>6.7</v>
      </c>
      <c r="H488">
        <v>384000</v>
      </c>
      <c r="I488">
        <v>12.2</v>
      </c>
      <c r="J488">
        <v>6.8</v>
      </c>
      <c r="K488">
        <v>20.399999999999999</v>
      </c>
    </row>
    <row r="489" spans="1:11" x14ac:dyDescent="0.2">
      <c r="A489">
        <v>2024</v>
      </c>
      <c r="B489">
        <v>7200</v>
      </c>
      <c r="C489" t="s">
        <v>55</v>
      </c>
      <c r="D489" t="s">
        <v>77</v>
      </c>
      <c r="E489">
        <v>218000</v>
      </c>
      <c r="F489">
        <v>20.5</v>
      </c>
      <c r="H489">
        <v>124000</v>
      </c>
      <c r="I489">
        <v>3.9</v>
      </c>
      <c r="J489">
        <v>0.6</v>
      </c>
      <c r="K489">
        <v>8.1</v>
      </c>
    </row>
    <row r="490" spans="1:11" x14ac:dyDescent="0.2">
      <c r="A490">
        <v>2024</v>
      </c>
      <c r="B490">
        <v>7200</v>
      </c>
      <c r="C490" t="s">
        <v>55</v>
      </c>
      <c r="D490" t="s">
        <v>78</v>
      </c>
      <c r="E490">
        <v>467000</v>
      </c>
      <c r="F490">
        <v>43.8</v>
      </c>
      <c r="G490">
        <v>55.1</v>
      </c>
      <c r="H490">
        <v>381000</v>
      </c>
      <c r="I490">
        <v>12.1</v>
      </c>
      <c r="J490">
        <v>0.8</v>
      </c>
      <c r="K490">
        <v>13</v>
      </c>
    </row>
    <row r="491" spans="1:11" x14ac:dyDescent="0.2">
      <c r="A491">
        <v>2024</v>
      </c>
      <c r="B491">
        <v>7420</v>
      </c>
      <c r="C491" t="s">
        <v>105</v>
      </c>
      <c r="D491" t="s">
        <v>73</v>
      </c>
      <c r="E491">
        <v>5000</v>
      </c>
      <c r="F491">
        <v>0.6</v>
      </c>
      <c r="G491">
        <v>0.7</v>
      </c>
      <c r="H491">
        <v>45000</v>
      </c>
      <c r="I491">
        <v>0.6</v>
      </c>
      <c r="J491">
        <v>8.8000000000000007</v>
      </c>
      <c r="K491">
        <v>25.7</v>
      </c>
    </row>
    <row r="492" spans="1:11" x14ac:dyDescent="0.2">
      <c r="A492">
        <v>2024</v>
      </c>
      <c r="B492">
        <v>7420</v>
      </c>
      <c r="C492" t="s">
        <v>105</v>
      </c>
      <c r="D492" t="s">
        <v>74</v>
      </c>
      <c r="E492">
        <v>57000</v>
      </c>
      <c r="F492">
        <v>7.3</v>
      </c>
      <c r="G492">
        <v>8.1</v>
      </c>
      <c r="H492">
        <v>962000</v>
      </c>
      <c r="I492">
        <v>13.5</v>
      </c>
      <c r="J492">
        <v>16.8</v>
      </c>
      <c r="K492">
        <v>26.9</v>
      </c>
    </row>
    <row r="493" spans="1:11" x14ac:dyDescent="0.2">
      <c r="A493">
        <v>2024</v>
      </c>
      <c r="B493">
        <v>7420</v>
      </c>
      <c r="C493" t="s">
        <v>105</v>
      </c>
      <c r="D493" t="s">
        <v>75</v>
      </c>
      <c r="E493">
        <v>387000</v>
      </c>
      <c r="F493">
        <v>49.4</v>
      </c>
      <c r="G493">
        <v>54.4</v>
      </c>
      <c r="H493">
        <v>4394000</v>
      </c>
      <c r="I493">
        <v>61.7</v>
      </c>
      <c r="J493">
        <v>11.4</v>
      </c>
      <c r="K493">
        <v>21.7</v>
      </c>
    </row>
    <row r="494" spans="1:11" x14ac:dyDescent="0.2">
      <c r="A494">
        <v>2024</v>
      </c>
      <c r="B494">
        <v>7420</v>
      </c>
      <c r="C494" t="s">
        <v>105</v>
      </c>
      <c r="D494" t="s">
        <v>76</v>
      </c>
      <c r="E494">
        <v>153000</v>
      </c>
      <c r="F494">
        <v>19.600000000000001</v>
      </c>
      <c r="G494">
        <v>21.6</v>
      </c>
      <c r="H494">
        <v>1564000</v>
      </c>
      <c r="I494">
        <v>22</v>
      </c>
      <c r="J494">
        <v>10.199999999999999</v>
      </c>
      <c r="K494">
        <v>20.5</v>
      </c>
    </row>
    <row r="495" spans="1:11" x14ac:dyDescent="0.2">
      <c r="A495">
        <v>2024</v>
      </c>
      <c r="B495">
        <v>7420</v>
      </c>
      <c r="C495" t="s">
        <v>105</v>
      </c>
      <c r="D495" t="s">
        <v>77</v>
      </c>
      <c r="E495">
        <v>72000</v>
      </c>
      <c r="F495">
        <v>9.1999999999999993</v>
      </c>
      <c r="H495">
        <v>47000</v>
      </c>
      <c r="I495">
        <v>0.7</v>
      </c>
      <c r="J495">
        <v>0.7</v>
      </c>
      <c r="K495">
        <v>9</v>
      </c>
    </row>
    <row r="496" spans="1:11" x14ac:dyDescent="0.2">
      <c r="A496">
        <v>2024</v>
      </c>
      <c r="B496">
        <v>7420</v>
      </c>
      <c r="C496" t="s">
        <v>105</v>
      </c>
      <c r="D496" t="s">
        <v>78</v>
      </c>
      <c r="E496">
        <v>109000</v>
      </c>
      <c r="F496">
        <v>13.9</v>
      </c>
      <c r="G496">
        <v>15.3</v>
      </c>
      <c r="H496">
        <v>105000</v>
      </c>
      <c r="I496">
        <v>1.5</v>
      </c>
      <c r="J496">
        <v>1</v>
      </c>
      <c r="K496">
        <v>13.7</v>
      </c>
    </row>
    <row r="497" spans="1:11" x14ac:dyDescent="0.2">
      <c r="A497">
        <v>2024</v>
      </c>
      <c r="B497">
        <v>8050</v>
      </c>
      <c r="C497" t="s">
        <v>56</v>
      </c>
      <c r="D497" t="s">
        <v>80</v>
      </c>
      <c r="E497">
        <v>8000</v>
      </c>
      <c r="F497">
        <v>3.1</v>
      </c>
      <c r="G497">
        <v>4</v>
      </c>
      <c r="H497">
        <v>29000</v>
      </c>
      <c r="I497">
        <v>3.4</v>
      </c>
      <c r="J497">
        <v>3.8</v>
      </c>
      <c r="K497">
        <v>16.5</v>
      </c>
    </row>
    <row r="498" spans="1:11" x14ac:dyDescent="0.2">
      <c r="A498">
        <v>2024</v>
      </c>
      <c r="B498">
        <v>8050</v>
      </c>
      <c r="C498" t="s">
        <v>56</v>
      </c>
      <c r="D498" t="s">
        <v>81</v>
      </c>
      <c r="E498">
        <v>31000</v>
      </c>
      <c r="F498">
        <v>12.4</v>
      </c>
      <c r="G498">
        <v>16.3</v>
      </c>
      <c r="H498">
        <v>146000</v>
      </c>
      <c r="I498">
        <v>17</v>
      </c>
      <c r="J498">
        <v>4.7</v>
      </c>
      <c r="K498">
        <v>17.8</v>
      </c>
    </row>
    <row r="499" spans="1:11" x14ac:dyDescent="0.2">
      <c r="A499">
        <v>2024</v>
      </c>
      <c r="B499">
        <v>8050</v>
      </c>
      <c r="C499" t="s">
        <v>56</v>
      </c>
      <c r="D499" t="s">
        <v>75</v>
      </c>
      <c r="E499">
        <v>51000</v>
      </c>
      <c r="F499">
        <v>20.399999999999999</v>
      </c>
      <c r="G499">
        <v>26.8</v>
      </c>
      <c r="H499">
        <v>328000</v>
      </c>
      <c r="I499">
        <v>38.200000000000003</v>
      </c>
      <c r="J499">
        <v>6.4</v>
      </c>
      <c r="K499">
        <v>21.3</v>
      </c>
    </row>
    <row r="500" spans="1:11" x14ac:dyDescent="0.2">
      <c r="A500">
        <v>2024</v>
      </c>
      <c r="B500">
        <v>8050</v>
      </c>
      <c r="C500" t="s">
        <v>56</v>
      </c>
      <c r="D500" t="s">
        <v>83</v>
      </c>
      <c r="E500">
        <v>28000</v>
      </c>
      <c r="F500">
        <v>11.3</v>
      </c>
      <c r="G500">
        <v>14.8</v>
      </c>
      <c r="H500">
        <v>243000</v>
      </c>
      <c r="I500">
        <v>28.3</v>
      </c>
      <c r="J500">
        <v>8.6</v>
      </c>
      <c r="K500">
        <v>23</v>
      </c>
    </row>
    <row r="501" spans="1:11" x14ac:dyDescent="0.2">
      <c r="A501">
        <v>2024</v>
      </c>
      <c r="B501">
        <v>8050</v>
      </c>
      <c r="C501" t="s">
        <v>56</v>
      </c>
      <c r="D501" t="s">
        <v>84</v>
      </c>
      <c r="E501">
        <v>59000</v>
      </c>
      <c r="F501">
        <v>23.8</v>
      </c>
      <c r="H501">
        <v>44000</v>
      </c>
      <c r="I501">
        <v>5.2</v>
      </c>
      <c r="J501">
        <v>0.7</v>
      </c>
      <c r="K501">
        <v>10.7</v>
      </c>
    </row>
    <row r="502" spans="1:11" x14ac:dyDescent="0.2">
      <c r="A502">
        <v>2024</v>
      </c>
      <c r="B502">
        <v>8050</v>
      </c>
      <c r="C502" t="s">
        <v>56</v>
      </c>
      <c r="D502" t="s">
        <v>78</v>
      </c>
      <c r="E502">
        <v>72000</v>
      </c>
      <c r="F502">
        <v>29</v>
      </c>
      <c r="G502">
        <v>38</v>
      </c>
      <c r="H502">
        <v>69000</v>
      </c>
      <c r="I502">
        <v>8</v>
      </c>
      <c r="J502">
        <v>1</v>
      </c>
      <c r="K502">
        <v>16.899999999999999</v>
      </c>
    </row>
    <row r="503" spans="1:11" x14ac:dyDescent="0.2">
      <c r="A503">
        <v>2024</v>
      </c>
      <c r="B503">
        <v>8250</v>
      </c>
      <c r="C503" t="s">
        <v>57</v>
      </c>
      <c r="D503" t="s">
        <v>73</v>
      </c>
      <c r="E503">
        <v>6000</v>
      </c>
      <c r="F503">
        <v>1.6</v>
      </c>
      <c r="G503">
        <v>1.9</v>
      </c>
      <c r="H503">
        <v>32000</v>
      </c>
      <c r="I503">
        <v>1.6</v>
      </c>
      <c r="J503">
        <v>5</v>
      </c>
      <c r="K503">
        <v>16.2</v>
      </c>
    </row>
    <row r="504" spans="1:11" x14ac:dyDescent="0.2">
      <c r="A504">
        <v>2024</v>
      </c>
      <c r="B504">
        <v>8250</v>
      </c>
      <c r="C504" t="s">
        <v>57</v>
      </c>
      <c r="D504" t="s">
        <v>74</v>
      </c>
      <c r="E504">
        <v>41000</v>
      </c>
      <c r="F504">
        <v>10.199999999999999</v>
      </c>
      <c r="G504">
        <v>12.4</v>
      </c>
      <c r="H504">
        <v>310000</v>
      </c>
      <c r="I504">
        <v>15.3</v>
      </c>
      <c r="J504">
        <v>7.5</v>
      </c>
      <c r="K504">
        <v>20.3</v>
      </c>
    </row>
    <row r="505" spans="1:11" x14ac:dyDescent="0.2">
      <c r="A505">
        <v>2024</v>
      </c>
      <c r="B505">
        <v>8250</v>
      </c>
      <c r="C505" t="s">
        <v>57</v>
      </c>
      <c r="D505" t="s">
        <v>75</v>
      </c>
      <c r="E505">
        <v>135000</v>
      </c>
      <c r="F505">
        <v>33.5</v>
      </c>
      <c r="G505">
        <v>40.700000000000003</v>
      </c>
      <c r="H505">
        <v>905000</v>
      </c>
      <c r="I505">
        <v>44.8</v>
      </c>
      <c r="J505">
        <v>6.7</v>
      </c>
      <c r="K505">
        <v>16.100000000000001</v>
      </c>
    </row>
    <row r="506" spans="1:11" x14ac:dyDescent="0.2">
      <c r="A506">
        <v>2024</v>
      </c>
      <c r="B506">
        <v>8250</v>
      </c>
      <c r="C506" t="s">
        <v>57</v>
      </c>
      <c r="D506" t="s">
        <v>76</v>
      </c>
      <c r="E506">
        <v>80000</v>
      </c>
      <c r="F506">
        <v>19.8</v>
      </c>
      <c r="G506">
        <v>24.1</v>
      </c>
      <c r="H506">
        <v>673000</v>
      </c>
      <c r="I506">
        <v>33.4</v>
      </c>
      <c r="J506">
        <v>8.4</v>
      </c>
      <c r="K506">
        <v>15.4</v>
      </c>
    </row>
    <row r="507" spans="1:11" x14ac:dyDescent="0.2">
      <c r="A507">
        <v>2024</v>
      </c>
      <c r="B507">
        <v>8250</v>
      </c>
      <c r="C507" t="s">
        <v>57</v>
      </c>
      <c r="D507" t="s">
        <v>77</v>
      </c>
      <c r="E507">
        <v>72000</v>
      </c>
      <c r="F507">
        <v>17.8</v>
      </c>
      <c r="H507">
        <v>47000</v>
      </c>
      <c r="I507">
        <v>2.2999999999999998</v>
      </c>
      <c r="J507">
        <v>0.7</v>
      </c>
      <c r="K507">
        <v>8.9</v>
      </c>
    </row>
    <row r="508" spans="1:11" x14ac:dyDescent="0.2">
      <c r="A508">
        <v>2024</v>
      </c>
      <c r="B508">
        <v>8250</v>
      </c>
      <c r="C508" t="s">
        <v>57</v>
      </c>
      <c r="D508" t="s">
        <v>78</v>
      </c>
      <c r="E508">
        <v>69000</v>
      </c>
      <c r="F508">
        <v>17.100000000000001</v>
      </c>
      <c r="G508">
        <v>20.8</v>
      </c>
      <c r="H508">
        <v>51000</v>
      </c>
      <c r="I508">
        <v>2.6</v>
      </c>
      <c r="J508">
        <v>0.7</v>
      </c>
      <c r="K508">
        <v>12.2</v>
      </c>
    </row>
    <row r="509" spans="1:11" x14ac:dyDescent="0.2">
      <c r="A509">
        <v>2024</v>
      </c>
      <c r="B509">
        <v>8350</v>
      </c>
      <c r="C509" t="s">
        <v>106</v>
      </c>
      <c r="D509" t="s">
        <v>80</v>
      </c>
      <c r="E509">
        <v>2000</v>
      </c>
      <c r="F509">
        <v>1</v>
      </c>
      <c r="G509">
        <v>1.1000000000000001</v>
      </c>
      <c r="H509">
        <v>14000</v>
      </c>
      <c r="I509">
        <v>0.5</v>
      </c>
      <c r="J509">
        <v>5.9</v>
      </c>
      <c r="K509">
        <v>27.8</v>
      </c>
    </row>
    <row r="510" spans="1:11" x14ac:dyDescent="0.2">
      <c r="A510">
        <v>2024</v>
      </c>
      <c r="B510">
        <v>8350</v>
      </c>
      <c r="C510" t="s">
        <v>106</v>
      </c>
      <c r="D510" t="s">
        <v>81</v>
      </c>
      <c r="E510">
        <v>12000</v>
      </c>
      <c r="F510">
        <v>5.4</v>
      </c>
      <c r="G510">
        <v>5.7</v>
      </c>
      <c r="H510">
        <v>338000</v>
      </c>
      <c r="I510">
        <v>11.8</v>
      </c>
      <c r="J510">
        <v>27.3</v>
      </c>
      <c r="K510">
        <v>43.7</v>
      </c>
    </row>
    <row r="511" spans="1:11" x14ac:dyDescent="0.2">
      <c r="A511">
        <v>2024</v>
      </c>
      <c r="B511">
        <v>8350</v>
      </c>
      <c r="C511" t="s">
        <v>106</v>
      </c>
      <c r="D511" t="s">
        <v>75</v>
      </c>
      <c r="E511">
        <v>131000</v>
      </c>
      <c r="F511">
        <v>57.8</v>
      </c>
      <c r="G511">
        <v>60.3</v>
      </c>
      <c r="H511">
        <v>1832000</v>
      </c>
      <c r="I511">
        <v>63.9</v>
      </c>
      <c r="J511">
        <v>13.9</v>
      </c>
      <c r="K511">
        <v>18.899999999999999</v>
      </c>
    </row>
    <row r="512" spans="1:11" x14ac:dyDescent="0.2">
      <c r="A512">
        <v>2024</v>
      </c>
      <c r="B512">
        <v>8350</v>
      </c>
      <c r="C512" t="s">
        <v>106</v>
      </c>
      <c r="D512" t="s">
        <v>83</v>
      </c>
      <c r="E512">
        <v>54000</v>
      </c>
      <c r="F512">
        <v>23.5</v>
      </c>
      <c r="G512">
        <v>24.6</v>
      </c>
      <c r="H512">
        <v>651000</v>
      </c>
      <c r="I512">
        <v>22.7</v>
      </c>
      <c r="J512">
        <v>12.2</v>
      </c>
      <c r="K512">
        <v>18.100000000000001</v>
      </c>
    </row>
    <row r="513" spans="1:11" x14ac:dyDescent="0.2">
      <c r="A513">
        <v>2024</v>
      </c>
      <c r="B513">
        <v>8350</v>
      </c>
      <c r="C513" t="s">
        <v>106</v>
      </c>
      <c r="D513" t="s">
        <v>84</v>
      </c>
      <c r="E513">
        <v>9000</v>
      </c>
      <c r="F513">
        <v>4.0999999999999996</v>
      </c>
      <c r="H513">
        <v>7000</v>
      </c>
      <c r="I513">
        <v>0.2</v>
      </c>
      <c r="J513">
        <v>0.7</v>
      </c>
      <c r="K513">
        <v>15.6</v>
      </c>
    </row>
    <row r="514" spans="1:11" x14ac:dyDescent="0.2">
      <c r="A514">
        <v>2024</v>
      </c>
      <c r="B514">
        <v>8350</v>
      </c>
      <c r="C514" t="s">
        <v>106</v>
      </c>
      <c r="D514" t="s">
        <v>78</v>
      </c>
      <c r="E514">
        <v>18000</v>
      </c>
      <c r="F514">
        <v>8</v>
      </c>
      <c r="G514">
        <v>8.4</v>
      </c>
      <c r="H514">
        <v>28000</v>
      </c>
      <c r="I514">
        <v>1</v>
      </c>
      <c r="J514">
        <v>1.5</v>
      </c>
      <c r="K514">
        <v>17.8</v>
      </c>
    </row>
    <row r="515" spans="1:11" x14ac:dyDescent="0.2">
      <c r="A515">
        <v>2024</v>
      </c>
      <c r="B515">
        <v>8400</v>
      </c>
      <c r="C515" t="s">
        <v>107</v>
      </c>
      <c r="D515" t="s">
        <v>80</v>
      </c>
      <c r="E515">
        <v>1000</v>
      </c>
      <c r="F515">
        <v>0.7</v>
      </c>
      <c r="G515">
        <v>0.7</v>
      </c>
      <c r="H515">
        <v>2000</v>
      </c>
      <c r="I515">
        <v>0.1</v>
      </c>
      <c r="J515">
        <v>1.3</v>
      </c>
      <c r="K515">
        <v>23.7</v>
      </c>
    </row>
    <row r="516" spans="1:11" x14ac:dyDescent="0.2">
      <c r="A516">
        <v>2024</v>
      </c>
      <c r="B516">
        <v>8400</v>
      </c>
      <c r="C516" t="s">
        <v>107</v>
      </c>
      <c r="D516" t="s">
        <v>87</v>
      </c>
      <c r="E516">
        <v>2000</v>
      </c>
      <c r="F516">
        <v>1.1000000000000001</v>
      </c>
      <c r="G516">
        <v>1.1000000000000001</v>
      </c>
      <c r="H516">
        <v>44000</v>
      </c>
      <c r="I516">
        <v>1.5</v>
      </c>
      <c r="J516">
        <v>23.5</v>
      </c>
      <c r="K516">
        <v>46.9</v>
      </c>
    </row>
    <row r="517" spans="1:11" x14ac:dyDescent="0.2">
      <c r="A517">
        <v>2024</v>
      </c>
      <c r="B517">
        <v>8400</v>
      </c>
      <c r="C517" t="s">
        <v>107</v>
      </c>
      <c r="D517" t="s">
        <v>75</v>
      </c>
      <c r="E517">
        <v>98000</v>
      </c>
      <c r="F517">
        <v>58.2</v>
      </c>
      <c r="G517">
        <v>59.2</v>
      </c>
      <c r="H517">
        <v>2188000</v>
      </c>
      <c r="I517">
        <v>72.3</v>
      </c>
      <c r="J517">
        <v>22.2</v>
      </c>
      <c r="K517">
        <v>29.7</v>
      </c>
    </row>
    <row r="518" spans="1:11" x14ac:dyDescent="0.2">
      <c r="A518">
        <v>2024</v>
      </c>
      <c r="B518">
        <v>8400</v>
      </c>
      <c r="C518" t="s">
        <v>107</v>
      </c>
      <c r="D518" t="s">
        <v>83</v>
      </c>
      <c r="E518">
        <v>47000</v>
      </c>
      <c r="F518">
        <v>27.6</v>
      </c>
      <c r="G518">
        <v>28</v>
      </c>
      <c r="H518">
        <v>758000</v>
      </c>
      <c r="I518">
        <v>25</v>
      </c>
      <c r="J518">
        <v>16.3</v>
      </c>
      <c r="K518">
        <v>22.4</v>
      </c>
    </row>
    <row r="519" spans="1:11" x14ac:dyDescent="0.2">
      <c r="A519">
        <v>2024</v>
      </c>
      <c r="B519">
        <v>8400</v>
      </c>
      <c r="C519" t="s">
        <v>107</v>
      </c>
      <c r="D519" t="s">
        <v>88</v>
      </c>
      <c r="E519">
        <v>3000</v>
      </c>
      <c r="F519">
        <v>1.6</v>
      </c>
      <c r="H519">
        <v>1000</v>
      </c>
      <c r="I519">
        <v>0</v>
      </c>
      <c r="J519">
        <v>0.5</v>
      </c>
      <c r="K519">
        <v>6.6</v>
      </c>
    </row>
    <row r="520" spans="1:11" x14ac:dyDescent="0.2">
      <c r="A520">
        <v>2024</v>
      </c>
      <c r="B520">
        <v>8400</v>
      </c>
      <c r="C520" t="s">
        <v>107</v>
      </c>
      <c r="D520" t="s">
        <v>85</v>
      </c>
      <c r="E520">
        <v>18000</v>
      </c>
      <c r="F520">
        <v>10.8</v>
      </c>
      <c r="G520">
        <v>11</v>
      </c>
      <c r="H520">
        <v>33000</v>
      </c>
      <c r="I520">
        <v>1.1000000000000001</v>
      </c>
      <c r="J520">
        <v>1.8</v>
      </c>
      <c r="K520">
        <v>17.3</v>
      </c>
    </row>
    <row r="521" spans="1:11" x14ac:dyDescent="0.2">
      <c r="A521">
        <v>2024</v>
      </c>
      <c r="B521">
        <v>8450</v>
      </c>
      <c r="C521" t="s">
        <v>108</v>
      </c>
      <c r="D521" t="s">
        <v>94</v>
      </c>
      <c r="E521">
        <v>24000</v>
      </c>
      <c r="F521">
        <v>3.1</v>
      </c>
      <c r="G521">
        <v>3.4</v>
      </c>
      <c r="H521">
        <v>108000</v>
      </c>
      <c r="I521">
        <v>1.7</v>
      </c>
      <c r="J521">
        <v>4.5</v>
      </c>
      <c r="K521">
        <v>22.6</v>
      </c>
    </row>
    <row r="522" spans="1:11" x14ac:dyDescent="0.2">
      <c r="A522">
        <v>2024</v>
      </c>
      <c r="B522">
        <v>8450</v>
      </c>
      <c r="C522" t="s">
        <v>108</v>
      </c>
      <c r="D522" t="s">
        <v>74</v>
      </c>
      <c r="E522">
        <v>36000</v>
      </c>
      <c r="F522">
        <v>4.5999999999999996</v>
      </c>
      <c r="G522">
        <v>5</v>
      </c>
      <c r="H522">
        <v>474000</v>
      </c>
      <c r="I522">
        <v>7.3</v>
      </c>
      <c r="J522">
        <v>13.3</v>
      </c>
      <c r="K522">
        <v>27.2</v>
      </c>
    </row>
    <row r="523" spans="1:11" x14ac:dyDescent="0.2">
      <c r="A523">
        <v>2024</v>
      </c>
      <c r="B523">
        <v>8450</v>
      </c>
      <c r="C523" t="s">
        <v>108</v>
      </c>
      <c r="D523" t="s">
        <v>75</v>
      </c>
      <c r="E523">
        <v>394000</v>
      </c>
      <c r="F523">
        <v>51.2</v>
      </c>
      <c r="G523">
        <v>55.4</v>
      </c>
      <c r="H523">
        <v>4219000</v>
      </c>
      <c r="I523">
        <v>65.099999999999994</v>
      </c>
      <c r="J523">
        <v>10.7</v>
      </c>
      <c r="K523">
        <v>16.600000000000001</v>
      </c>
    </row>
    <row r="524" spans="1:11" x14ac:dyDescent="0.2">
      <c r="A524">
        <v>2024</v>
      </c>
      <c r="B524">
        <v>8450</v>
      </c>
      <c r="C524" t="s">
        <v>108</v>
      </c>
      <c r="D524" t="s">
        <v>76</v>
      </c>
      <c r="E524">
        <v>157000</v>
      </c>
      <c r="F524">
        <v>20.399999999999999</v>
      </c>
      <c r="G524">
        <v>22</v>
      </c>
      <c r="H524">
        <v>1546000</v>
      </c>
      <c r="I524">
        <v>23.9</v>
      </c>
      <c r="J524">
        <v>9.8000000000000007</v>
      </c>
      <c r="K524">
        <v>15.9</v>
      </c>
    </row>
    <row r="525" spans="1:11" x14ac:dyDescent="0.2">
      <c r="A525">
        <v>2024</v>
      </c>
      <c r="B525">
        <v>8450</v>
      </c>
      <c r="C525" t="s">
        <v>108</v>
      </c>
      <c r="D525" t="s">
        <v>77</v>
      </c>
      <c r="E525">
        <v>58000</v>
      </c>
      <c r="F525">
        <v>7.6</v>
      </c>
      <c r="H525">
        <v>41000</v>
      </c>
      <c r="I525">
        <v>0.6</v>
      </c>
      <c r="J525">
        <v>0.7</v>
      </c>
      <c r="K525">
        <v>9.1</v>
      </c>
    </row>
    <row r="526" spans="1:11" x14ac:dyDescent="0.2">
      <c r="A526">
        <v>2024</v>
      </c>
      <c r="B526">
        <v>8450</v>
      </c>
      <c r="C526" t="s">
        <v>108</v>
      </c>
      <c r="D526" t="s">
        <v>78</v>
      </c>
      <c r="E526">
        <v>101000</v>
      </c>
      <c r="F526">
        <v>13.2</v>
      </c>
      <c r="G526">
        <v>14.2</v>
      </c>
      <c r="H526">
        <v>89000</v>
      </c>
      <c r="I526">
        <v>1.4</v>
      </c>
      <c r="J526">
        <v>0.9</v>
      </c>
      <c r="K526">
        <v>16</v>
      </c>
    </row>
    <row r="527" spans="1:11" x14ac:dyDescent="0.2">
      <c r="A527">
        <v>2024</v>
      </c>
      <c r="B527">
        <v>8500</v>
      </c>
      <c r="C527" t="s">
        <v>58</v>
      </c>
      <c r="D527" t="s">
        <v>73</v>
      </c>
      <c r="E527">
        <v>6000</v>
      </c>
      <c r="F527">
        <v>2.2999999999999998</v>
      </c>
      <c r="G527">
        <v>2.8</v>
      </c>
      <c r="H527">
        <v>46000</v>
      </c>
      <c r="I527">
        <v>5.0999999999999996</v>
      </c>
      <c r="J527">
        <v>7.5</v>
      </c>
      <c r="K527">
        <v>39.4</v>
      </c>
    </row>
    <row r="528" spans="1:11" x14ac:dyDescent="0.2">
      <c r="A528">
        <v>2024</v>
      </c>
      <c r="B528">
        <v>8500</v>
      </c>
      <c r="C528" t="s">
        <v>58</v>
      </c>
      <c r="D528" t="s">
        <v>74</v>
      </c>
      <c r="E528">
        <v>23000</v>
      </c>
      <c r="F528">
        <v>8.6</v>
      </c>
      <c r="G528">
        <v>10.199999999999999</v>
      </c>
      <c r="H528">
        <v>105000</v>
      </c>
      <c r="I528">
        <v>11.6</v>
      </c>
      <c r="J528">
        <v>4.5999999999999996</v>
      </c>
      <c r="K528">
        <v>17.100000000000001</v>
      </c>
    </row>
    <row r="529" spans="1:11" x14ac:dyDescent="0.2">
      <c r="A529">
        <v>2024</v>
      </c>
      <c r="B529">
        <v>8500</v>
      </c>
      <c r="C529" t="s">
        <v>58</v>
      </c>
      <c r="D529" t="s">
        <v>75</v>
      </c>
      <c r="E529">
        <v>83000</v>
      </c>
      <c r="F529">
        <v>31.3</v>
      </c>
      <c r="G529">
        <v>37</v>
      </c>
      <c r="H529">
        <v>444000</v>
      </c>
      <c r="I529">
        <v>48.8</v>
      </c>
      <c r="J529">
        <v>5.4</v>
      </c>
      <c r="K529">
        <v>16.899999999999999</v>
      </c>
    </row>
    <row r="530" spans="1:11" x14ac:dyDescent="0.2">
      <c r="A530">
        <v>2024</v>
      </c>
      <c r="B530">
        <v>8500</v>
      </c>
      <c r="C530" t="s">
        <v>58</v>
      </c>
      <c r="D530" t="s">
        <v>76</v>
      </c>
      <c r="E530">
        <v>37000</v>
      </c>
      <c r="F530">
        <v>14</v>
      </c>
      <c r="G530">
        <v>16.600000000000001</v>
      </c>
      <c r="H530">
        <v>232000</v>
      </c>
      <c r="I530">
        <v>25.5</v>
      </c>
      <c r="J530">
        <v>6.3</v>
      </c>
      <c r="K530">
        <v>20.100000000000001</v>
      </c>
    </row>
    <row r="531" spans="1:11" x14ac:dyDescent="0.2">
      <c r="A531">
        <v>2024</v>
      </c>
      <c r="B531">
        <v>8500</v>
      </c>
      <c r="C531" t="s">
        <v>58</v>
      </c>
      <c r="D531" t="s">
        <v>77</v>
      </c>
      <c r="E531">
        <v>41000</v>
      </c>
      <c r="F531">
        <v>15.5</v>
      </c>
      <c r="H531">
        <v>23000</v>
      </c>
      <c r="I531">
        <v>2.5</v>
      </c>
      <c r="J531">
        <v>0.6</v>
      </c>
      <c r="K531">
        <v>9.1999999999999993</v>
      </c>
    </row>
    <row r="532" spans="1:11" x14ac:dyDescent="0.2">
      <c r="A532">
        <v>2024</v>
      </c>
      <c r="B532">
        <v>8500</v>
      </c>
      <c r="C532" t="s">
        <v>58</v>
      </c>
      <c r="D532" t="s">
        <v>78</v>
      </c>
      <c r="E532">
        <v>75000</v>
      </c>
      <c r="F532">
        <v>28.3</v>
      </c>
      <c r="G532">
        <v>33.5</v>
      </c>
      <c r="H532">
        <v>60000</v>
      </c>
      <c r="I532">
        <v>6.6</v>
      </c>
      <c r="J532">
        <v>0.8</v>
      </c>
      <c r="K532">
        <v>13.3</v>
      </c>
    </row>
  </sheetData>
  <autoFilter ref="A1:K532" xr:uid="{0C296B2A-B192-324D-B000-2C39BF67761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A5A9-9B24-644F-A648-7F5408837E60}">
  <dimension ref="A1:V11"/>
  <sheetViews>
    <sheetView topLeftCell="E1" workbookViewId="0">
      <selection activeCell="K19" sqref="K19"/>
    </sheetView>
  </sheetViews>
  <sheetFormatPr baseColWidth="10" defaultRowHeight="16" x14ac:dyDescent="0.2"/>
  <cols>
    <col min="1" max="1" width="24" bestFit="1" customWidth="1"/>
  </cols>
  <sheetData>
    <row r="1" spans="1:22" x14ac:dyDescent="0.2">
      <c r="A1" s="26" t="s">
        <v>145</v>
      </c>
      <c r="B1" s="28">
        <v>45292</v>
      </c>
      <c r="C1" s="28">
        <v>45323</v>
      </c>
      <c r="D1" s="28">
        <v>45352</v>
      </c>
      <c r="E1" s="28">
        <v>45383</v>
      </c>
      <c r="F1" s="28">
        <v>45413</v>
      </c>
      <c r="G1" s="28">
        <v>45444</v>
      </c>
      <c r="H1" s="28">
        <v>45474</v>
      </c>
      <c r="I1" s="28">
        <v>45505</v>
      </c>
      <c r="J1" s="28">
        <v>45536</v>
      </c>
      <c r="K1" s="28">
        <v>45566</v>
      </c>
      <c r="L1" s="28">
        <v>45597</v>
      </c>
      <c r="M1" s="28">
        <v>45627</v>
      </c>
      <c r="N1" s="28">
        <v>45658</v>
      </c>
      <c r="O1" s="28">
        <v>45689</v>
      </c>
      <c r="P1" s="28">
        <v>45717</v>
      </c>
      <c r="Q1" s="28">
        <v>45748</v>
      </c>
      <c r="R1" s="28">
        <v>45778</v>
      </c>
      <c r="S1" s="28">
        <v>45809</v>
      </c>
      <c r="T1" s="28">
        <v>45839</v>
      </c>
      <c r="U1" s="28">
        <v>45870</v>
      </c>
      <c r="V1" s="28">
        <v>45901</v>
      </c>
    </row>
    <row r="2" spans="1:22" x14ac:dyDescent="0.2">
      <c r="A2" s="27" t="s">
        <v>146</v>
      </c>
      <c r="B2" s="29">
        <v>0.97099999999999997</v>
      </c>
      <c r="C2" s="29">
        <v>0.91500000000000004</v>
      </c>
      <c r="D2" s="29">
        <v>0.92200000000000004</v>
      </c>
      <c r="E2" s="29">
        <v>0.94599999999999995</v>
      </c>
      <c r="F2" s="29">
        <v>0.93</v>
      </c>
      <c r="G2" s="29">
        <v>0.93200000000000005</v>
      </c>
      <c r="H2" s="29">
        <v>0.95199999999999996</v>
      </c>
      <c r="I2" s="29">
        <v>0.92800000000000005</v>
      </c>
      <c r="J2" s="29">
        <v>0.93100000000000005</v>
      </c>
      <c r="K2" s="29">
        <v>0.94199999999999995</v>
      </c>
      <c r="L2" s="29">
        <v>0.93410000000000004</v>
      </c>
      <c r="M2" s="29">
        <v>0.94799999999999995</v>
      </c>
      <c r="N2" s="29">
        <v>0.96699999999999997</v>
      </c>
      <c r="O2" s="29">
        <v>0.91800000000000004</v>
      </c>
      <c r="P2" s="29">
        <v>0.92400000000000004</v>
      </c>
      <c r="Q2" s="29">
        <v>0.93899999999999995</v>
      </c>
      <c r="R2" s="29">
        <v>0.91</v>
      </c>
      <c r="S2" s="29">
        <v>0.92573150578399921</v>
      </c>
      <c r="T2" s="29">
        <v>0.95</v>
      </c>
      <c r="U2" s="29">
        <v>0.93400000000000005</v>
      </c>
      <c r="V2" s="29">
        <v>0.93400000000000005</v>
      </c>
    </row>
    <row r="3" spans="1:22" x14ac:dyDescent="0.2">
      <c r="A3" s="27" t="s">
        <v>147</v>
      </c>
      <c r="B3" s="29">
        <v>0.96799999999999997</v>
      </c>
      <c r="C3" s="29">
        <v>0.91300000000000003</v>
      </c>
      <c r="D3" s="29">
        <v>0.92200000000000004</v>
      </c>
      <c r="E3" s="29">
        <v>0.94199999999999995</v>
      </c>
      <c r="F3" s="29">
        <v>0.91500000000000004</v>
      </c>
      <c r="G3" s="29">
        <v>0.92500000000000004</v>
      </c>
      <c r="H3" s="29">
        <v>0.94199999999999995</v>
      </c>
      <c r="I3" s="29">
        <v>0.92</v>
      </c>
      <c r="J3" s="29">
        <v>0.92800000000000005</v>
      </c>
      <c r="K3" s="29">
        <v>0.93899999999999995</v>
      </c>
      <c r="L3" s="29">
        <v>0.93169999999999997</v>
      </c>
      <c r="M3" s="29">
        <v>0.94199999999999995</v>
      </c>
      <c r="N3" s="29">
        <v>0.95899999999999996</v>
      </c>
      <c r="O3" s="29">
        <v>0.92</v>
      </c>
      <c r="P3" s="29">
        <v>0.91800000000000004</v>
      </c>
      <c r="Q3" s="29">
        <v>0.92700000000000005</v>
      </c>
      <c r="R3" s="29">
        <v>0.92300000000000004</v>
      </c>
      <c r="S3" s="29">
        <v>0.93532278339331532</v>
      </c>
      <c r="T3" s="29">
        <v>0.94</v>
      </c>
      <c r="U3" s="29">
        <v>0.92300000000000004</v>
      </c>
      <c r="V3" s="29">
        <v>0.92800000000000005</v>
      </c>
    </row>
    <row r="4" spans="1:22" x14ac:dyDescent="0.2">
      <c r="A4" s="27" t="s">
        <v>148</v>
      </c>
      <c r="B4" s="29">
        <v>0.95599999999999996</v>
      </c>
      <c r="C4" s="29">
        <v>0.91500000000000004</v>
      </c>
      <c r="D4" s="29">
        <v>0.91400000000000003</v>
      </c>
      <c r="E4" s="29">
        <v>0.92600000000000005</v>
      </c>
      <c r="F4" s="29">
        <v>0.91300000000000003</v>
      </c>
      <c r="G4" s="29">
        <v>0.92600000000000005</v>
      </c>
      <c r="H4" s="29">
        <v>0.93400000000000005</v>
      </c>
      <c r="I4" s="29">
        <v>0.92300000000000004</v>
      </c>
      <c r="J4" s="29">
        <v>0.92700000000000005</v>
      </c>
      <c r="K4" s="29">
        <v>0.93100000000000005</v>
      </c>
      <c r="L4" s="29">
        <v>0.92200000000000004</v>
      </c>
      <c r="M4" s="29">
        <v>0.93500000000000005</v>
      </c>
      <c r="N4" s="29">
        <v>0.94599999999999995</v>
      </c>
      <c r="O4" s="29">
        <v>0.91</v>
      </c>
      <c r="P4" s="29">
        <v>0.91500000000000004</v>
      </c>
      <c r="Q4" s="29">
        <v>0.92800000000000005</v>
      </c>
      <c r="R4" s="29">
        <v>0.90800000000000003</v>
      </c>
      <c r="S4" s="29">
        <v>0.92108999641448552</v>
      </c>
      <c r="T4" s="29">
        <v>0.93700000000000006</v>
      </c>
      <c r="U4" s="29">
        <v>0.92300000000000004</v>
      </c>
      <c r="V4" s="29">
        <v>0.93100000000000005</v>
      </c>
    </row>
    <row r="5" spans="1:22" x14ac:dyDescent="0.2">
      <c r="A5" s="27" t="s">
        <v>149</v>
      </c>
      <c r="B5" s="29">
        <v>0.96299999999999997</v>
      </c>
      <c r="C5" s="29">
        <v>0.92600000000000005</v>
      </c>
      <c r="D5" s="29">
        <v>0.93700000000000006</v>
      </c>
      <c r="E5" s="29">
        <v>0.94599999999999995</v>
      </c>
      <c r="F5" s="29">
        <v>0.93600000000000005</v>
      </c>
      <c r="G5" s="29">
        <v>0.94699999999999995</v>
      </c>
      <c r="H5" s="29">
        <v>0.95899999999999996</v>
      </c>
      <c r="I5" s="29">
        <v>0.94399999999999995</v>
      </c>
      <c r="J5" s="29">
        <v>0.94899999999999995</v>
      </c>
      <c r="K5" s="29">
        <v>0.95</v>
      </c>
      <c r="L5" s="29">
        <v>0.94289999999999996</v>
      </c>
      <c r="M5" s="29">
        <v>0.95299999999999996</v>
      </c>
      <c r="N5" s="29">
        <v>0.96</v>
      </c>
      <c r="O5" s="29">
        <v>0.93799999999999994</v>
      </c>
      <c r="P5" s="29">
        <v>0.93600000000000005</v>
      </c>
      <c r="Q5" s="29">
        <v>0.94899999999999995</v>
      </c>
      <c r="R5" s="29">
        <v>0.93200000000000005</v>
      </c>
      <c r="S5" s="29">
        <v>0.94561709550806805</v>
      </c>
      <c r="T5" s="29">
        <v>0.95699999999999996</v>
      </c>
      <c r="U5" s="29">
        <v>0.94599999999999995</v>
      </c>
      <c r="V5" s="29">
        <v>0.94499999999999995</v>
      </c>
    </row>
    <row r="6" spans="1:22" x14ac:dyDescent="0.2">
      <c r="A6" s="27" t="s">
        <v>150</v>
      </c>
      <c r="B6" s="29">
        <v>0.96499999999999997</v>
      </c>
      <c r="C6" s="29">
        <v>0.94</v>
      </c>
      <c r="D6" s="29">
        <v>0.94599999999999995</v>
      </c>
      <c r="E6" s="29">
        <v>0.95099999999999996</v>
      </c>
      <c r="F6" s="29">
        <v>0.94499999999999995</v>
      </c>
      <c r="G6" s="29">
        <v>0.95299999999999996</v>
      </c>
      <c r="H6" s="29">
        <v>0.96499999999999997</v>
      </c>
      <c r="I6" s="29">
        <v>0.95299999999999996</v>
      </c>
      <c r="J6" s="29">
        <v>0.95699999999999996</v>
      </c>
      <c r="K6" s="29">
        <v>0.95099999999999996</v>
      </c>
      <c r="L6" s="29">
        <v>0.93959999999999999</v>
      </c>
      <c r="M6" s="29">
        <v>0.94699999999999995</v>
      </c>
      <c r="N6" s="29">
        <v>0.96399999999999997</v>
      </c>
      <c r="O6" s="29">
        <v>0.93400000000000005</v>
      </c>
      <c r="P6" s="29">
        <v>0.94199999999999995</v>
      </c>
      <c r="Q6" s="29">
        <v>0.95099999999999996</v>
      </c>
      <c r="R6" s="29">
        <v>0.93899999999999995</v>
      </c>
      <c r="S6" s="29">
        <v>0.9547057053183714</v>
      </c>
      <c r="T6" s="29">
        <v>0.96299999999999997</v>
      </c>
      <c r="U6" s="29">
        <v>0.94399999999999995</v>
      </c>
      <c r="V6" s="29">
        <v>0.95099999999999996</v>
      </c>
    </row>
    <row r="7" spans="1:22" x14ac:dyDescent="0.2">
      <c r="A7" s="27" t="s">
        <v>151</v>
      </c>
      <c r="B7" s="29">
        <v>0.95699999999999996</v>
      </c>
      <c r="C7" s="29">
        <v>0.90400000000000003</v>
      </c>
      <c r="D7" s="29">
        <v>0.91800000000000004</v>
      </c>
      <c r="E7" s="29">
        <v>0.93400000000000005</v>
      </c>
      <c r="F7" s="29">
        <v>0.91300000000000003</v>
      </c>
      <c r="G7" s="29">
        <v>0.93</v>
      </c>
      <c r="H7" s="29">
        <v>0.95099999999999996</v>
      </c>
      <c r="I7" s="29">
        <v>0.93500000000000005</v>
      </c>
      <c r="J7" s="29">
        <v>0.94499999999999995</v>
      </c>
      <c r="K7" s="30">
        <v>0.94</v>
      </c>
      <c r="L7" s="30">
        <v>0.92469999999999997</v>
      </c>
      <c r="M7" s="30">
        <v>0.94399999999999995</v>
      </c>
      <c r="N7" s="29">
        <v>0.96499999999999997</v>
      </c>
      <c r="O7" s="29">
        <v>0.91500000000000004</v>
      </c>
      <c r="P7" s="29">
        <v>0.91300000000000003</v>
      </c>
      <c r="Q7" s="29">
        <v>0.92900000000000005</v>
      </c>
      <c r="R7" s="29">
        <v>0.91</v>
      </c>
      <c r="S7" s="29">
        <v>0.92962170913528341</v>
      </c>
      <c r="T7" s="29">
        <v>0.94799999999999995</v>
      </c>
      <c r="U7" s="29">
        <v>0.92700000000000005</v>
      </c>
      <c r="V7" s="29">
        <v>0.93799999999999994</v>
      </c>
    </row>
    <row r="8" spans="1:22" x14ac:dyDescent="0.2">
      <c r="A8" s="27" t="s">
        <v>152</v>
      </c>
      <c r="B8" s="29">
        <v>0.96499999999999997</v>
      </c>
      <c r="C8" s="29">
        <v>0.93799999999999994</v>
      </c>
      <c r="D8" s="29">
        <v>0.94699999999999995</v>
      </c>
      <c r="E8" s="29">
        <v>0.95199999999999996</v>
      </c>
      <c r="F8" s="29">
        <v>0.94399999999999995</v>
      </c>
      <c r="G8" s="29">
        <v>0.95199999999999996</v>
      </c>
      <c r="H8" s="29">
        <v>0.96599999999999997</v>
      </c>
      <c r="I8" s="29">
        <v>0.95199999999999996</v>
      </c>
      <c r="J8" s="29">
        <v>0.95499999999999996</v>
      </c>
      <c r="K8" s="29">
        <v>0.95399999999999996</v>
      </c>
      <c r="L8" s="29">
        <v>0.93959999999999999</v>
      </c>
      <c r="M8" s="29">
        <v>0.94499999999999995</v>
      </c>
      <c r="N8" s="29">
        <v>0.96599999999999997</v>
      </c>
      <c r="O8" s="29">
        <v>0.92300000000000004</v>
      </c>
      <c r="P8" s="29">
        <v>0.94299999999999995</v>
      </c>
      <c r="Q8" s="29">
        <v>0.95399999999999996</v>
      </c>
      <c r="R8" s="29">
        <v>0.94</v>
      </c>
      <c r="S8" s="29">
        <v>0.94669472207610028</v>
      </c>
      <c r="T8" s="29">
        <v>0.96099999999999997</v>
      </c>
      <c r="U8" s="29">
        <v>0.94499999999999995</v>
      </c>
      <c r="V8" s="29">
        <v>0.94299999999999995</v>
      </c>
    </row>
    <row r="9" spans="1:22" x14ac:dyDescent="0.2">
      <c r="A9" s="27" t="s">
        <v>153</v>
      </c>
      <c r="B9" s="29">
        <v>0.95</v>
      </c>
      <c r="C9" s="29">
        <v>0.90500000000000003</v>
      </c>
      <c r="D9" s="29">
        <v>0.92500000000000004</v>
      </c>
      <c r="E9" s="29">
        <v>0.94399999999999995</v>
      </c>
      <c r="F9" s="29">
        <v>0.94</v>
      </c>
      <c r="G9" s="29">
        <v>0.95199999999999996</v>
      </c>
      <c r="H9" s="29">
        <v>0.96099999999999997</v>
      </c>
      <c r="I9" s="29">
        <v>0.94799999999999995</v>
      </c>
      <c r="J9" s="29">
        <v>0.94899999999999995</v>
      </c>
      <c r="K9" s="29">
        <v>0.94099999999999995</v>
      </c>
      <c r="L9" s="29">
        <v>0.92610000000000003</v>
      </c>
      <c r="M9" s="29">
        <v>0.93700000000000006</v>
      </c>
      <c r="N9" s="29">
        <v>0.96299999999999997</v>
      </c>
      <c r="O9" s="29">
        <v>0.92400000000000004</v>
      </c>
      <c r="P9" s="29">
        <v>0.94099999999999995</v>
      </c>
      <c r="Q9" s="29">
        <v>0.95599999999999996</v>
      </c>
      <c r="R9" s="29">
        <v>0.95599999999999996</v>
      </c>
      <c r="S9" s="29">
        <v>0.96548326580801791</v>
      </c>
      <c r="T9" s="29">
        <v>0.97099999999999997</v>
      </c>
      <c r="U9" s="29">
        <v>0.95499999999999996</v>
      </c>
      <c r="V9" s="29">
        <v>0.95799999999999996</v>
      </c>
    </row>
    <row r="10" spans="1:22" x14ac:dyDescent="0.2">
      <c r="A10" s="27" t="s">
        <v>154</v>
      </c>
      <c r="B10" s="29">
        <v>0.94899999999999995</v>
      </c>
      <c r="C10" s="29">
        <v>0.89200000000000002</v>
      </c>
      <c r="D10" s="29">
        <v>0.89300000000000002</v>
      </c>
      <c r="E10" s="29">
        <v>0.92200000000000004</v>
      </c>
      <c r="F10" s="29">
        <v>0.91500000000000004</v>
      </c>
      <c r="G10" s="29">
        <v>0.94499999999999995</v>
      </c>
      <c r="H10" s="29">
        <v>0.95399999999999996</v>
      </c>
      <c r="I10" s="29">
        <v>0.93500000000000005</v>
      </c>
      <c r="J10" s="29">
        <v>0.94</v>
      </c>
      <c r="K10" s="29">
        <v>0.94199999999999995</v>
      </c>
      <c r="L10" s="29">
        <v>0.92949999999999999</v>
      </c>
      <c r="M10" s="29">
        <v>0.94499999999999995</v>
      </c>
      <c r="N10" s="29">
        <v>0.96499999999999997</v>
      </c>
      <c r="O10" s="29">
        <v>0.92</v>
      </c>
      <c r="P10" s="29">
        <v>0.91600000000000004</v>
      </c>
      <c r="Q10" s="29">
        <v>0.93</v>
      </c>
      <c r="R10" s="29">
        <v>0.91600000000000004</v>
      </c>
      <c r="S10" s="29">
        <v>0.93336209789539293</v>
      </c>
      <c r="T10" s="29">
        <v>0.95399999999999996</v>
      </c>
      <c r="U10" s="29">
        <v>0.94</v>
      </c>
      <c r="V10" s="29">
        <v>0.94599999999999995</v>
      </c>
    </row>
    <row r="11" spans="1:22" x14ac:dyDescent="0.2">
      <c r="A11" s="27" t="s">
        <v>155</v>
      </c>
      <c r="B11" s="29">
        <v>0.96899999999999997</v>
      </c>
      <c r="C11" s="29">
        <v>0.91400000000000003</v>
      </c>
      <c r="D11" s="29">
        <v>0.92200000000000004</v>
      </c>
      <c r="E11" s="29">
        <v>0.94599999999999995</v>
      </c>
      <c r="F11" s="29">
        <v>0.93700000000000006</v>
      </c>
      <c r="G11" s="29">
        <v>0.94799999999999995</v>
      </c>
      <c r="H11" s="29">
        <v>0.96499999999999997</v>
      </c>
      <c r="I11" s="29">
        <v>0.94699999999999995</v>
      </c>
      <c r="J11" s="29">
        <v>0.95199999999999996</v>
      </c>
      <c r="K11" s="29">
        <v>0.95799999999999996</v>
      </c>
      <c r="L11" s="29">
        <v>0.94530000000000003</v>
      </c>
      <c r="M11" s="29">
        <v>0.96299999999999997</v>
      </c>
      <c r="N11" s="29">
        <v>0.97499999999999998</v>
      </c>
      <c r="O11" s="29">
        <v>0.92500000000000004</v>
      </c>
      <c r="P11" s="29">
        <v>0.93100000000000005</v>
      </c>
      <c r="Q11" s="29">
        <v>0.95099999999999996</v>
      </c>
      <c r="R11" s="29">
        <v>0.93200000000000005</v>
      </c>
      <c r="S11" s="29">
        <v>0.94433588857157169</v>
      </c>
      <c r="T11" s="29">
        <v>0.96099999999999997</v>
      </c>
      <c r="U11" s="29">
        <v>0.93899999999999995</v>
      </c>
      <c r="V11" s="29">
        <v>0.94199999999999995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</vt:lpstr>
      <vt:lpstr>MA_trips</vt:lpstr>
      <vt:lpstr>Cus_CSI</vt:lpstr>
      <vt:lpstr>MA_CSI</vt:lpstr>
      <vt:lpstr>Affordability</vt:lpstr>
      <vt:lpstr>Hourly opal Trips</vt:lpstr>
      <vt:lpstr>LGA  Method of travel to work</vt:lpstr>
      <vt:lpstr>LGA Household travel mode </vt:lpstr>
      <vt:lpstr>On-time performance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Minh Khanh Tan</dc:creator>
  <cp:lastModifiedBy>NGUYEN QUYNH HUONG</cp:lastModifiedBy>
  <dcterms:created xsi:type="dcterms:W3CDTF">2025-07-31T03:12:37Z</dcterms:created>
  <dcterms:modified xsi:type="dcterms:W3CDTF">2025-11-09T22:58:40Z</dcterms:modified>
</cp:coreProperties>
</file>